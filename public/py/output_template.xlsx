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1cab9d82da49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研发费用材料项目台账" sheetId="5" r:id="R1ecf24cd7edf41d9"/>
    <x:sheet xmlns:r="http://schemas.openxmlformats.org/officeDocument/2006/relationships" name="研发项目主表" sheetId="33" r:id="Rc2f82d5a04a141f2"/>
    <x:sheet xmlns:r="http://schemas.openxmlformats.org/officeDocument/2006/relationships" name="项目分类明细汇总表1月" sheetId="31" r:id="R1a465fbecc064dc3"/>
    <x:sheet xmlns:r="http://schemas.openxmlformats.org/officeDocument/2006/relationships" name="研发明细表" sheetId="39" r:id="R4ae3724299014c82"/>
    <x:sheet xmlns:r="http://schemas.openxmlformats.org/officeDocument/2006/relationships" name="研发人员工时统计" sheetId="35" r:id="R3ee8b56cc8b54bb6"/>
    <x:sheet xmlns:r="http://schemas.openxmlformats.org/officeDocument/2006/relationships" name="研发人员工时统计合计" sheetId="41" r:id="R4e95555ff9404fde"/>
    <x:sheet xmlns:r="http://schemas.openxmlformats.org/officeDocument/2006/relationships" name="1.运费" sheetId="9" r:id="R68e61e6eeea04b1c"/>
    <x:sheet xmlns:r="http://schemas.openxmlformats.org/officeDocument/2006/relationships" name="2.直接人工" sheetId="29" r:id="Re31579abe8b84638"/>
    <x:sheet xmlns:r="http://schemas.openxmlformats.org/officeDocument/2006/relationships" name="3.折旧" sheetId="28" r:id="R03d84d02a2e549d4"/>
    <x:sheet xmlns:r="http://schemas.openxmlformats.org/officeDocument/2006/relationships" name="4.业务招待费" sheetId="10" r:id="Rd2e890dfe9d9467f"/>
    <x:sheet xmlns:r="http://schemas.openxmlformats.org/officeDocument/2006/relationships" name="5.差旅费" sheetId="11" r:id="Rc6facb3368a8470a"/>
    <x:sheet xmlns:r="http://schemas.openxmlformats.org/officeDocument/2006/relationships" name="7.办公费" sheetId="13" r:id="R119ee304ea4745a5"/>
    <x:sheet xmlns:r="http://schemas.openxmlformats.org/officeDocument/2006/relationships" name="6.交通费" sheetId="12" r:id="Reda75f6add414e66"/>
    <x:sheet xmlns:r="http://schemas.openxmlformats.org/officeDocument/2006/relationships" name="8.会展费" sheetId="14" r:id="R43789f4839c24478"/>
    <x:sheet xmlns:r="http://schemas.openxmlformats.org/officeDocument/2006/relationships" name="9.租金" sheetId="15" r:id="R31c2c20f40634957"/>
    <x:sheet xmlns:r="http://schemas.openxmlformats.org/officeDocument/2006/relationships" name="10.福利费" sheetId="16" r:id="R5877cbaa6d3e4cbb"/>
    <x:sheet xmlns:r="http://schemas.openxmlformats.org/officeDocument/2006/relationships" name="11.社保明细账" sheetId="7" r:id="R0f2a3f271b8240de"/>
    <x:sheet xmlns:r="http://schemas.openxmlformats.org/officeDocument/2006/relationships" name="12.公积金" sheetId="8" r:id="R03179ec3a09c4af2"/>
    <x:sheet xmlns:r="http://schemas.openxmlformats.org/officeDocument/2006/relationships" name="13.工资明细账" sheetId="6" r:id="R55326406ed324f5a"/>
    <x:sheet xmlns:r="http://schemas.openxmlformats.org/officeDocument/2006/relationships" name="14.材料明细账" sheetId="1" r:id="Ra824e5f9c8614162"/>
    <x:sheet xmlns:r="http://schemas.openxmlformats.org/officeDocument/2006/relationships" name="15.长期待摊费用" sheetId="17" r:id="R35aec8ec41864185"/>
    <x:sheet xmlns:r="http://schemas.openxmlformats.org/officeDocument/2006/relationships" name="16.维修费" sheetId="18" r:id="R0d2866b647254229"/>
    <x:sheet xmlns:r="http://schemas.openxmlformats.org/officeDocument/2006/relationships" name="17.无形资产摊销" sheetId="19" r:id="R11a39300e1734ba4"/>
    <x:sheet xmlns:r="http://schemas.openxmlformats.org/officeDocument/2006/relationships" name="18.招聘费" sheetId="20" r:id="R0ee6095e6ec9434d"/>
    <x:sheet xmlns:r="http://schemas.openxmlformats.org/officeDocument/2006/relationships" name="19.服务费" sheetId="21" r:id="Raf95baa16f6f4993"/>
    <x:sheet xmlns:r="http://schemas.openxmlformats.org/officeDocument/2006/relationships" name="20.专利服务费" sheetId="22" r:id="R62c550e9e77e4422"/>
    <x:sheet xmlns:r="http://schemas.openxmlformats.org/officeDocument/2006/relationships" name="21.水电费" sheetId="23" r:id="Rc0ecdbed1c9b4f74"/>
    <x:sheet xmlns:r="http://schemas.openxmlformats.org/officeDocument/2006/relationships" name="22.咨询费" sheetId="24" r:id="Rb849e91e2e2f43fa"/>
    <x:sheet xmlns:r="http://schemas.openxmlformats.org/officeDocument/2006/relationships" name="23.测试费" sheetId="25" r:id="R227153ffd56b4bbd"/>
    <x:sheet xmlns:r="http://schemas.openxmlformats.org/officeDocument/2006/relationships" name="24.职工教育经费" sheetId="26" r:id="R674d9f5d82784214"/>
    <x:sheet xmlns:r="http://schemas.openxmlformats.org/officeDocument/2006/relationships" name="25.劳动保护费" sheetId="27" r:id="R84d05f5549f34e4a"/>
  </x:sheets>
</x:workbook>
</file>

<file path=xl/sharedStrings.xml><?xml version="1.0" encoding="utf-8"?>
<x:sst xmlns:x="http://schemas.openxmlformats.org/spreadsheetml/2006/main">
  <x:si>
    <x:t xml:space="preserve">项目编号</x:t>
  </x:si>
  <x:si>
    <x:t xml:space="preserve">项目名称</x:t>
  </x:si>
  <x:si>
    <x:t xml:space="preserve">科目名称</x:t>
  </x:si>
  <x:si>
    <x:t xml:space="preserve">1月</x:t>
  </x:si>
  <x:si>
    <x:t xml:space="preserve">2月</x:t>
  </x:si>
  <x:si>
    <x:t xml:space="preserve">3月</x:t>
  </x:si>
  <x:si>
    <x:t xml:space="preserve">4月</x:t>
  </x:si>
  <x:si>
    <x:t xml:space="preserve">5月</x:t>
  </x:si>
  <x:si>
    <x:t xml:space="preserve">6月</x:t>
  </x:si>
  <x:si>
    <x:t xml:space="preserve">7月</x:t>
  </x:si>
  <x:si>
    <x:t xml:space="preserve">8月</x:t>
  </x:si>
  <x:si>
    <x:t xml:space="preserve">9月</x:t>
  </x:si>
  <x:si>
    <x:t xml:space="preserve">10月</x:t>
  </x:si>
  <x:si>
    <x:t xml:space="preserve">11月</x:t>
  </x:si>
  <x:si>
    <x:t xml:space="preserve">1-11月总计</x:t>
  </x:si>
  <x:si>
    <x:t xml:space="preserve">RC22505  </x:t>
  </x:si>
  <x:si>
    <x:t xml:space="preserve">氢能前沿研究及应用</x:t>
  </x:si>
  <x:si>
    <x:t xml:space="preserve">材料费</x:t>
  </x:si>
  <x:si>
    <x:t xml:space="preserve">RD1202  </x:t>
  </x:si>
  <x:si>
    <x:t xml:space="preserve">自用测试设备工装</x:t>
  </x:si>
  <x:si>
    <x:t xml:space="preserve">RD12501</x:t>
  </x:si>
  <x:si>
    <x:t xml:space="preserve"> 氢助力两轮车及平台项目</x:t>
  </x:si>
  <x:si>
    <x:t xml:space="preserve">RD12503</x:t>
  </x:si>
  <x:si>
    <x:t xml:space="preserve"> 一体化电控开发</x:t>
  </x:si>
  <x:si>
    <x:t xml:space="preserve">RD12504  </x:t>
  </x:si>
  <x:si>
    <x:t xml:space="preserve">氢锂混电系统及平台研究与应用</x:t>
  </x:si>
  <x:si>
    <x:t xml:space="preserve">RD130905 </x:t>
  </x:si>
  <x:si>
    <x:t xml:space="preserve"> 共享助力车（Ebike）</x:t>
  </x:si>
  <x:si>
    <x:t xml:space="preserve">RD140112  </x:t>
  </x:si>
  <x:si>
    <x:t xml:space="preserve">一体化电控</x:t>
  </x:si>
  <x:si>
    <x:t xml:space="preserve">RD140723  </x:t>
  </x:si>
  <x:si>
    <x:t xml:space="preserve">一体化控制器开发</x:t>
  </x:si>
  <x:si>
    <x:t xml:space="preserve">RD140928  </x:t>
  </x:si>
  <x:si>
    <x:t xml:space="preserve">RD141029 </x:t>
  </x:si>
  <x:si>
    <x:t xml:space="preserve">3kW闭式空冷平台开发</x:t>
  </x:si>
  <x:si>
    <x:t xml:space="preserve">RD141031  </x:t>
  </x:si>
  <x:si>
    <x:t xml:space="preserve">氢动力无人机研发</x:t>
  </x:si>
  <x:si>
    <x:t xml:space="preserve">RD141232 </x:t>
  </x:si>
  <x:si>
    <x:t xml:space="preserve">低压驱动器研发</x:t>
  </x:si>
  <x:si>
    <x:t xml:space="preserve">RD141233  </x:t>
  </x:si>
  <x:si>
    <x:t xml:space="preserve"> 河南氢源镁空电池项目</x:t>
  </x:si>
  <x:si>
    <x:t xml:space="preserve">RD150301  </x:t>
  </x:si>
  <x:si>
    <x:t xml:space="preserve">双足机器人</x:t>
  </x:si>
  <x:si>
    <x:t xml:space="preserve">RD9999  </x:t>
  </x:si>
  <x:si>
    <x:t xml:space="preserve">研发公摊</x:t>
  </x:si>
  <x:si>
    <x:t xml:space="preserve">ST140415  </x:t>
  </x:si>
  <x:si>
    <x:t xml:space="preserve">安徽伯华10kW燃料电池系统散件及台架</x:t>
  </x:si>
  <x:si>
    <x:t xml:space="preserve">ST140828  </x:t>
  </x:si>
  <x:si>
    <x:t xml:space="preserve">伯华无人机电力包用零部件包含控制器和电堆项目</x:t>
  </x:si>
  <x:si>
    <x:t xml:space="preserve">合计</x:t>
  </x:si>
  <x:si>
    <x:t xml:space="preserve">项目编码</x:t>
  </x:si>
  <x:si>
    <x:t xml:space="preserve">直接材料</x:t>
  </x:si>
  <x:si>
    <x:t xml:space="preserve">人员人工（含社保+公积金）</x:t>
  </x:si>
  <x:si>
    <x:t xml:space="preserve">运费</x:t>
  </x:si>
  <x:si>
    <x:t xml:space="preserve">折旧</x:t>
  </x:si>
  <x:si>
    <x:t xml:space="preserve">业务招待费</x:t>
  </x:si>
  <x:si>
    <x:t xml:space="preserve">差旅费</x:t>
  </x:si>
  <x:si>
    <x:t xml:space="preserve">交通费</x:t>
  </x:si>
  <x:si>
    <x:t xml:space="preserve">办公费</x:t>
  </x:si>
  <x:si>
    <x:t xml:space="preserve">会展费</x:t>
  </x:si>
  <x:si>
    <x:t xml:space="preserve">租赁费</x:t>
  </x:si>
  <x:si>
    <x:t xml:space="preserve">福利费</x:t>
  </x:si>
  <x:si>
    <x:t xml:space="preserve">长期费用摊销</x:t>
  </x:si>
  <x:si>
    <x:t xml:space="preserve"> 维修费</x:t>
  </x:si>
  <x:si>
    <x:t xml:space="preserve">无形资产摊销</x:t>
  </x:si>
  <x:si>
    <x:t xml:space="preserve">招聘费</x:t>
  </x:si>
  <x:si>
    <x:t xml:space="preserve">服务费</x:t>
  </x:si>
  <x:si>
    <x:t xml:space="preserve">专利服务</x:t>
  </x:si>
  <x:si>
    <x:t xml:space="preserve">水电费</x:t>
  </x:si>
  <x:si>
    <x:t xml:space="preserve"> 咨询/审计费</x:t>
  </x:si>
  <x:si>
    <x:t xml:space="preserve">测试费</x:t>
  </x:si>
  <x:si>
    <x:t xml:space="preserve">职工教育经费</x:t>
  </x:si>
  <x:si>
    <x:t xml:space="preserve">劳动保护费</x:t>
  </x:si>
  <x:si>
    <x:t xml:space="preserve">项目成本合计</x:t>
  </x:si>
  <x:si>
    <x:t xml:space="preserve">项目名称                                    汇总</x:t>
  </x:si>
  <x:si>
    <x:t xml:space="preserve">80V低压驱动器研发</x:t>
  </x:si>
  <x:si>
    <x:t xml:space="preserve">100kg氢动力固定翼无人机</x:t>
  </x:si>
  <x:si>
    <x:t xml:space="preserve">100kg氢动力无人机</x:t>
  </x:si>
  <x:si>
    <x:t xml:space="preserve">25kg氢动力无人机</x:t>
  </x:si>
  <x:si>
    <x:t xml:space="preserve">230kW一体化电控</x:t>
  </x:si>
  <x:si>
    <x:t xml:space="preserve">轻量化燃料电池系统开发</x:t>
  </x:si>
  <x:si>
    <x:t xml:space="preserve">120kW一体化电控</x:t>
  </x:si>
  <x:si>
    <x:t xml:space="preserve">二代共享氢助力自行车项目</x:t>
  </x:si>
  <x:si>
    <x:t xml:space="preserve">国电投风冷户外电源项目</x:t>
  </x:si>
  <x:si>
    <x:t xml:space="preserve">10kW水冷教具项目</x:t>
  </x:si>
  <x:si>
    <x:t xml:space="preserve">10kw备电系统（哈工大/优化）</x:t>
  </x:si>
  <x:si>
    <x:t xml:space="preserve">EC150改制</x:t>
  </x:si>
  <x:si>
    <x:t xml:space="preserve">Seepack_3kW研发测试</x:t>
  </x:si>
  <x:si>
    <x:t xml:space="preserve">Ebike250研发测试/维护</x:t>
  </x:si>
  <x:si>
    <x:t xml:space="preserve">230kW一体化电控系统维护</x:t>
  </x:si>
  <x:si>
    <x:t xml:space="preserve">氢动力飞行器及平台项目</x:t>
  </x:si>
  <x:si>
    <x:t xml:space="preserve">序号</x:t>
  </x:si>
  <x:si>
    <x:t xml:space="preserve">费用项目</x:t>
  </x:si>
  <x:si>
    <x:t xml:space="preserve">研发项目</x:t>
  </x:si>
  <x:si>
    <x:t xml:space="preserve">费用金额（元）</x:t>
  </x:si>
  <x:si>
    <x:t xml:space="preserve">FYXM02_SYS  运费</x:t>
  </x:si>
  <x:si>
    <x:t xml:space="preserve">RD9999  研发公摊</x:t>
  </x:si>
  <x:si>
    <x:t xml:space="preserve">FYXM07_SYS  直接人工</x:t>
  </x:si>
  <x:si>
    <x:t xml:space="preserve">FYXM08_SYS  折旧费用</x:t>
  </x:si>
  <x:si>
    <x:t xml:space="preserve">FYXM09_SYS  业务招待费</x:t>
  </x:si>
  <x:si>
    <x:t xml:space="preserve">FYXM10_SYS  差旅费</x:t>
  </x:si>
  <x:si>
    <x:t xml:space="preserve">FYXM11_SYS  交通费 </x:t>
  </x:si>
  <x:si>
    <x:t xml:space="preserve">FYXM14_SYS  办公费</x:t>
  </x:si>
  <x:si>
    <x:t xml:space="preserve">FYXM15_SYS  会展费</x:t>
  </x:si>
  <x:si>
    <x:t xml:space="preserve">FYXM17_SYS  租赁费</x:t>
  </x:si>
  <x:si>
    <x:t xml:space="preserve">FYXM19_SYS  福利费</x:t>
  </x:si>
  <x:si>
    <x:t xml:space="preserve">FYXM20_SYS  工伤保险</x:t>
  </x:si>
  <x:si>
    <x:t xml:space="preserve">FYXM20_SYS  工伤保险 小计</x:t>
  </x:si>
  <x:si>
    <x:t xml:space="preserve">FYXM21_SYS  企业基本养老保险</x:t>
  </x:si>
  <x:si>
    <x:t xml:space="preserve">FYXM21_SYS  企业基本养老保险 小计</x:t>
  </x:si>
  <x:si>
    <x:t xml:space="preserve">FYXM22_SYS  生育保险</x:t>
  </x:si>
  <x:si>
    <x:t xml:space="preserve">FYXM22_SYS  生育保险 小计</x:t>
  </x:si>
  <x:si>
    <x:t xml:space="preserve">FYXM23_SYS  失业保险</x:t>
  </x:si>
  <x:si>
    <x:t xml:space="preserve">FYXM23_SYS  失业保险 小计</x:t>
  </x:si>
  <x:si>
    <x:t xml:space="preserve">FYXM24_SYS  医疗保险</x:t>
  </x:si>
  <x:si>
    <x:t xml:space="preserve">FYXM24_SYS  医疗保险 小计</x:t>
  </x:si>
  <x:si>
    <x:t xml:space="preserve">五险合计</x:t>
  </x:si>
  <x:si>
    <x:t xml:space="preserve">FYXM25_SYS  住房公积金</x:t>
  </x:si>
  <x:si>
    <x:t xml:space="preserve">FYXM27_SYS  人员人工</x:t>
  </x:si>
  <x:si>
    <x:t xml:space="preserve">FYXM28_SYS  直接投入(材料、燃料)</x:t>
  </x:si>
  <x:si>
    <x:t xml:space="preserve">RD1250101  自用测试设备工装</x:t>
  </x:si>
  <x:si>
    <x:t xml:space="preserve">RD12502  氢动力飞行器及平台项目</x:t>
  </x:si>
  <x:si>
    <x:t xml:space="preserve">RD12504  氢锂混电系统及平台研究与应用</x:t>
  </x:si>
  <x:si>
    <x:t xml:space="preserve">RD130905-2  二代共享氢助力自行车项目</x:t>
  </x:si>
  <x:si>
    <x:t xml:space="preserve">RD140112  120kW一体化电控</x:t>
  </x:si>
  <x:si>
    <x:t xml:space="preserve">RD140928  230kW一体化电控</x:t>
  </x:si>
  <x:si>
    <x:t xml:space="preserve">RD141029  3kW闭式空冷平台开发</x:t>
  </x:si>
  <x:si>
    <x:t xml:space="preserve">RD141031  氢动力无人机研发</x:t>
  </x:si>
  <x:si>
    <x:t xml:space="preserve">RD141031-1  25kg氢动力无人机</x:t>
  </x:si>
  <x:si>
    <x:t xml:space="preserve">RD141031-2  100kg氢动力无人机</x:t>
  </x:si>
  <x:si>
    <x:t xml:space="preserve">FYXM28_SYS  直接投入(材料、燃料) 小计</x:t>
  </x:si>
  <x:si>
    <x:t xml:space="preserve">FYXM30_SYS  长期费用摊销</x:t>
  </x:si>
  <x:si>
    <x:t xml:space="preserve">FYXM32_SYS  维修费</x:t>
  </x:si>
  <x:si>
    <x:t xml:space="preserve">FYXM33_SYS  无形资产摊销</x:t>
  </x:si>
  <x:si>
    <x:t xml:space="preserve">FYXM34_SYS  招聘费</x:t>
  </x:si>
  <x:si>
    <x:t xml:space="preserve">FYXM36_SYS  服务费 </x:t>
  </x:si>
  <x:si>
    <x:t xml:space="preserve">FYXM37_SYS  专利服务</x:t>
  </x:si>
  <x:si>
    <x:t xml:space="preserve">FYXM39_SYS  水电费</x:t>
  </x:si>
  <x:si>
    <x:t xml:space="preserve">FYXM42_SYS  咨询/审计费</x:t>
  </x:si>
  <x:si>
    <x:t xml:space="preserve">FYXM43_SYS  测试费 </x:t>
  </x:si>
  <x:si>
    <x:t xml:space="preserve">FYXM45_SYS  职工教育经费</x:t>
  </x:si>
  <x:si>
    <x:t xml:space="preserve">FYXM46_SYS  劳动保护费</x:t>
  </x:si>
  <x:si>
    <x:t xml:space="preserve">总计</x:t>
  </x:si>
  <x:si>
    <x:r>
      <x:rPr>
        <x:b/>
        <x:sz val="12"/>
        <x:color theme="1"/>
        <x:rFont val="Times New Roman"/>
        <x:family val="1"/>
      </x:rPr>
      <x:t xml:space="preserve">2026</x:t>
    </x:r>
    <x:r>
      <x:rPr>
        <x:b/>
        <x:sz val="12"/>
        <x:color theme="1"/>
        <x:rFont val="宋体"/>
        <x:family val="3"/>
      </x:rPr>
      <x:t xml:space="preserve">年研发费用审核明细表</x:t>
    </x:r>
  </x:si>
  <x:si>
    <x:t xml:space="preserve">编制单位：苏州溯驭技术有限公司</x:t>
  </x:si>
  <x:si>
    <x:t xml:space="preserve">费用类别</x:t>
  </x:si>
  <x:si>
    <x:t xml:space="preserve">未审数</x:t>
  </x:si>
  <x:si>
    <x:t xml:space="preserve">审减数</x:t>
  </x:si>
  <x:si>
    <x:t xml:space="preserve">审定数</x:t>
  </x:si>
  <x:si>
    <x:t xml:space="preserve">备注</x:t>
  </x:si>
  <x:si>
    <x:t xml:space="preserve">材料</x:t>
  </x:si>
  <x:si>
    <x:t xml:space="preserve">工资</x:t>
  </x:si>
  <x:si>
    <x:t xml:space="preserve">社保</x:t>
  </x:si>
  <x:si>
    <x:t xml:space="preserve">公积金</x:t>
  </x:si>
  <x:si>
    <x:t xml:space="preserve">仪器设备折旧费</x:t>
  </x:si>
  <x:si>
    <x:t xml:space="preserve">知识产权费</x:t>
  </x:si>
  <x:si>
    <x:t xml:space="preserve">维修费</x:t>
  </x:si>
  <x:si>
    <x:t xml:space="preserve">房租</x:t>
  </x:si>
  <x:si>
    <x:t xml:space="preserve">长期待摊费用</x:t>
  </x:si>
  <x:si>
    <x:t xml:space="preserve">招待费</x:t>
  </x:si>
  <x:si>
    <x:t xml:space="preserve">咨询费</x:t>
  </x:si>
  <x:si>
    <x:r>
      <x:rPr>
        <x:b/>
        <x:sz val="11"/>
        <x:color theme="1"/>
        <x:rFont val="宋体"/>
        <x:family val="3"/>
      </x:rPr>
      <x:t xml:space="preserve">合</x:t>
    </x:r>
    <x:r>
      <x:rPr>
        <x:b/>
        <x:sz val="11"/>
        <x:color theme="1"/>
        <x:rFont val="Times New Roman"/>
        <x:family val="1"/>
      </x:rPr>
      <x:t xml:space="preserve">  </x:t>
    </x:r>
    <x:r>
      <x:rPr>
        <x:b/>
        <x:sz val="11"/>
        <x:color theme="1"/>
        <x:rFont val="宋体"/>
        <x:family val="3"/>
      </x:rPr>
      <x:t xml:space="preserve">计</x:t>
    </x:r>
  </x:si>
  <x:si>
    <x:t xml:space="preserve"> </x:t>
  </x:si>
  <x:si>
    <x:t xml:space="preserve">姓名</x:t>
  </x:si>
  <x:si>
    <x:t xml:space="preserve">RD141232</x:t>
  </x:si>
  <x:si>
    <x:t xml:space="preserve">RD141031-4</x:t>
  </x:si>
  <x:si>
    <x:t xml:space="preserve">RD141031-2</x:t>
  </x:si>
  <x:si>
    <x:t xml:space="preserve">RD141031-1</x:t>
  </x:si>
  <x:si>
    <x:t xml:space="preserve">RD140928</x:t>
  </x:si>
  <x:si>
    <x:t xml:space="preserve">RD140716</x:t>
  </x:si>
  <x:si>
    <x:t xml:space="preserve">RD140112</x:t>
  </x:si>
  <x:si>
    <x:t xml:space="preserve">RD130905-2</x:t>
  </x:si>
  <x:si>
    <x:t xml:space="preserve">RD12504-04</x:t>
  </x:si>
  <x:si>
    <x:t xml:space="preserve">RD12504-03</x:t>
  </x:si>
  <x:si>
    <x:t xml:space="preserve">RD12504-02</x:t>
  </x:si>
  <x:si>
    <x:t xml:space="preserve">RD12501-04 </x:t>
  </x:si>
  <x:si>
    <x:t xml:space="preserve">RD12501-03</x:t>
  </x:si>
  <x:si>
    <x:t xml:space="preserve">RD12501-02</x:t>
  </x:si>
  <x:si>
    <x:t xml:space="preserve">MO000503</x:t>
  </x:si>
  <x:si>
    <x:t xml:space="preserve">MO000498</x:t>
  </x:si>
  <x:si>
    <x:t xml:space="preserve">MO000487</x:t>
  </x:si>
  <x:si>
    <x:t xml:space="preserve">MO000474</x:t>
  </x:si>
  <x:si>
    <x:t xml:space="preserve">MO000461</x:t>
  </x:si>
  <x:si>
    <x:t xml:space="preserve">MO000457</x:t>
  </x:si>
  <x:si>
    <x:t xml:space="preserve">MO000430</x:t>
  </x:si>
  <x:si>
    <x:t xml:space="preserve">MO000426</x:t>
  </x:si>
  <x:si>
    <x:t xml:space="preserve">/ </x:t>
  </x:si>
  <x:si>
    <x:t xml:space="preserve">/</x:t>
  </x:si>
  <x:si>
    <x:t xml:space="preserve">MO000508 </x:t>
  </x:si>
  <x:si>
    <x:t xml:space="preserve">工时汇总</x:t>
  </x:si>
  <x:si>
    <x:t xml:space="preserve">001</x:t>
  </x:si>
  <x:si>
    <x:t xml:space="preserve">周洪雷</x:t>
  </x:si>
  <x:si>
    <x:t xml:space="preserve">10kw备电系统</x:t>
  </x:si>
  <x:si>
    <x:t xml:space="preserve">Ebike250</x:t>
  </x:si>
  <x:si>
    <x:t xml:space="preserve">西安交通大学5kW热电联供</x:t>
  </x:si>
  <x:si>
    <x:t xml:space="preserve">荆楚理工制储发项目</x:t>
  </x:si>
  <x:si>
    <x:t xml:space="preserve">荆楚理工800W氢能教具</x:t>
  </x:si>
  <x:si>
    <x:t xml:space="preserve">中建三局30KW热电联供项目</x:t>
  </x:si>
  <x:si>
    <x:t xml:space="preserve">伯华12kW标准无人机电力包</x:t>
  </x:si>
  <x:si>
    <x:t xml:space="preserve">黑龙江制-储-用项目</x:t>
  </x:si>
  <x:si>
    <x:t xml:space="preserve">海亿14座氢燃料电池观光车</x:t>
  </x:si>
  <x:si>
    <x:t xml:space="preserve">西安1908--1.5kW燃料电池备电</x:t>
  </x:si>
  <x:si>
    <x:t xml:space="preserve">PLC熔盐控制项目</x:t>
  </x:si>
  <x:si>
    <x:t xml:space="preserve">西安1908-5kw发电系统</x:t>
  </x:si>
  <x:si>
    <x:t xml:space="preserve">中电绿波制储发</x:t>
  </x:si>
  <x:si>
    <x:t xml:space="preserve">荣创3kw系统</x:t>
  </x:si>
  <x:si>
    <x:t xml:space="preserve">002</x:t>
  </x:si>
  <x:si>
    <x:t xml:space="preserve">董清华</x:t>
  </x:si>
  <x:si>
    <x:t xml:space="preserve">003</x:t>
  </x:si>
  <x:si>
    <x:t xml:space="preserve">王刘超</x:t>
  </x:si>
  <x:si>
    <x:t xml:space="preserve">006</x:t>
  </x:si>
  <x:si>
    <x:t xml:space="preserve">曹向阳</x:t>
  </x:si>
  <x:si>
    <x:t xml:space="preserve">007</x:t>
  </x:si>
  <x:si>
    <x:t xml:space="preserve">仝淼</x:t>
  </x:si>
  <x:si>
    <x:t xml:space="preserve">010</x:t>
  </x:si>
  <x:si>
    <x:t xml:space="preserve">王雷</x:t>
  </x:si>
  <x:si>
    <x:t xml:space="preserve">013</x:t>
  </x:si>
  <x:si>
    <x:t xml:space="preserve">侯向楠</x:t>
  </x:si>
  <x:si>
    <x:t xml:space="preserve">014</x:t>
  </x:si>
  <x:si>
    <x:t xml:space="preserve">王博文</x:t>
  </x:si>
  <x:si>
    <x:t xml:space="preserve">015</x:t>
  </x:si>
  <x:si>
    <x:t xml:space="preserve">张华军</x:t>
  </x:si>
  <x:si>
    <x:t xml:space="preserve">016</x:t>
  </x:si>
  <x:si>
    <x:t xml:space="preserve">朱庆</x:t>
  </x:si>
  <x:si>
    <x:t xml:space="preserve">018</x:t>
  </x:si>
  <x:si>
    <x:t xml:space="preserve">吴凯枫</x:t>
  </x:si>
  <x:si>
    <x:t xml:space="preserve">022</x:t>
  </x:si>
  <x:si>
    <x:t xml:space="preserve">胡惧</x:t>
  </x:si>
  <x:si>
    <x:t xml:space="preserve">023</x:t>
  </x:si>
  <x:si>
    <x:t xml:space="preserve">张祥</x:t>
  </x:si>
  <x:si>
    <x:t xml:space="preserve">025</x:t>
  </x:si>
  <x:si>
    <x:t xml:space="preserve">张学艺</x:t>
  </x:si>
  <x:si>
    <x:t xml:space="preserve">027</x:t>
  </x:si>
  <x:si>
    <x:t xml:space="preserve">丁锋</x:t>
  </x:si>
  <x:si>
    <x:t xml:space="preserve">029</x:t>
  </x:si>
  <x:si>
    <x:t xml:space="preserve">温稼立</x:t>
  </x:si>
  <x:si>
    <x:t xml:space="preserve">030</x:t>
  </x:si>
  <x:si>
    <x:t xml:space="preserve">吴贺宇</x:t>
  </x:si>
  <x:si>
    <x:t xml:space="preserve">031</x:t>
  </x:si>
  <x:si>
    <x:t xml:space="preserve">王竞宇</x:t>
  </x:si>
  <x:si>
    <x:t xml:space="preserve">032</x:t>
  </x:si>
  <x:si>
    <x:t xml:space="preserve">李智</x:t>
  </x:si>
  <x:si>
    <x:t xml:space="preserve">033</x:t>
  </x:si>
  <x:si>
    <x:t xml:space="preserve">王均毅</x:t>
  </x:si>
  <x:si>
    <x:t xml:space="preserve">034</x:t>
  </x:si>
  <x:si>
    <x:t xml:space="preserve">李鑫</x:t>
  </x:si>
  <x:si>
    <x:t xml:space="preserve">036</x:t>
  </x:si>
  <x:si>
    <x:t xml:space="preserve">翟海龙</x:t>
  </x:si>
  <x:si>
    <x:t xml:space="preserve">037</x:t>
  </x:si>
  <x:si>
    <x:t xml:space="preserve">王小平</x:t>
  </x:si>
  <x:si>
    <x:t xml:space="preserve">038</x:t>
  </x:si>
  <x:si>
    <x:t xml:space="preserve">于彬</x:t>
  </x:si>
  <x:si>
    <x:t xml:space="preserve">042</x:t>
  </x:si>
  <x:si>
    <x:t xml:space="preserve">吕天杰</x:t>
  </x:si>
  <x:si>
    <x:t xml:space="preserve">043</x:t>
  </x:si>
  <x:si>
    <x:t xml:space="preserve">高壹群</x:t>
  </x:si>
  <x:si>
    <x:t xml:space="preserve">046</x:t>
  </x:si>
  <x:si>
    <x:t xml:space="preserve">冉肖</x:t>
  </x:si>
  <x:si>
    <x:t xml:space="preserve">047</x:t>
  </x:si>
  <x:si>
    <x:t xml:space="preserve">李梅</x:t>
  </x:si>
  <x:si>
    <x:t xml:space="preserve">048</x:t>
  </x:si>
  <x:si>
    <x:t xml:space="preserve">解政</x:t>
  </x:si>
  <x:si>
    <x:t xml:space="preserve">050</x:t>
  </x:si>
  <x:si>
    <x:t xml:space="preserve">张加宇</x:t>
  </x:si>
  <x:si>
    <x:t xml:space="preserve">051</x:t>
  </x:si>
  <x:si>
    <x:t xml:space="preserve">赵原野</x:t>
  </x:si>
  <x:si>
    <x:t xml:space="preserve">052</x:t>
  </x:si>
  <x:si>
    <x:t xml:space="preserve">赵红英</x:t>
  </x:si>
  <x:si>
    <x:t xml:space="preserve">061</x:t>
  </x:si>
  <x:si>
    <x:t xml:space="preserve">张季</x:t>
  </x:si>
  <x:si>
    <x:t xml:space="preserve">063</x:t>
  </x:si>
  <x:si>
    <x:t xml:space="preserve">魏元涛</x:t>
  </x:si>
  <x:si>
    <x:t xml:space="preserve">工时分配率</x:t>
  </x:si>
  <x:si>
    <x:t xml:space="preserve">RD12501-04</x:t>
  </x:si>
  <x:si>
    <x:t xml:space="preserve">RD12502  </x:t>
  </x:si>
  <x:si>
    <x:t xml:space="preserve">RD1250101</x:t>
  </x:si>
  <x:si>
    <x:t xml:space="preserve">RD141029  </x:t>
  </x:si>
  <x:si>
    <x:t xml:space="preserve">RD工时</x:t>
  </x:si>
  <x:si>
    <x:t xml:space="preserve">公摊RD工时</x:t>
  </x:si>
  <x:si>
    <x:t xml:space="preserve">   </x:t>
  </x:si>
  <x:si>
    <x:t xml:space="preserve">工时统计</x:t>
  </x:si>
  <x:si>
    <x:t xml:space="preserve">004</x:t>
  </x:si>
  <x:si>
    <x:t xml:space="preserve">005</x:t>
  </x:si>
  <x:si>
    <x:t xml:space="preserve">008</x:t>
  </x:si>
  <x:si>
    <x:t xml:space="preserve">009</x:t>
  </x:si>
  <x:si>
    <x:t xml:space="preserve">011</x:t>
  </x:si>
  <x:si>
    <x:t xml:space="preserve">012</x:t>
  </x:si>
  <x:si>
    <x:t xml:space="preserve">017</x:t>
  </x:si>
  <x:si>
    <x:t xml:space="preserve">019</x:t>
  </x:si>
  <x:si>
    <x:t xml:space="preserve">020</x:t>
  </x:si>
  <x:si>
    <x:t xml:space="preserve">021</x:t>
  </x:si>
  <x:si>
    <x:t xml:space="preserve">024</x:t>
  </x:si>
  <x:si>
    <x:t xml:space="preserve">026</x:t>
  </x:si>
  <x:si>
    <x:t xml:space="preserve">028</x:t>
  </x:si>
  <x:si>
    <x:r>
      <x:rPr>
        <x:b/>
        <x:sz val="11"/>
        <x:color theme="1"/>
        <x:rFont val="Times New Roman"/>
        <x:family val="1"/>
      </x:rPr>
      <x:t xml:space="preserve">2026</x:t>
    </x:r>
    <x:r>
      <x:rPr>
        <x:b/>
        <x:sz val="11"/>
        <x:color theme="1"/>
        <x:rFont val="宋体"/>
        <x:family val="3"/>
      </x:rPr>
      <x:t xml:space="preserve">年研发费用审核明细表</x:t>
    </x:r>
    <x:r>
      <x:rPr>
        <x:b/>
        <x:sz val="11"/>
        <x:color theme="1"/>
        <x:rFont val="Times New Roman"/>
        <x:family val="1"/>
      </x:rPr>
      <x:t xml:space="preserve">-</x:t>
    </x:r>
    <x:r>
      <x:rPr>
        <x:b/>
        <x:sz val="11"/>
        <x:color theme="1"/>
        <x:rFont val="宋体"/>
        <x:family val="3"/>
      </x:rPr>
      <x:t xml:space="preserve">运费</x:t>
    </x:r>
  </x:si>
  <x:si>
    <x:r>
      <x:rPr>
        <x:sz val="11"/>
        <x:color theme="1"/>
        <x:rFont val="宋体"/>
        <x:family val="3"/>
      </x:rPr>
      <x:t xml:space="preserve">单位：元</x:t>
    </x:r>
  </x:si>
  <x:si>
    <x:t xml:space="preserve">费用类别：</x:t>
  </x:si>
  <x:si>
    <x:t xml:space="preserve">日期</x:t>
  </x:si>
  <x:si>
    <x:t xml:space="preserve">会计年度</x:t>
  </x:si>
  <x:si>
    <x:t xml:space="preserve">期间</x:t>
  </x:si>
  <x:si>
    <x:t xml:space="preserve">凭证字</x:t>
  </x:si>
  <x:si>
    <x:t xml:space="preserve">凭证号</x:t>
  </x:si>
  <x:si>
    <x:t xml:space="preserve">摘要</x:t>
  </x:si>
  <x:si>
    <x:t xml:space="preserve">借方</x:t>
  </x:si>
  <x:si>
    <x:t xml:space="preserve">研发名称</x:t>
  </x:si>
  <x:si>
    <x:t xml:space="preserve">2026/2/5</x:t>
  </x:si>
  <x:si>
    <x:t xml:space="preserve">2026</x:t>
  </x:si>
  <x:si>
    <x:t xml:space="preserve">2</x:t>
  </x:si>
  <x:si>
    <x:t xml:space="preserve">记</x:t>
  </x:si>
  <x:si>
    <x:t xml:space="preserve">研发王刘超报销吊车费（项目:RD12504 氢锂混电系统及平台研究与应用)</x:t>
  </x:si>
  <x:si>
    <x:t xml:space="preserve">2026/1/29</x:t>
  </x:si>
  <x:si>
    <x:t xml:space="preserve">1</x:t>
  </x:si>
  <x:si>
    <x:t xml:space="preserve">12月月结快递费114066774--苏州顺丰</x:t>
  </x:si>
  <x:si>
    <x:t xml:space="preserve">2026/2/3</x:t>
  </x:si>
  <x:si>
    <x:t xml:space="preserve">1月研发样品货拉拉运费63763759--广州易人行商业保理有限公司</x:t>
  </x:si>
  <x:si>
    <x:t xml:space="preserve">2026/2/9</x:t>
  </x:si>
  <x:si>
    <x:t xml:space="preserve">王博文报销运费</x:t>
  </x:si>
  <x:si>
    <x:t xml:space="preserve">2026/2/26</x:t>
  </x:si>
  <x:si>
    <x:t xml:space="preserve">付1月月结快递费154202039--苏州顺丰</x:t>
  </x:si>
  <x:si>
    <x:t xml:space="preserve">2026/3/31</x:t>
  </x:si>
  <x:si>
    <x:t xml:space="preserve">3</x:t>
  </x:si>
  <x:si>
    <x:t xml:space="preserve">付2月月结快递费72539467--苏州顺丰</x:t>
  </x:si>
  <x:si>
    <x:t xml:space="preserve">结转研发支出</x:t>
  </x:si>
  <x:si>
    <x:t xml:space="preserve">工时合计</x:t>
  </x:si>
  <x:si>
    <x:t xml:space="preserve">费用</x:t>
  </x:si>
  <x:si>
    <x:t xml:space="preserve">RD150302</x:t>
  </x:si>
  <x:si>
    <x:r>
      <x:rPr>
        <x:b/>
        <x:sz val="11"/>
        <x:color theme="1"/>
        <x:rFont val="Times New Roman"/>
        <x:family val="1"/>
      </x:rPr>
      <x:t xml:space="preserve">2026</x:t>
    </x:r>
    <x:r>
      <x:rPr>
        <x:b/>
        <x:sz val="11"/>
        <x:color theme="1"/>
        <x:rFont val="宋体"/>
        <x:family val="3"/>
      </x:rPr>
      <x:t xml:space="preserve">年研发费用审核明细表</x:t>
    </x:r>
    <x:r>
      <x:rPr>
        <x:b/>
        <x:sz val="11"/>
        <x:color theme="1"/>
        <x:rFont val="Times New Roman"/>
        <x:family val="1"/>
      </x:rPr>
      <x:t xml:space="preserve">-</x:t>
    </x:r>
    <x:r>
      <x:rPr>
        <x:b/>
        <x:sz val="11"/>
        <x:color theme="1"/>
        <x:rFont val="宋体"/>
        <x:family val="3"/>
      </x:rPr>
      <x:t xml:space="preserve">直接人工</x:t>
    </x:r>
  </x:si>
  <x:si>
    <x:t xml:space="preserve">1月费用合计</x:t>
  </x:si>
  <x:si>
    <x:r>
      <x:rPr>
        <x:b/>
        <x:sz val="11"/>
        <x:color theme="1"/>
        <x:rFont val="Times New Roman"/>
        <x:family val="1"/>
      </x:rPr>
      <x:t xml:space="preserve">2026</x:t>
    </x:r>
    <x:r>
      <x:rPr>
        <x:b/>
        <x:sz val="11"/>
        <x:color theme="1"/>
        <x:rFont val="宋体"/>
        <x:family val="3"/>
      </x:rPr>
      <x:t xml:space="preserve">年研发费用审核明细表</x:t>
    </x:r>
    <x:r>
      <x:rPr>
        <x:b/>
        <x:sz val="11"/>
        <x:color theme="1"/>
        <x:rFont val="Times New Roman"/>
        <x:family val="1"/>
      </x:rPr>
      <x:t xml:space="preserve">-</x:t>
    </x:r>
    <x:r>
      <x:rPr>
        <x:b/>
        <x:sz val="11"/>
        <x:color theme="1"/>
        <x:rFont val="宋体"/>
        <x:family val="3"/>
      </x:rPr>
      <x:t xml:space="preserve">折旧</x:t>
    </x:r>
  </x:si>
  <x:si>
    <x:t xml:space="preserve">2026/1/31</x:t>
  </x:si>
  <x:si>
    <x:t xml:space="preserve">单据编号ZJTZ00000111的折旧计提</x:t>
  </x:si>
  <x:si>
    <x:t xml:space="preserve">2026/2/28</x:t>
  </x:si>
  <x:si>
    <x:t xml:space="preserve">单据编号ZJTZ00000113的折旧计提</x:t>
  </x:si>
  <x:si>
    <x:t xml:space="preserve">单据编号ZJTZ00000117的折旧计提</x:t>
  </x:si>
  <x:si>
    <x:r>
      <x:rPr>
        <x:b/>
        <x:sz val="11"/>
        <x:color theme="1"/>
        <x:rFont val="Times New Roman"/>
        <x:family val="1"/>
      </x:rPr>
      <x:t xml:space="preserve">2026</x:t>
    </x:r>
    <x:r>
      <x:rPr>
        <x:b/>
        <x:sz val="11"/>
        <x:color theme="1"/>
        <x:rFont val="宋体"/>
        <x:family val="3"/>
      </x:rPr>
      <x:t xml:space="preserve">年研发费用审核明细表</x:t>
    </x:r>
    <x:r>
      <x:rPr>
        <x:b/>
        <x:sz val="11"/>
        <x:color theme="1"/>
        <x:rFont val="Times New Roman"/>
        <x:family val="1"/>
      </x:rPr>
      <x:t xml:space="preserve">-</x:t>
    </x:r>
    <x:r>
      <x:rPr>
        <x:b/>
        <x:sz val="11"/>
        <x:color theme="1"/>
        <x:rFont val="宋体"/>
        <x:family val="3"/>
      </x:rPr>
      <x:t xml:space="preserve">业务招待费</x:t>
    </x:r>
  </x:si>
  <x:si>
    <x:t xml:space="preserve">2026/1/6</x:t>
  </x:si>
  <x:si>
    <x:t xml:space="preserve">付王刘超报销业务招待费</x:t>
  </x:si>
  <x:si>
    <x:t xml:space="preserve">2026/1/27</x:t>
  </x:si>
  <x:si>
    <x:t xml:space="preserve">李智出差业务招待费</x:t>
  </x:si>
  <x:si>
    <x:t xml:space="preserve">2026/3/6</x:t>
  </x:si>
  <x:si>
    <x:t xml:space="preserve">付叶俊余年会住宿费报销</x:t>
  </x:si>
  <x:si>
    <x:r>
      <x:rPr>
        <x:b/>
        <x:sz val="11"/>
        <x:color theme="1"/>
        <x:rFont val="Times New Roman"/>
        <x:family val="1"/>
      </x:rPr>
      <x:t xml:space="preserve">2026</x:t>
    </x:r>
    <x:r>
      <x:rPr>
        <x:b/>
        <x:sz val="11"/>
        <x:color theme="1"/>
        <x:rFont val="宋体"/>
        <x:family val="3"/>
      </x:rPr>
      <x:t xml:space="preserve">年研发费用审核明细表</x:t>
    </x:r>
    <x:r>
      <x:rPr>
        <x:b/>
        <x:sz val="11"/>
        <x:color theme="1"/>
        <x:rFont val="Times New Roman"/>
        <x:family val="1"/>
      </x:rPr>
      <x:t xml:space="preserve">-</x:t>
    </x:r>
    <x:r>
      <x:rPr>
        <x:b/>
        <x:sz val="11"/>
        <x:color theme="1"/>
        <x:rFont val="宋体"/>
        <x:family val="3"/>
      </x:rPr>
      <x:t xml:space="preserve">差旅费</x:t>
    </x:r>
  </x:si>
  <x:si>
    <x:r>
      <x:rPr>
        <x:b/>
        <x:sz val="11"/>
        <x:color theme="1"/>
        <x:rFont val="Times New Roman"/>
        <x:family val="1"/>
      </x:rPr>
      <x:t xml:space="preserve">2026</x:t>
    </x:r>
    <x:r>
      <x:rPr>
        <x:b/>
        <x:sz val="11"/>
        <x:color theme="1"/>
        <x:rFont val="宋体"/>
        <x:family val="3"/>
      </x:rPr>
      <x:t xml:space="preserve">年研发费用审核明细表</x:t>
    </x:r>
    <x:r>
      <x:rPr>
        <x:b/>
        <x:sz val="11"/>
        <x:color theme="1"/>
        <x:rFont val="Times New Roman"/>
        <x:family val="1"/>
      </x:rPr>
      <x:t xml:space="preserve">-</x:t>
    </x:r>
    <x:r>
      <x:rPr>
        <x:b/>
        <x:sz val="11"/>
        <x:color theme="1"/>
        <x:rFont val="宋体"/>
        <x:family val="3"/>
      </x:rPr>
      <x:t xml:space="preserve">办公费</x:t>
    </x:r>
  </x:si>
  <x:si>
    <x:t xml:space="preserve">付王刘超报销差旅费-交通费</x:t>
  </x:si>
  <x:si>
    <x:t xml:space="preserve">付王刘超报销差旅费-住宿费</x:t>
  </x:si>
  <x:si>
    <x:t xml:space="preserve">付王小平差旅费报销</x:t>
  </x:si>
  <x:si>
    <x:t xml:space="preserve">侯向楠报销差旅费用</x:t>
  </x:si>
  <x:si>
    <x:t xml:space="preserve">付侯向楠差旅补贴</x:t>
  </x:si>
  <x:si>
    <x:t xml:space="preserve">仝淼报销出差补贴费用</x:t>
  </x:si>
  <x:si>
    <x:t xml:space="preserve">张祥差旅补贴费</x:t>
  </x:si>
  <x:si>
    <x:t xml:space="preserve">张祥差旅交通费</x:t>
  </x:si>
  <x:si>
    <x:t xml:space="preserve">张祥差旅住宿费</x:t>
  </x:si>
  <x:si>
    <x:t xml:space="preserve">周洪雷差旅交通费</x:t>
  </x:si>
  <x:si>
    <x:t xml:space="preserve">李智报销差旅交通费</x:t>
  </x:si>
  <x:si>
    <x:t xml:space="preserve">李智报销差旅住宿费</x:t>
  </x:si>
  <x:si>
    <x:t xml:space="preserve">董清华报销差旅交通费</x:t>
  </x:si>
  <x:si>
    <x:t xml:space="preserve">王博文报销差旅补贴费</x:t>
  </x:si>
  <x:si>
    <x:t xml:space="preserve">2026/2/10</x:t>
  </x:si>
  <x:si>
    <x:t xml:space="preserve">王博文报销差旅住宿费</x:t>
  </x:si>
  <x:si>
    <x:t xml:space="preserve">王博文报销差旅交通费</x:t>
  </x:si>
  <x:si>
    <x:t xml:space="preserve">2026/2/12</x:t>
  </x:si>
  <x:si>
    <x:t xml:space="preserve">胡惧报销差旅交通费用</x:t>
  </x:si>
  <x:si>
    <x:t xml:space="preserve">胡惧报销差旅住宿费用</x:t>
  </x:si>
  <x:si>
    <x:t xml:space="preserve">解政报销差旅交通费</x:t>
  </x:si>
  <x:si>
    <x:t xml:space="preserve">解政报销差旅住宿费</x:t>
  </x:si>
  <x:si>
    <x:t xml:space="preserve">2026/3/9</x:t>
  </x:si>
  <x:si>
    <x:t xml:space="preserve">王博文报销差旅费用</x:t>
  </x:si>
  <x:si>
    <x:t xml:space="preserve">2026/3/27</x:t>
  </x:si>
  <x:si>
    <x:t xml:space="preserve">胡惧报销差旅费用</x:t>
  </x:si>
  <x:si>
    <x:r>
      <x:rPr>
        <x:b/>
        <x:sz val="11"/>
        <x:color theme="1"/>
        <x:rFont val="Times New Roman"/>
        <x:family val="1"/>
      </x:rPr>
      <x:t xml:space="preserve">2026</x:t>
    </x:r>
    <x:r>
      <x:rPr>
        <x:b/>
        <x:sz val="11"/>
        <x:color theme="1"/>
        <x:rFont val="宋体"/>
        <x:family val="3"/>
      </x:rPr>
      <x:t xml:space="preserve">年研发费用审核明细表</x:t>
    </x:r>
    <x:r>
      <x:rPr>
        <x:b/>
        <x:sz val="11"/>
        <x:color theme="1"/>
        <x:rFont val="Times New Roman"/>
        <x:family val="1"/>
      </x:rPr>
      <x:t xml:space="preserve">-</x:t>
    </x:r>
    <x:r>
      <x:rPr>
        <x:b/>
        <x:sz val="11"/>
        <x:color theme="1"/>
        <x:rFont val="宋体"/>
        <x:family val="3"/>
      </x:rPr>
      <x:t xml:space="preserve">交通费</x:t>
    </x:r>
  </x:si>
  <x:si>
    <x:r>
      <x:rPr>
        <x:b/>
        <x:sz val="11"/>
        <x:color theme="1"/>
        <x:rFont val="Times New Roman"/>
        <x:family val="1"/>
      </x:rPr>
      <x:t xml:space="preserve">2026</x:t>
    </x:r>
    <x:r>
      <x:rPr>
        <x:b/>
        <x:sz val="11"/>
        <x:color theme="1"/>
        <x:rFont val="宋体"/>
        <x:family val="3"/>
      </x:rPr>
      <x:t xml:space="preserve">年研发费用审核明细表</x:t>
    </x:r>
    <x:r>
      <x:rPr>
        <x:b/>
        <x:sz val="11"/>
        <x:color theme="1"/>
        <x:rFont val="Times New Roman"/>
        <x:family val="1"/>
      </x:rPr>
      <x:t xml:space="preserve">-</x:t>
    </x:r>
    <x:r>
      <x:rPr>
        <x:b/>
        <x:sz val="11"/>
        <x:color theme="1"/>
        <x:rFont val="宋体"/>
        <x:family val="3"/>
      </x:rPr>
      <x:t xml:space="preserve">会展费</x:t>
    </x:r>
  </x:si>
  <x:si>
    <x:r>
      <x:rPr>
        <x:b/>
        <x:sz val="11"/>
        <x:color theme="1"/>
        <x:rFont val="Times New Roman"/>
        <x:family val="1"/>
      </x:rPr>
      <x:t xml:space="preserve">2026</x:t>
    </x:r>
    <x:r>
      <x:rPr>
        <x:b/>
        <x:sz val="11"/>
        <x:color theme="1"/>
        <x:rFont val="宋体"/>
        <x:family val="3"/>
      </x:rPr>
      <x:t xml:space="preserve">年研发费用审核明细表</x:t>
    </x:r>
    <x:r>
      <x:rPr>
        <x:b/>
        <x:sz val="11"/>
        <x:color theme="1"/>
        <x:rFont val="Times New Roman"/>
        <x:family val="1"/>
      </x:rPr>
      <x:t xml:space="preserve">-</x:t>
    </x:r>
    <x:r>
      <x:rPr>
        <x:b/>
        <x:sz val="11"/>
        <x:color theme="1"/>
        <x:rFont val="宋体"/>
        <x:family val="3"/>
      </x:rPr>
      <x:t xml:space="preserve">租金</x:t>
    </x:r>
  </x:si>
  <x:si>
    <x:t xml:space="preserve">2026/1/1</x:t>
  </x:si>
  <x:si>
    <x:t xml:space="preserve">年初余额</x:t>
  </x:si>
  <x:si>
    <x:t xml:space="preserve">平</x:t>
  </x:si>
  <x:si>
    <x:t xml:space="preserve">计提2026.01月厂房租金（未收发票）--江苏亨通光导新材料有限公司</x:t>
  </x:si>
  <x:si>
    <x:t xml:space="preserve">本期合计</x:t>
  </x:si>
  <x:si>
    <x:t xml:space="preserve">本年累计</x:t>
  </x:si>
  <x:si>
    <x:t xml:space="preserve">计提2026.02月厂房租金（未收发票）--江苏亨通光导新材料有限公司</x:t>
  </x:si>
  <x:si>
    <x:t xml:space="preserve">冲销1-181#计提2026.01月厂房租金（未收发票）--江苏亨通光导新材料有限公司</x:t>
  </x:si>
  <x:si>
    <x:t xml:space="preserve">冲销2-156#计提2026.02月厂房租金（未收发票）--江苏亨通光导新材料有限公司</x:t>
  </x:si>
  <x:si>
    <x:t xml:space="preserve">补摊销办公室及厂房租金--202601月</x:t>
  </x:si>
  <x:si>
    <x:t xml:space="preserve">补摊销办公室及厂房租金--202602月</x:t>
  </x:si>
  <x:si>
    <x:t xml:space="preserve">摊销办公室及厂房租金--202603月</x:t>
  </x:si>
  <x:si>
    <x:r>
      <x:rPr>
        <x:b/>
        <x:sz val="11"/>
        <x:color theme="1"/>
        <x:rFont val="Times New Roman"/>
        <x:family val="1"/>
      </x:rPr>
      <x:t xml:space="preserve">2026</x:t>
    </x:r>
    <x:r>
      <x:rPr>
        <x:b/>
        <x:sz val="11"/>
        <x:color theme="1"/>
        <x:rFont val="宋体"/>
        <x:family val="3"/>
      </x:rPr>
      <x:t xml:space="preserve">年研发费用审核明细表</x:t>
    </x:r>
    <x:r>
      <x:rPr>
        <x:b/>
        <x:sz val="11"/>
        <x:color theme="1"/>
        <x:rFont val="Times New Roman"/>
        <x:family val="1"/>
      </x:rPr>
      <x:t xml:space="preserve">-</x:t>
    </x:r>
    <x:r>
      <x:rPr>
        <x:b/>
        <x:sz val="11"/>
        <x:color theme="1"/>
        <x:rFont val="宋体"/>
        <x:family val="3"/>
      </x:rPr>
      <x:t xml:space="preserve">福利费</x:t>
    </x:r>
  </x:si>
  <x:si>
    <x:t xml:space="preserve">员工宿舍房租税金332005251200024712--陈莹(伟业优橙家11幢2107室)</x:t>
  </x:si>
  <x:si>
    <x:t xml:space="preserve">2026/1/13</x:t>
  </x:si>
  <x:si>
    <x:t xml:space="preserve">支付实习人员1月公寓房租322825021--苏州叶桥屋房屋租赁管理有限公司</x:t>
  </x:si>
  <x:si>
    <x:t xml:space="preserve">樊荣报销实习生宿舍的枕头、被褥采购款</x:t>
  </x:si>
  <x:si>
    <x:t xml:space="preserve">付吕天杰代报-朱庆报销员工福利费（零食）</x:t>
  </x:si>
  <x:si>
    <x:t xml:space="preserve">李彬彬报销研发团队零食费</x:t>
  </x:si>
  <x:si>
    <x:t xml:space="preserve">董清华报销部门聚餐费</x:t>
  </x:si>
  <x:si>
    <x:t xml:space="preserve">摊销员工宿舍房租(1月)--吴媛媛 (迎春乐家7-3-306室)</x:t>
  </x:si>
  <x:si>
    <x:t xml:space="preserve">摊销员工房租--优橙家11-2107（董清华）</x:t>
  </x:si>
  <x:si>
    <x:t xml:space="preserve">实习人员1月餐费（170张*12=2040元）--吴江经济技术开发区聚友餐饮店</x:t>
  </x:si>
  <x:si>
    <x:t xml:space="preserve">实习人员1月餐费（163张*15=2445元）--江苏亨通光导新材料有限公司</x:t>
  </x:si>
  <x:si>
    <x:t xml:space="preserve">补摊销员工房租（2025年12月)--优橙家11-2107（董清华）</x:t>
  </x:si>
  <x:si>
    <x:t xml:space="preserve">预提吴江人才公寓房租--（402室 实习人员）（12月）</x:t>
  </x:si>
  <x:si>
    <x:t xml:space="preserve">预提吴江人才公寓房租--（403室 王刘超）（12月）</x:t>
  </x:si>
  <x:si>
    <x:t xml:space="preserve">预提吴江人才公寓房租--（404室 张华军）（12月）</x:t>
  </x:si>
  <x:si>
    <x:t xml:space="preserve">预提吴江人才公寓房租物业费--（402室 实习人员）（12月）</x:t>
  </x:si>
  <x:si>
    <x:t xml:space="preserve">预提吴江人才公寓房租物业费--（403室 王刘超）（12月）</x:t>
  </x:si>
  <x:si>
    <x:t xml:space="preserve">预提吴江人才公寓房租物业费--（404室 张华军）（12月）</x:t>
  </x:si>
  <x:si>
    <x:t xml:space="preserve">山姆采购实习生春节礼品25份289648581-山姆百货零售有限公司</x:t>
  </x:si>
  <x:si>
    <x:t xml:space="preserve">朱庆报销零食费967863841</x:t>
  </x:si>
  <x:si>
    <x:t xml:space="preserve">李彬彬报销部门零食费</x:t>
  </x:si>
  <x:si>
    <x:t xml:space="preserve">实习生房间水电费1157193301--苏州叶桥屋房屋租赁管理有限公司</x:t>
  </x:si>
  <x:si>
    <x:t xml:space="preserve">实习生房间卫生费5316546--苏州叶桥屋房屋租赁管理有限公司</x:t>
  </x:si>
  <x:si>
    <x:t xml:space="preserve">仝淼报销部门聚餐费</x:t>
  </x:si>
  <x:si>
    <x:t xml:space="preserve">侯向楠报销员工私车公用补贴</x:t>
  </x:si>
  <x:si>
    <x:t xml:space="preserve">员工过年礼品309668127--山姆百货零售有限公司--研发+实习人员43份</x:t>
  </x:si>
  <x:si>
    <x:t xml:space="preserve">实习人员2月餐费（86张*12=1032元）--吴江经济技术开发区聚友餐饮店</x:t>
  </x:si>
  <x:si>
    <x:t xml:space="preserve">实习人员2月餐费（39张*15=585元）--江苏亨通光导新材料有限公司</x:t>
  </x:si>
  <x:si>
    <x:t xml:space="preserve">预提吴江人才公寓房租物业费--(402室 实习人员)(2月)</x:t>
  </x:si>
  <x:si>
    <x:t xml:space="preserve">预提吴江人才公寓房租物业费--(403室 王刘超)(2月)</x:t>
  </x:si>
  <x:si>
    <x:t xml:space="preserve">预提吴江人才公寓房租物业费--(404室 张华军)(2月)</x:t>
  </x:si>
  <x:si>
    <x:t xml:space="preserve">2026/3/5</x:t>
  </x:si>
  <x:si>
    <x:t xml:space="preserve">吴江科技人才公寓2511,2061水电费36769041，36761964</x:t>
  </x:si>
  <x:si>
    <x:t xml:space="preserve">付王竞宇年会住宿费报销</x:t>
  </x:si>
  <x:si>
    <x:t xml:space="preserve">侯向楠报销员工福利费463745956</x:t>
  </x:si>
  <x:si>
    <x:t xml:space="preserve">朱庆报销零食费2032321786</x:t>
  </x:si>
  <x:si>
    <x:t xml:space="preserve">朱庆报销零食费1861547836,70721011</x:t>
  </x:si>
  <x:si>
    <x:t xml:space="preserve">李智报销员工福利费</x:t>
  </x:si>
  <x:si>
    <x:t xml:space="preserve">实习人员2月餐费（11张*12=132元）--吴江经济技术开发区聚友餐饮店</x:t>
  </x:si>
  <x:si>
    <x:t xml:space="preserve">实习人员2月餐费（2张*15=30元）--江苏亨通光导新材料有限公司</x:t>
  </x:si>
  <x:si>
    <x:t xml:space="preserve">摊销员工宿舍房租--吴媛媛 (迎春乐家7-3-306室)</x:t>
  </x:si>
  <x:si>
    <x:t xml:space="preserve">预提吴江人才公寓房租物业费--(402室 实习人员)(3月)</x:t>
  </x:si>
  <x:si>
    <x:t xml:space="preserve">预提吴江人才公寓房租物业费--(403室 王刘超)(3月)</x:t>
  </x:si>
  <x:si>
    <x:t xml:space="preserve">预提吴江人才公寓房租物业费--(404室 张华军)(3月)</x:t>
  </x:si>
  <x:si>
    <x:t xml:space="preserve">计提员工房租--优橙家11-2107（董清华）</x:t>
  </x:si>
  <x:si>
    <x:r>
      <x:rPr>
        <x:b/>
        <x:sz val="11"/>
        <x:color theme="1"/>
        <x:rFont val="Times New Roman"/>
        <x:family val="1"/>
      </x:rPr>
      <x:t xml:space="preserve">2026</x:t>
    </x:r>
    <x:r>
      <x:rPr>
        <x:b/>
        <x:sz val="11"/>
        <x:color theme="1"/>
        <x:rFont val="宋体"/>
        <x:family val="3"/>
      </x:rPr>
      <x:t xml:space="preserve">年研发费用审核明细表</x:t>
    </x:r>
    <x:r>
      <x:rPr>
        <x:b/>
        <x:sz val="11"/>
        <x:color theme="1"/>
        <x:rFont val="Times New Roman"/>
        <x:family val="1"/>
      </x:rPr>
      <x:t xml:space="preserve">-</x:t>
    </x:r>
    <x:r>
      <x:rPr>
        <x:b/>
        <x:sz val="11"/>
        <x:color theme="1"/>
        <x:rFont val="宋体"/>
        <x:family val="3"/>
      </x:rPr>
      <x:t xml:space="preserve">社保明细账</x:t>
    </x:r>
  </x:si>
  <x:si>
    <x:t xml:space="preserve">五险</x:t>
  </x:si>
  <x:si>
    <x:t xml:space="preserve">五险项目</x:t>
  </x:si>
  <x:si>
    <x:t xml:space="preserve">计提1月职工社会保险（企业承担）(效率管理中心)</x:t>
  </x:si>
  <x:si>
    <x:t xml:space="preserve">借</x:t>
  </x:si>
  <x:si>
    <x:t xml:space="preserve">计提职工社会保险（企业承担）(研发中心)（12月）（上海溯驭代缴）</x:t>
  </x:si>
  <x:si>
    <x:t xml:space="preserve">沈佳斌个人养老保险部分由企业承担（1月）</x:t>
  </x:si>
  <x:si>
    <x:t xml:space="preserve">计提职工社会保险（企业承担）(研发中心)（1月）（上海溯驭代缴）</x:t>
  </x:si>
  <x:si>
    <x:t xml:space="preserve">计提2月职工社会保险（企业承担）(苏州研发基地)</x:t>
  </x:si>
  <x:si>
    <x:t xml:space="preserve">计提2月职工社会保险（企业承担）(效率管理中心)</x:t>
  </x:si>
  <x:si>
    <x:t xml:space="preserve">沈佳斌个人养老保险部分由企业承担（2月）</x:t>
  </x:si>
  <x:si>
    <x:t xml:space="preserve">2026/3/24</x:t>
  </x:si>
  <x:si>
    <x:t xml:space="preserve">计提3月职工社会保险（企业承担）(苏州研发基地)</x:t>
  </x:si>
  <x:si>
    <x:t xml:space="preserve">计提3月职工社会保险（企业承担）(效率管理中心)</x:t>
  </x:si>
  <x:si>
    <x:t xml:space="preserve">沈佳斌个人养老保险部分由企业承担（3月）</x:t>
  </x:si>
  <x:si>
    <x:t xml:space="preserve">计提1月职工社会保险（企业承担）(总裁办)</x:t>
  </x:si>
  <x:si>
    <x:t xml:space="preserve">计提1月职工社会保险（企业承担）(研发中心)</x:t>
  </x:si>
  <x:si>
    <x:t xml:space="preserve">沈佳斌个人失业保险部分由企业承担（1月）</x:t>
  </x:si>
  <x:si>
    <x:t xml:space="preserve">沈佳斌个人失业保险部分由企业承担（2月）</x:t>
  </x:si>
  <x:si>
    <x:t xml:space="preserve">沈佳斌个人失业保险部分由企业承担（3月）</x:t>
  </x:si>
  <x:si>
    <x:r>
      <x:rPr>
        <x:b/>
        <x:sz val="11"/>
        <x:color theme="1"/>
        <x:rFont val="Times New Roman"/>
        <x:family val="1"/>
      </x:rPr>
      <x:t xml:space="preserve">2026</x:t>
    </x:r>
    <x:r>
      <x:rPr>
        <x:b/>
        <x:sz val="11"/>
        <x:color theme="1"/>
        <x:rFont val="宋体"/>
        <x:family val="3"/>
      </x:rPr>
      <x:t xml:space="preserve">年研发费用审核明细表</x:t>
    </x:r>
    <x:r>
      <x:rPr>
        <x:b/>
        <x:sz val="11"/>
        <x:color theme="1"/>
        <x:rFont val="Times New Roman"/>
        <x:family val="1"/>
      </x:rPr>
      <x:t xml:space="preserve">-</x:t>
    </x:r>
    <x:r>
      <x:rPr>
        <x:b/>
        <x:sz val="11"/>
        <x:color theme="1"/>
        <x:rFont val="宋体"/>
        <x:family val="3"/>
      </x:rPr>
      <x:t xml:space="preserve">公积金</x:t>
    </x:r>
  </x:si>
  <x:si>
    <x:t xml:space="preserve">计提研发电控应用中心住房公积金（公司承担）（12月）</x:t>
  </x:si>
  <x:si>
    <x:t xml:space="preserve">2026/1/20</x:t>
  </x:si>
  <x:si>
    <x:t xml:space="preserve">计提1月职工住房公积金（企业承担）(研发中心)</x:t>
  </x:si>
  <x:si>
    <x:t xml:space="preserve">计提1月职工住房公积金（企业承担）(效率管理中心)</x:t>
  </x:si>
  <x:si>
    <x:t xml:space="preserve">计提研发电控研发中心住房公积金（公司承担）（1月）</x:t>
  </x:si>
  <x:si>
    <x:t xml:space="preserve">补计提研发员工企业承担公积金--202601月</x:t>
  </x:si>
  <x:si>
    <x:t xml:space="preserve">2026/2/24</x:t>
  </x:si>
  <x:si>
    <x:t xml:space="preserve">计提2月职工住房公积金（企业承担）(研发中心)</x:t>
  </x:si>
  <x:si>
    <x:t xml:space="preserve">计提2月职工住房公积金（企业承担）(效率管理中心)</x:t>
  </x:si>
  <x:si>
    <x:t xml:space="preserve">2026/3/25</x:t>
  </x:si>
  <x:si>
    <x:t xml:space="preserve">计提3月职工住房公积金（企业承担）(研发中心)</x:t>
  </x:si>
  <x:si>
    <x:t xml:space="preserve">计提3月职工住房公积金（企业承担）(效率管理中心)</x:t>
  </x:si>
  <x:si>
    <x:r>
      <x:rPr>
        <x:b/>
        <x:sz val="11"/>
        <x:color theme="1"/>
        <x:rFont val="Times New Roman"/>
        <x:family val="1"/>
      </x:rPr>
      <x:t xml:space="preserve">2026</x:t>
    </x:r>
    <x:r>
      <x:rPr>
        <x:b/>
        <x:sz val="11"/>
        <x:color theme="1"/>
        <x:rFont val="宋体"/>
        <x:family val="3"/>
      </x:rPr>
      <x:t xml:space="preserve">年研发费用审核明细表</x:t>
    </x:r>
    <x:r>
      <x:rPr>
        <x:b/>
        <x:sz val="11"/>
        <x:color theme="1"/>
        <x:rFont val="Times New Roman"/>
        <x:family val="1"/>
      </x:rPr>
      <x:t xml:space="preserve">-</x:t>
    </x:r>
    <x:r>
      <x:rPr>
        <x:b/>
        <x:sz val="11"/>
        <x:color theme="1"/>
        <x:rFont val="宋体"/>
        <x:family val="3"/>
      </x:rPr>
      <x:t xml:space="preserve">工资</x:t>
    </x:r>
  </x:si>
  <x:si>
    <x:t xml:space="preserve">计提本月工资(电控研发中心)</x:t>
  </x:si>
  <x:si>
    <x:t xml:space="preserve">计提本月工资(电控应用中心)</x:t>
  </x:si>
  <x:si>
    <x:t xml:space="preserve">计提本月工资(效率管理中心)</x:t>
  </x:si>
  <x:si>
    <x:t xml:space="preserve">计提本月工资(总裁办)</x:t>
  </x:si>
  <x:si>
    <x:t xml:space="preserve">计提25年年终奖(电控研发中心)</x:t>
  </x:si>
  <x:si>
    <x:t xml:space="preserve">计提25年年终奖(电控应用中心)</x:t>
  </x:si>
  <x:si>
    <x:t xml:space="preserve">计提25年年终奖(效率管理中心)</x:t>
  </x:si>
  <x:si>
    <x:t xml:space="preserve">调整周洪雷2025.6-34#--2023年姑苏重补贴（已在年终奖计提申报和发放）</x:t>
  </x:si>
  <x:si>
    <x:t xml:space="preserve">调整王刘超2025.6-34#--2023年姑苏重补贴（已在年终奖计提申报和发放）</x:t>
  </x:si>
  <x:si>
    <x:r>
      <x:rPr>
        <x:b/>
        <x:sz val="11"/>
        <x:color theme="1"/>
        <x:rFont val="Times New Roman"/>
        <x:family val="1"/>
      </x:rPr>
      <x:t xml:space="preserve">2026</x:t>
    </x:r>
    <x:r>
      <x:rPr>
        <x:b/>
        <x:sz val="11"/>
        <x:color theme="1"/>
        <x:rFont val="宋体"/>
        <x:family val="3"/>
      </x:rPr>
      <x:t xml:space="preserve">年研发费用审核明细表</x:t>
    </x:r>
    <x:r>
      <x:rPr>
        <x:b/>
        <x:sz val="11"/>
        <x:color theme="1"/>
        <x:rFont val="Times New Roman"/>
        <x:family val="1"/>
      </x:rPr>
      <x:t xml:space="preserve">-</x:t>
    </x:r>
    <x:r>
      <x:rPr>
        <x:b/>
        <x:sz val="11"/>
        <x:color theme="1"/>
        <x:rFont val="宋体"/>
        <x:family val="3"/>
      </x:rPr>
      <x:t xml:space="preserve">材料费</x:t>
    </x:r>
  </x:si>
  <x:si>
    <x:r>
      <x:rPr>
        <x:sz val="11"/>
        <x:color rgb="FFFF0000"/>
        <x:rFont val="宋体"/>
        <x:family val="3"/>
      </x:rPr>
      <x:t xml:space="preserve">材料</x:t>
    </x:r>
    <x:r>
      <x:rPr>
        <x:sz val="11"/>
        <x:color rgb="FFFF0000"/>
        <x:rFont val="Times New Roman"/>
        <x:family val="1"/>
      </x:rPr>
      <x:t xml:space="preserve">+</x:t>
    </x:r>
    <x:r>
      <x:rPr>
        <x:sz val="11"/>
        <x:color rgb="FFFF0000"/>
        <x:rFont val="宋体"/>
        <x:family val="3"/>
      </x:rPr>
      <x:t xml:space="preserve">未录入</x:t>
    </x:r>
  </x:si>
  <x:si>
    <x:t xml:space="preserve">sheet1</x:t>
  </x:si>
  <x:si>
    <x:t xml:space="preserve">1月直接材料合计</x:t>
  </x:si>
  <x:si>
    <x:t xml:space="preserve">1月公摊材料合计</x:t>
  </x:si>
  <x:si>
    <x:t xml:space="preserve">1月材料合计</x:t>
  </x:si>
  <x:si>
    <x:r>
      <x:rPr>
        <x:b/>
        <x:sz val="11"/>
        <x:color theme="1"/>
        <x:rFont val="Times New Roman"/>
        <x:family val="1"/>
      </x:rPr>
      <x:t xml:space="preserve">2026</x:t>
    </x:r>
    <x:r>
      <x:rPr>
        <x:b/>
        <x:sz val="11"/>
        <x:color theme="1"/>
        <x:rFont val="宋体"/>
        <x:family val="3"/>
      </x:rPr>
      <x:t xml:space="preserve">年研发费用审核明细表</x:t>
    </x:r>
    <x:r>
      <x:rPr>
        <x:b/>
        <x:sz val="11"/>
        <x:color theme="1"/>
        <x:rFont val="Times New Roman"/>
        <x:family val="1"/>
      </x:rPr>
      <x:t xml:space="preserve">-</x:t>
    </x:r>
    <x:r>
      <x:rPr>
        <x:b/>
        <x:sz val="11"/>
        <x:color theme="1"/>
        <x:rFont val="宋体"/>
        <x:family val="3"/>
      </x:rPr>
      <x:t xml:space="preserve">长期待摊费用</x:t>
    </x:r>
  </x:si>
  <x:si>
    <x:t xml:space="preserve">5301</x:t>
  </x:si>
  <x:si>
    <x:t xml:space="preserve">摊销吴江新办公室装修</x:t>
  </x:si>
  <x:si>
    <x:t xml:space="preserve">摊销空调及新风系统装修</x:t>
  </x:si>
  <x:si>
    <x:t xml:space="preserve">摊销吴江研发总部弱电系统</x:t>
  </x:si>
  <x:si>
    <x:t xml:space="preserve">摊销地毯,窗帘,广告字,广告物资</x:t>
  </x:si>
  <x:si>
    <x:t xml:space="preserve">摊销研发区装修(氢气房强电工程)</x:t>
  </x:si>
  <x:si>
    <x:t xml:space="preserve">摊销实验室装修</x:t>
  </x:si>
  <x:si>
    <x:t xml:space="preserve">摊销厂房装修改造消防设计项目</x:t>
  </x:si>
  <x:si>
    <x:t xml:space="preserve">摊销电缆及与电柜安装</x:t>
  </x:si>
  <x:si>
    <x:t xml:space="preserve">西侧厂房装修</x:t>
  </x:si>
  <x:si>
    <x:t xml:space="preserve">摊销电缆及配电柜安装 倍速链设备二次配</x:t>
  </x:si>
  <x:si>
    <x:t xml:space="preserve">摊销涉氢实验室整改</x:t>
  </x:si>
  <x:si>
    <x:t xml:space="preserve">摊销氢气供应系统配置安装系统</x:t>
  </x:si>
  <x:si>
    <x:t xml:space="preserve">摊销电缆及配电柜安装 实验室二次配</x:t>
  </x:si>
  <x:si>
    <x:t xml:space="preserve">摊销实验室配电柜开关接线整改</x:t>
  </x:si>
  <x:si>
    <x:t xml:space="preserve">摊销厂房改造费</x:t>
  </x:si>
  <x:si>
    <x:r>
      <x:rPr>
        <x:b/>
        <x:sz val="11"/>
        <x:color theme="1"/>
        <x:rFont val="Times New Roman"/>
        <x:family val="1"/>
      </x:rPr>
      <x:t xml:space="preserve">2026</x:t>
    </x:r>
    <x:r>
      <x:rPr>
        <x:b/>
        <x:sz val="11"/>
        <x:color theme="1"/>
        <x:rFont val="宋体"/>
        <x:family val="3"/>
      </x:rPr>
      <x:t xml:space="preserve">年研发费用审核明细表</x:t>
    </x:r>
    <x:r>
      <x:rPr>
        <x:b/>
        <x:sz val="11"/>
        <x:color theme="1"/>
        <x:rFont val="Times New Roman"/>
        <x:family val="1"/>
      </x:rPr>
      <x:t xml:space="preserve">-</x:t>
    </x:r>
    <x:r>
      <x:rPr>
        <x:b/>
        <x:sz val="11"/>
        <x:color theme="1"/>
        <x:rFont val="宋体"/>
        <x:family val="3"/>
      </x:rPr>
      <x:t xml:space="preserve">维修费</x:t>
    </x:r>
  </x:si>
  <x:si>
    <x:r>
      <x:rPr>
        <x:b/>
        <x:sz val="11"/>
        <x:color theme="1"/>
        <x:rFont val="Times New Roman"/>
        <x:family val="1"/>
      </x:rPr>
      <x:t xml:space="preserve">2026</x:t>
    </x:r>
    <x:r>
      <x:rPr>
        <x:b/>
        <x:sz val="11"/>
        <x:color theme="1"/>
        <x:rFont val="宋体"/>
        <x:family val="3"/>
      </x:rPr>
      <x:t xml:space="preserve">年研发费用审核明细表</x:t>
    </x:r>
    <x:r>
      <x:rPr>
        <x:b/>
        <x:sz val="11"/>
        <x:color theme="1"/>
        <x:rFont val="Times New Roman"/>
        <x:family val="1"/>
      </x:rPr>
      <x:t xml:space="preserve">-</x:t>
    </x:r>
    <x:r>
      <x:rPr>
        <x:b/>
        <x:sz val="11"/>
        <x:color theme="1"/>
        <x:rFont val="宋体"/>
        <x:family val="3"/>
      </x:rPr>
      <x:t xml:space="preserve">无形资产摊销</x:t>
    </x:r>
  </x:si>
  <x:si>
    <x:t xml:space="preserve">无形资产摊销（防火墙办公用系统）</x:t>
  </x:si>
  <x:si>
    <x:t xml:space="preserve">无形资产摊销（IPGuard加密软件）</x:t>
  </x:si>
  <x:si>
    <x:r>
      <x:rPr>
        <x:b/>
        <x:sz val="11"/>
        <x:color theme="1"/>
        <x:rFont val="Times New Roman"/>
        <x:family val="1"/>
      </x:rPr>
      <x:t xml:space="preserve">2026</x:t>
    </x:r>
    <x:r>
      <x:rPr>
        <x:b/>
        <x:sz val="11"/>
        <x:color theme="1"/>
        <x:rFont val="宋体"/>
        <x:family val="3"/>
      </x:rPr>
      <x:t xml:space="preserve">年研发费用审核明细表</x:t>
    </x:r>
    <x:r>
      <x:rPr>
        <x:b/>
        <x:sz val="11"/>
        <x:color theme="1"/>
        <x:rFont val="Times New Roman"/>
        <x:family val="1"/>
      </x:rPr>
      <x:t xml:space="preserve">-</x:t>
    </x:r>
    <x:r>
      <x:rPr>
        <x:b/>
        <x:sz val="11"/>
        <x:color theme="1"/>
        <x:rFont val="宋体"/>
        <x:family val="3"/>
      </x:rPr>
      <x:t xml:space="preserve">招聘费</x:t>
    </x:r>
  </x:si>
  <x:si>
    <x:t xml:space="preserve">同道精英猎聘摊销</x:t>
  </x:si>
  <x:si>
    <x:t xml:space="preserve">智联招聘渠道使用费用摊销--北京华品博睿网络技术有限公司</x:t>
  </x:si>
  <x:si>
    <x:r>
      <x:rPr>
        <x:b/>
        <x:sz val="11"/>
        <x:color theme="1"/>
        <x:rFont val="Times New Roman"/>
        <x:family val="1"/>
      </x:rPr>
      <x:t xml:space="preserve">2026</x:t>
    </x:r>
    <x:r>
      <x:rPr>
        <x:b/>
        <x:sz val="11"/>
        <x:color theme="1"/>
        <x:rFont val="宋体"/>
        <x:family val="3"/>
      </x:rPr>
      <x:t xml:space="preserve">年研发费用审核明细表</x:t>
    </x:r>
    <x:r>
      <x:rPr>
        <x:b/>
        <x:sz val="11"/>
        <x:color theme="1"/>
        <x:rFont val="Times New Roman"/>
        <x:family val="1"/>
      </x:rPr>
      <x:t xml:space="preserve">-</x:t>
    </x:r>
    <x:r>
      <x:rPr>
        <x:b/>
        <x:sz val="11"/>
        <x:color theme="1"/>
        <x:rFont val="宋体"/>
        <x:family val="3"/>
      </x:rPr>
      <x:t xml:space="preserve">服务费</x:t>
    </x:r>
  </x:si>
  <x:si>
    <x:t xml:space="preserve">2026/2/27</x:t>
  </x:si>
  <x:si>
    <x:t xml:space="preserve">《低温环境无人机用氢电-电池混合动力系统测试规范》技术服务689933971--华兴中科标准技术(北京)有限公司</x:t>
  </x:si>
  <x:si>
    <x:t xml:space="preserve">《氢能全域集成一体化电控系统》技术服务77422726--通标中研标准化技术研究院(北京)有限公司</x:t>
  </x:si>
  <x:si>
    <x:r>
      <x:rPr>
        <x:b/>
        <x:sz val="11"/>
        <x:color theme="1"/>
        <x:rFont val="Times New Roman"/>
        <x:family val="1"/>
      </x:rPr>
      <x:t xml:space="preserve">2026</x:t>
    </x:r>
    <x:r>
      <x:rPr>
        <x:b/>
        <x:sz val="11"/>
        <x:color theme="1"/>
        <x:rFont val="宋体"/>
        <x:family val="3"/>
      </x:rPr>
      <x:t xml:space="preserve">年研发费用审核明细表</x:t>
    </x:r>
    <x:r>
      <x:rPr>
        <x:b/>
        <x:sz val="11"/>
        <x:color theme="1"/>
        <x:rFont val="Times New Roman"/>
        <x:family val="1"/>
      </x:rPr>
      <x:t xml:space="preserve">-</x:t>
    </x:r>
    <x:r>
      <x:rPr>
        <x:b/>
        <x:sz val="11"/>
        <x:color theme="1"/>
        <x:rFont val="宋体"/>
        <x:family val="3"/>
      </x:rPr>
      <x:t xml:space="preserve">专利服务费</x:t>
    </x:r>
  </x:si>
  <x:si>
    <x:t xml:space="preserve">2026/1/8</x:t>
  </x:si>
  <x:si>
    <x:t xml:space="preserve">专利官费及代理费用557651126等--苏州国诚专利代理有限公司</x:t>
  </x:si>
  <x:si>
    <x:t xml:space="preserve">专利官费及代理费用--苏州国诚专利代理有限公司</x:t>
  </x:si>
  <x:si>
    <x:r>
      <x:rPr>
        <x:b/>
        <x:sz val="11"/>
        <x:color theme="1"/>
        <x:rFont val="Times New Roman"/>
        <x:family val="1"/>
      </x:rPr>
      <x:t xml:space="preserve">2026</x:t>
    </x:r>
    <x:r>
      <x:rPr>
        <x:b/>
        <x:sz val="11"/>
        <x:color theme="1"/>
        <x:rFont val="宋体"/>
        <x:family val="3"/>
      </x:rPr>
      <x:t xml:space="preserve">年研发费用审核明细表</x:t>
    </x:r>
    <x:r>
      <x:rPr>
        <x:b/>
        <x:sz val="11"/>
        <x:color theme="1"/>
        <x:rFont val="Times New Roman"/>
        <x:family val="1"/>
      </x:rPr>
      <x:t xml:space="preserve">-</x:t>
    </x:r>
    <x:r>
      <x:rPr>
        <x:b/>
        <x:sz val="11"/>
        <x:color theme="1"/>
        <x:rFont val="宋体"/>
        <x:family val="3"/>
      </x:rPr>
      <x:t xml:space="preserve">水电费</x:t>
    </x:r>
  </x:si>
  <x:si>
    <x:t xml:space="preserve">2026/3/1</x:t>
  </x:si>
  <x:si>
    <x:t xml:space="preserve">苏州2025年11-12月水费4290319--江苏亨通光导新材料有限公司</x:t>
  </x:si>
  <x:si>
    <x:t xml:space="preserve">苏州2025年11-12月电费4290320--江苏亨通光导新材料有限公司</x:t>
  </x:si>
  <x:si>
    <x:r>
      <x:rPr>
        <x:b/>
        <x:sz val="11"/>
        <x:color theme="1"/>
        <x:rFont val="Times New Roman"/>
        <x:family val="1"/>
      </x:rPr>
      <x:t xml:space="preserve">2026</x:t>
    </x:r>
    <x:r>
      <x:rPr>
        <x:b/>
        <x:sz val="11"/>
        <x:color theme="1"/>
        <x:rFont val="宋体"/>
        <x:family val="3"/>
      </x:rPr>
      <x:t xml:space="preserve">年研发费用审核明细表</x:t>
    </x:r>
    <x:r>
      <x:rPr>
        <x:b/>
        <x:sz val="11"/>
        <x:color theme="1"/>
        <x:rFont val="Times New Roman"/>
        <x:family val="1"/>
      </x:rPr>
      <x:t xml:space="preserve">-</x:t>
    </x:r>
    <x:r>
      <x:rPr>
        <x:b/>
        <x:sz val="11"/>
        <x:color theme="1"/>
        <x:rFont val="宋体"/>
        <x:family val="3"/>
      </x:rPr>
      <x:t xml:space="preserve">咨询费</x:t>
    </x:r>
  </x:si>
  <x:si>
    <x:t xml:space="preserve">江苏省专精特新中小企业认定服务费1152786151--智同道合（苏州）信息技术服务有限公司</x:t>
  </x:si>
  <x:si>
    <x:r>
      <x:rPr>
        <x:b/>
        <x:sz val="11"/>
        <x:color theme="1"/>
        <x:rFont val="Times New Roman"/>
        <x:family val="1"/>
      </x:rPr>
      <x:t xml:space="preserve">2026</x:t>
    </x:r>
    <x:r>
      <x:rPr>
        <x:b/>
        <x:sz val="11"/>
        <x:color theme="1"/>
        <x:rFont val="宋体"/>
        <x:family val="3"/>
      </x:rPr>
      <x:t xml:space="preserve">年研发费用审核明细表</x:t>
    </x:r>
    <x:r>
      <x:rPr>
        <x:b/>
        <x:sz val="11"/>
        <x:color theme="1"/>
        <x:rFont val="Times New Roman"/>
        <x:family val="1"/>
      </x:rPr>
      <x:t xml:space="preserve">-</x:t>
    </x:r>
    <x:r>
      <x:rPr>
        <x:b/>
        <x:sz val="11"/>
        <x:color theme="1"/>
        <x:rFont val="宋体"/>
        <x:family val="3"/>
      </x:rPr>
      <x:t xml:space="preserve">测试费</x:t>
    </x:r>
  </x:si>
  <x:si>
    <x:r>
      <x:rPr>
        <x:b/>
        <x:sz val="11"/>
        <x:color theme="1"/>
        <x:rFont val="Times New Roman"/>
        <x:family val="1"/>
      </x:rPr>
      <x:t xml:space="preserve">2026</x:t>
    </x:r>
    <x:r>
      <x:rPr>
        <x:b/>
        <x:sz val="11"/>
        <x:color theme="1"/>
        <x:rFont val="宋体"/>
        <x:family val="3"/>
      </x:rPr>
      <x:t xml:space="preserve">年研发费用审核明细表</x:t>
    </x:r>
    <x:r>
      <x:rPr>
        <x:b/>
        <x:sz val="11"/>
        <x:color theme="1"/>
        <x:rFont val="Times New Roman"/>
        <x:family val="1"/>
      </x:rPr>
      <x:t xml:space="preserve">-</x:t>
    </x:r>
    <x:r>
      <x:rPr>
        <x:b/>
        <x:sz val="11"/>
        <x:color theme="1"/>
        <x:rFont val="宋体"/>
        <x:family val="3"/>
      </x:rPr>
      <x:t xml:space="preserve">职工教育经费</x:t>
    </x:r>
  </x:si>
  <x:si>
    <x:t xml:space="preserve">董清华报销安全技术培训费589723910</x:t>
  </x:si>
  <x:si>
    <x:r>
      <x:rPr>
        <x:b/>
        <x:sz val="11"/>
        <x:color theme="1"/>
        <x:rFont val="Times New Roman"/>
        <x:family val="1"/>
      </x:rPr>
      <x:t xml:space="preserve">2026</x:t>
    </x:r>
    <x:r>
      <x:rPr>
        <x:b/>
        <x:sz val="11"/>
        <x:color theme="1"/>
        <x:rFont val="宋体"/>
        <x:family val="3"/>
      </x:rPr>
      <x:t xml:space="preserve">年研发费用审核明细表</x:t>
    </x:r>
    <x:r>
      <x:rPr>
        <x:b/>
        <x:sz val="11"/>
        <x:color theme="1"/>
        <x:rFont val="Times New Roman"/>
        <x:family val="1"/>
      </x:rPr>
      <x:t xml:space="preserve">-</x:t>
    </x:r>
    <x:r>
      <x:rPr>
        <x:b/>
        <x:sz val="11"/>
        <x:color theme="1"/>
        <x:rFont val="宋体"/>
        <x:family val="3"/>
      </x:rPr>
      <x:t xml:space="preserve">劳动保护费</x:t>
    </x:r>
  </x:si>
</x:sst>
</file>

<file path=xl/styles.xml><?xml version="1.0" encoding="utf-8"?>
<x:styleSheet xmlns:x="http://schemas.openxmlformats.org/spreadsheetml/2006/main">
  <x:numFmts count="5">
    <x:numFmt numFmtId="176" formatCode="_ * #,##0.00_ ;_ * \-#,##0.00_ ;_ * &quot;-&quot;??_ ;_ @_ "/>
    <x:numFmt numFmtId="177" formatCode="0.00_ "/>
    <x:numFmt numFmtId="178" formatCode="#,##0.00_ "/>
    <x:numFmt numFmtId="179" formatCode="0_);[Red]\(0\)"/>
    <x:numFmt numFmtId="180" formatCode="0.00_);[Red]\(0.00\)"/>
  </x:numFmts>
  <x:fonts count="36">
    <x:font>
      <x:sz val="11"/>
      <x:color indexed="8"/>
      <x:name val="宋体"/>
    </x:font>
    <x:font>
      <x:sz val="11"/>
      <x:color theme="1"/>
      <x:name val="Times New Roman"/>
    </x:font>
    <x:font>
      <x:b/>
      <x:sz val="11"/>
      <x:color theme="1"/>
      <x:name val="Times New Roman"/>
    </x:font>
    <x:font>
      <x:sz val="11"/>
      <x:color theme="1"/>
      <x:name val="宋体"/>
    </x:font>
    <x:font>
      <x:sz val="11"/>
      <x:color theme="1"/>
      <x:name val="宋体"/>
    </x:font>
    <x:font>
      <x:b/>
      <x:sz val="11"/>
      <x:color theme="0"/>
      <x:name val="宋体"/>
    </x:font>
    <x:font>
      <x:sz val="10"/>
      <x:name val="微软雅黑"/>
    </x:font>
    <x:font>
      <x:sz val="10"/>
      <x:color theme="1"/>
      <x:name val="Times New Roman"/>
    </x:font>
    <x:font>
      <x:sz val="10"/>
      <x:color theme="1"/>
      <x:name val="宋体"/>
    </x:font>
    <x:font>
      <x:sz val="9"/>
      <x:color theme="1"/>
      <x:name val="Times New Roman"/>
    </x:font>
    <x:font>
      <x:sz val="11"/>
      <x:color rgb="FFFF0000"/>
      <x:name val="宋体"/>
    </x:font>
    <x:font>
      <x:sz val="9"/>
      <x:color rgb="FF000000"/>
      <x:name val="Microsoft YaHei UI"/>
    </x:font>
    <x:font>
      <x:sz val="9"/>
      <x:color rgb="FFFF0000"/>
      <x:name val="Microsoft YaHei UI"/>
    </x:font>
    <x:font>
      <x:sz val="10"/>
      <x:color rgb="FFFFFFFF"/>
      <x:name val="微软雅黑"/>
    </x:font>
    <x:font>
      <x:b/>
      <x:sz val="11"/>
      <x:color theme="0"/>
      <x:name val="宋体"/>
    </x:font>
    <x:font>
      <x:sz val="9"/>
      <x:color theme="1"/>
      <x:name val="宋体"/>
    </x:font>
    <x:font>
      <x:b/>
      <x:sz val="11"/>
      <x:color rgb="FF000000"/>
      <x:name val="微软雅黑"/>
    </x:font>
    <x:font>
      <x:sz val="11"/>
      <x:color rgb="FF000000"/>
      <x:name val="微软雅黑"/>
    </x:font>
    <x:font>
      <x:sz val="11"/>
      <x:name val="微软雅黑"/>
    </x:font>
    <x:font>
      <x:b/>
      <x:sz val="12"/>
      <x:color theme="1"/>
      <x:name val="Times New Roman"/>
    </x:font>
    <x:font>
      <x:b/>
      <x:sz val="11"/>
      <x:color theme="1"/>
      <x:name val="宋体"/>
    </x:font>
    <x:font>
      <x:sz val="11"/>
      <x:color theme="1"/>
      <x:name val="黑体"/>
    </x:font>
    <x:font>
      <x:b/>
      <x:sz val="14"/>
      <x:color theme="1"/>
      <x:name val="黑体"/>
    </x:font>
    <x:font>
      <x:b/>
      <x:sz val="14"/>
      <x:color rgb="FF000000"/>
      <x:name val="黑体"/>
    </x:font>
    <x:font>
      <x:b/>
      <x:sz val="11"/>
      <x:color theme="1"/>
      <x:name val="宋体"/>
    </x:font>
    <x:font>
      <x:sz val="12"/>
      <x:color rgb="FF000000"/>
      <x:name val="黑体"/>
    </x:font>
    <x:font>
      <x:sz val="11"/>
      <x:color indexed="8"/>
      <x:name val="黑体"/>
    </x:font>
    <x:font>
      <x:sz val="12"/>
      <x:name val="黑体"/>
    </x:font>
    <x:font>
      <x:sz val="11"/>
      <x:color indexed="8"/>
      <x:name val="Noto Sans SC Light"/>
    </x:font>
    <x:font>
      <x:sz val="11"/>
      <x:color rgb="FFFF0000"/>
      <x:name val="Times New Roman"/>
    </x:font>
    <x:font>
      <x:sz val="11"/>
      <x:color indexed="8"/>
      <x:name val="宋体"/>
    </x:font>
    <x:font>
      <x:b/>
      <x:sz val="12"/>
      <x:color theme="1"/>
      <x:name val="宋体"/>
    </x:font>
    <x:font>
      <x:b/>
      <x:sz val="11"/>
      <x:color theme="1"/>
      <x:name val="宋体"/>
    </x:font>
    <x:font>
      <x:sz val="11"/>
      <x:color theme="1"/>
      <x:name val="宋体"/>
    </x:font>
    <x:font>
      <x:sz val="11"/>
      <x:color rgb="FFFF0000"/>
      <x:name val="宋体"/>
    </x:font>
    <x:font>
      <x:sz val="9"/>
      <x:name val="FangSong"/>
    </x:font>
  </x:fonts>
  <x:fills count="10">
    <x:fill>
      <x:patternFill patternType="none"/>
    </x:fill>
    <x:fill>
      <x:patternFill patternType="gray125"/>
    </x:fill>
    <x:fill>
      <x:patternFill patternType="solid">
        <x:fgColor theme="4"/>
      </x:patternFill>
    </x:fill>
    <x:fill>
      <x:patternFill patternType="solid">
        <x:fgColor theme="0"/>
      </x:patternFill>
    </x:fill>
    <x:fill>
      <x:patternFill patternType="solid">
        <x:fgColor rgb="FF92D050"/>
      </x:patternFill>
    </x:fill>
    <x:fill>
      <x:patternFill patternType="solid">
        <x:fgColor rgb="FF538DD5"/>
      </x:patternFill>
    </x:fill>
    <x:fill>
      <x:patternFill patternType="solid">
        <x:fgColor rgb="FFFFFF00"/>
      </x:patternFill>
    </x:fill>
    <x:fill>
      <x:patternFill patternType="solid">
        <x:fgColor rgb="FFE2EFDA"/>
      </x:patternFill>
    </x:fill>
    <x:fill>
      <x:patternFill patternType="solid">
        <x:fgColor rgb="FFA6A6A6"/>
      </x:patternFill>
    </x:fill>
    <x:fill>
      <x:patternFill patternType="solid">
        <x:fgColor rgb="FFF0F0F0"/>
      </x:patternFill>
    </x:fill>
  </x:fills>
  <x:borders count="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top style="thin">
        <x:color auto="1"/>
      </x:top>
      <x:bottom style="thin">
        <x:color auto="1"/>
      </x:bottom>
    </x:border>
    <x:border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</x:borders>
  <x:cellStyleXfs count="8">
    <x:xf numFmtId="0" fontId="0" fillId="0" borderId="0">
      <x:alignment vertical="center"/>
    </x:xf>
    <x:xf numFmtId="176" fontId="30" fillId="0" borderId="0" applyFont="0" applyFill="0" applyBorder="0" applyAlignment="0" applyProtection="0">
      <x:alignment vertical="center"/>
    </x:xf>
    <x:xf numFmtId="0" fontId="30" fillId="0" borderId="0">
      <x:alignment vertical="center"/>
    </x:xf>
    <x:xf numFmtId="0" fontId="30" fillId="0" borderId="0">
      <x:alignment vertical="center"/>
    </x:xf>
    <x:xf numFmtId="0" fontId="30" fillId="0" borderId="0">
      <x:alignment vertical="center"/>
    </x:xf>
    <x:xf numFmtId="0" fontId="30" fillId="0" borderId="0">
      <x:alignment vertical="center"/>
    </x:xf>
    <x:xf numFmtId="0" fontId="30" fillId="0" borderId="0">
      <x:alignment vertical="center"/>
    </x:xf>
    <x:xf numFmtId="0" fontId="30" fillId="0" borderId="0">
      <x:alignment vertical="center"/>
    </x:xf>
  </x:cellStyleXfs>
  <x:cellXfs count="141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>
      <x:alignment vertical="center"/>
    </x:xf>
    <x:xf numFmtId="0" fontId="1" fillId="0" borderId="0" xfId="0" applyFont="1" applyAlignment="1">
      <x:alignment vertical="center" wrapText="1"/>
    </x:xf>
    <x:xf numFmtId="176" fontId="3" fillId="0" borderId="0" xfId="1" applyFont="1" applyAlignment="1">
      <x:alignment vertical="center"/>
    </x:xf>
    <x:xf numFmtId="176" fontId="1" fillId="0" borderId="0" xfId="1" applyFont="1" applyAlignment="1">
      <x:alignment vertical="center"/>
    </x:xf>
    <x:xf numFmtId="176" fontId="2" fillId="0" borderId="0" xfId="1" applyFont="1" applyAlignment="1">
      <x:alignment vertical="center"/>
    </x:xf>
    <x:xf numFmtId="0" fontId="0" fillId="0" borderId="1" xfId="0" applyBorder="1">
      <x:alignment vertical="center"/>
    </x:xf>
    <x:xf numFmtId="0" fontId="4" fillId="0" borderId="1" xfId="0" applyFont="1" applyBorder="1">
      <x:alignment vertical="center"/>
    </x:xf>
    <x:xf numFmtId="3" fontId="0" fillId="0" borderId="1" xfId="0" applyNumberFormat="1" applyBorder="1" applyAlignment="1"/>
    <x:xf numFmtId="4" fontId="0" fillId="0" borderId="1" xfId="0" applyNumberFormat="1" applyBorder="1" applyAlignment="1"/>
    <x:xf numFmtId="0" fontId="0" fillId="0" borderId="1" xfId="0" applyBorder="1" applyAlignment="1">
      <x:alignment horizontal="center" vertical="center"/>
    </x:xf>
    <x:xf numFmtId="0" fontId="5" fillId="2" borderId="1" xfId="0" applyFont="1" applyFill="1" applyBorder="1" applyAlignment="1">
      <x:alignment horizontal="center" vertical="center"/>
    </x:xf>
    <x:xf numFmtId="0" fontId="0" fillId="3" borderId="1" xfId="0" applyFill="1" applyBorder="1" applyAlignment="1">
      <x:alignment horizontal="center" vertical="center"/>
    </x:xf>
    <x:xf numFmtId="10" fontId="0" fillId="0" borderId="1" xfId="0" applyNumberFormat="1" applyBorder="1">
      <x:alignment vertical="center"/>
    </x:xf>
    <x:xf numFmtId="0" fontId="6" fillId="3" borderId="1" xfId="0" applyFont="1" applyFill="1" applyBorder="1" applyAlignment="1">
      <x:alignment horizontal="center" vertical="center" wrapText="1"/>
    </x:xf>
    <x:xf numFmtId="0" fontId="7" fillId="0" borderId="0" xfId="0" applyFont="1">
      <x:alignment vertical="center"/>
    </x:xf>
    <x:xf numFmtId="0" fontId="8" fillId="0" borderId="0" xfId="0" applyFont="1">
      <x:alignment vertical="center"/>
    </x:xf>
    <x:xf numFmtId="0" fontId="9" fillId="0" borderId="0" xfId="0" applyFont="1" applyAlignment="1">
      <x:alignment horizontal="left" vertical="center"/>
    </x:xf>
    <x:xf numFmtId="177" fontId="0" fillId="0" borderId="1" xfId="0" applyNumberFormat="1" applyBorder="1">
      <x:alignment vertical="center"/>
    </x:xf>
    <x:xf numFmtId="4" fontId="0" fillId="0" borderId="0" xfId="0" applyNumberFormat="1" applyAlignment="1"/>
    <x:xf numFmtId="3" fontId="0" fillId="0" borderId="0" xfId="0" applyNumberFormat="1" applyAlignment="1"/>
    <x:xf numFmtId="0" fontId="4" fillId="0" borderId="0" xfId="0" applyFont="1">
      <x:alignment vertical="center"/>
    </x:xf>
    <x:xf numFmtId="178" fontId="4" fillId="0" borderId="0" xfId="0" applyNumberFormat="1" applyFont="1">
      <x:alignment vertical="center"/>
    </x:xf>
    <x:xf numFmtId="176" fontId="10" fillId="0" borderId="0" xfId="1" applyFont="1" applyAlignment="1">
      <x:alignment vertical="center"/>
    </x:xf>
    <x:xf numFmtId="178" fontId="4" fillId="0" borderId="1" xfId="0" applyNumberFormat="1" applyFont="1" applyBorder="1" applyAlignment="1">
      <x:alignment horizontal="center" vertical="center"/>
    </x:xf>
    <x:xf numFmtId="49" fontId="11" fillId="3" borderId="1" xfId="0" applyNumberFormat="1" applyFont="1" applyFill="1" applyBorder="1" applyAlignment="1">
      <x:alignment horizontal="left" vertical="center"/>
    </x:xf>
    <x:xf numFmtId="4" fontId="11" fillId="3" borderId="1" xfId="0" applyNumberFormat="1" applyFont="1" applyFill="1" applyBorder="1" applyAlignment="1">
      <x:alignment horizontal="right" vertical="center"/>
    </x:xf>
    <x:xf numFmtId="4" fontId="12" fillId="3" borderId="1" xfId="0" applyNumberFormat="1" applyFont="1" applyFill="1" applyBorder="1" applyAlignment="1">
      <x:alignment horizontal="right" vertical="center"/>
    </x:xf>
    <x:xf numFmtId="0" fontId="4" fillId="0" borderId="1" xfId="0" applyFont="1" applyBorder="1" applyAlignment="1">
      <x:alignment horizontal="center" vertical="center"/>
    </x:xf>
    <x:xf numFmtId="178" fontId="4" fillId="0" borderId="1" xfId="0" applyNumberFormat="1" applyFont="1" applyBorder="1">
      <x:alignment vertical="center"/>
    </x:xf>
    <x:xf numFmtId="176" fontId="1" fillId="0" borderId="0" xfId="1" applyFont="1" applyAlignment="1">
      <x:alignment horizontal="right" vertical="center"/>
    </x:xf>
    <x:xf numFmtId="0" fontId="1" fillId="0" borderId="0" xfId="0" applyFont="1" applyAlignment="1">
      <x:alignment horizontal="center" vertical="center"/>
    </x:xf>
    <x:xf numFmtId="0" fontId="30" fillId="0" borderId="1" xfId="4" applyBorder="1">
      <x:alignment vertical="center"/>
    </x:xf>
    <x:xf numFmtId="0" fontId="1" fillId="0" borderId="1" xfId="0" applyFont="1" applyBorder="1" applyAlignment="1">
      <x:alignment horizontal="center" vertical="center"/>
    </x:xf>
    <x:xf numFmtId="0" fontId="7" fillId="0" borderId="1" xfId="0" applyFont="1" applyBorder="1">
      <x:alignment vertical="center"/>
    </x:xf>
    <x:xf numFmtId="4" fontId="0" fillId="4" borderId="1" xfId="0" applyNumberFormat="1" applyFill="1" applyBorder="1" applyAlignment="1"/>
    <x:xf numFmtId="0" fontId="1" fillId="0" borderId="1" xfId="0" applyFont="1" applyBorder="1">
      <x:alignment vertical="center"/>
    </x:xf>
    <x:xf numFmtId="176" fontId="1" fillId="0" borderId="1" xfId="1" applyFont="1" applyBorder="1" applyAlignment="1">
      <x:alignment horizontal="right" vertical="center"/>
    </x:xf>
    <x:xf numFmtId="0" fontId="9" fillId="0" borderId="1" xfId="0" applyFont="1" applyBorder="1" applyAlignment="1">
      <x:alignment horizontal="left" vertical="center"/>
    </x:xf>
    <x:xf numFmtId="0" fontId="0" fillId="0" borderId="2" xfId="0" applyBorder="1">
      <x:alignment vertical="center"/>
    </x:xf>
    <x:xf numFmtId="0" fontId="0" fillId="0" borderId="3" xfId="0" applyBorder="1">
      <x:alignment vertical="center"/>
    </x:xf>
    <x:xf numFmtId="3" fontId="0" fillId="0" borderId="3" xfId="0" applyNumberFormat="1" applyBorder="1" applyAlignment="1"/>
    <x:xf numFmtId="0" fontId="0" fillId="0" borderId="4" xfId="0" applyBorder="1">
      <x:alignment vertical="center"/>
    </x:xf>
    <x:xf numFmtId="10" fontId="0" fillId="0" borderId="0" xfId="0" applyNumberFormat="1">
      <x:alignment vertical="center"/>
    </x:xf>
    <x:xf numFmtId="176" fontId="2" fillId="0" borderId="0" xfId="1" applyFont="1" applyAlignment="1">
      <x:alignment horizontal="center" vertical="center"/>
    </x:xf>
    <x:xf numFmtId="0" fontId="0" fillId="0" borderId="5" xfId="0" applyBorder="1">
      <x:alignment vertical="center"/>
    </x:xf>
    <x:xf numFmtId="3" fontId="0" fillId="0" borderId="5" xfId="0" applyNumberFormat="1" applyBorder="1" applyAlignment="1"/>
    <x:xf numFmtId="0" fontId="0" fillId="0" borderId="6" xfId="0" applyBorder="1">
      <x:alignment vertical="center"/>
    </x:xf>
    <x:xf numFmtId="0" fontId="0" fillId="0" borderId="7" xfId="0" applyBorder="1">
      <x:alignment vertical="center"/>
    </x:xf>
    <x:xf numFmtId="3" fontId="0" fillId="0" borderId="7" xfId="0" applyNumberFormat="1" applyBorder="1" applyAlignment="1"/>
    <x:xf numFmtId="0" fontId="13" fillId="5" borderId="1" xfId="0" applyFont="1" applyFill="1" applyBorder="1" applyAlignment="1">
      <x:alignment horizontal="center" vertical="center" wrapText="1"/>
    </x:xf>
    <x:xf numFmtId="10" fontId="13" fillId="5" borderId="1" xfId="0" applyNumberFormat="1" applyFont="1" applyFill="1" applyBorder="1" applyAlignment="1">
      <x:alignment horizontal="center" vertical="center" wrapText="1"/>
    </x:xf>
    <x:xf numFmtId="10" fontId="7" fillId="0" borderId="0" xfId="0" applyNumberFormat="1" applyFont="1">
      <x:alignment vertical="center"/>
    </x:xf>
    <x:xf numFmtId="4" fontId="0" fillId="0" borderId="0" xfId="0" applyNumberFormat="1">
      <x:alignment vertical="center"/>
    </x:xf>
    <x:xf numFmtId="0" fontId="15" fillId="0" borderId="1" xfId="0" applyFont="1" applyBorder="1" applyAlignment="1">
      <x:alignment horizontal="center" vertical="center" wrapText="1"/>
    </x:xf>
    <x:xf numFmtId="0" fontId="15" fillId="0" borderId="7" xfId="0" applyFont="1" applyBorder="1" applyAlignment="1">
      <x:alignment horizontal="center" vertical="center" wrapText="1"/>
    </x:xf>
    <x:xf numFmtId="49" fontId="16" fillId="0" borderId="1" xfId="0" applyNumberFormat="1" applyFont="1" applyBorder="1" applyAlignment="1">
      <x:alignment horizontal="center" vertical="center" wrapText="1"/>
    </x:xf>
    <x:xf numFmtId="0" fontId="17" fillId="0" borderId="1" xfId="0" applyFont="1" applyBorder="1" applyAlignment="1">
      <x:alignment horizontal="center" vertical="center"/>
    </x:xf>
    <x:xf numFmtId="0" fontId="18" fillId="0" borderId="1" xfId="0" applyFont="1" applyBorder="1" applyAlignment="1">
      <x:alignment horizontal="center" vertical="center"/>
    </x:xf>
    <x:xf numFmtId="0" fontId="17" fillId="0" borderId="1" xfId="0" applyFont="1" applyBorder="1" applyAlignment="1">
      <x:alignment horizontal="center" vertical="center" wrapText="1"/>
    </x:xf>
    <x:xf numFmtId="0" fontId="18" fillId="0" borderId="1" xfId="0" applyFont="1" applyBorder="1" applyAlignment="1">
      <x:alignment horizontal="center" vertical="center" wrapText="1"/>
    </x:xf>
    <x:xf numFmtId="0" fontId="18" fillId="7" borderId="1" xfId="0" applyFont="1" applyFill="1" applyBorder="1" applyAlignment="1">
      <x:alignment horizontal="center" vertical="center"/>
    </x:xf>
    <x:xf numFmtId="177" fontId="4" fillId="0" borderId="1" xfId="0" applyNumberFormat="1" applyFont="1" applyBorder="1">
      <x:alignment vertical="center"/>
    </x:xf>
    <x:xf numFmtId="0" fontId="4" fillId="0" borderId="0" xfId="0" applyFont="1" applyAlignment="1">
      <x:alignment horizontal="center" vertical="center"/>
    </x:xf>
    <x:xf numFmtId="179" fontId="16" fillId="8" borderId="1" xfId="0" applyNumberFormat="1" applyFont="1" applyFill="1" applyBorder="1" applyAlignment="1">
      <x:alignment horizontal="center" vertical="center" wrapText="1"/>
    </x:xf>
    <x:xf numFmtId="0" fontId="16" fillId="8" borderId="1" xfId="0" applyFont="1" applyFill="1" applyBorder="1" applyAlignment="1">
      <x:alignment horizontal="center" vertical="center" wrapText="1"/>
    </x:xf>
    <x:xf numFmtId="0" fontId="14" fillId="2" borderId="1" xfId="0" applyFont="1" applyFill="1" applyBorder="1" applyAlignment="1">
      <x:alignment horizontal="center" vertical="center"/>
    </x:xf>
    <x:xf numFmtId="177" fontId="4" fillId="0" borderId="0" xfId="0" applyNumberFormat="1" applyFont="1">
      <x:alignment vertical="center"/>
    </x:xf>
    <x:xf numFmtId="0" fontId="0" fillId="6" borderId="1" xfId="0" applyFill="1" applyBorder="1">
      <x:alignment vertical="center"/>
    </x:xf>
    <x:xf numFmtId="0" fontId="3" fillId="0" borderId="1" xfId="0" applyFont="1" applyBorder="1">
      <x:alignment vertical="center"/>
    </x:xf>
    <x:xf numFmtId="178" fontId="1" fillId="0" borderId="1" xfId="1" applyNumberFormat="1" applyFont="1" applyFill="1" applyBorder="1" applyAlignment="1">
      <x:alignment horizontal="right" vertical="center"/>
    </x:xf>
    <x:xf numFmtId="176" fontId="1" fillId="0" borderId="1" xfId="1" applyFont="1" applyFill="1" applyBorder="1" applyAlignment="1">
      <x:alignment horizontal="right" vertical="center"/>
    </x:xf>
    <x:xf numFmtId="0" fontId="3" fillId="0" borderId="1" xfId="0" applyFont="1" applyBorder="1" applyAlignment="1">
      <x:alignment horizontal="left" vertical="center"/>
    </x:xf>
    <x:xf numFmtId="176" fontId="2" fillId="0" borderId="1" xfId="1" applyFont="1" applyFill="1" applyBorder="1" applyAlignment="1">
      <x:alignment horizontal="right" vertical="center"/>
    </x:xf>
    <x:xf numFmtId="176" fontId="1" fillId="0" borderId="0" xfId="1" applyFont="1" applyFill="1" applyAlignment="1">
      <x:alignment horizontal="right" vertical="center"/>
    </x:xf>
    <x:xf numFmtId="176" fontId="1" fillId="0" borderId="0" xfId="1" applyFont="1" applyFill="1" applyAlignment="1">
      <x:alignment horizontal="center" vertical="center"/>
    </x:xf>
    <x:xf numFmtId="0" fontId="21" fillId="0" borderId="0" xfId="0" applyFont="1" applyAlignment="1"/>
    <x:xf numFmtId="0" fontId="4" fillId="0" borderId="0" xfId="0" applyFont="1" applyAlignment="1"/>
    <x:xf numFmtId="0" fontId="22" fillId="3" borderId="1" xfId="0" applyFont="1" applyFill="1" applyBorder="1" applyAlignment="1">
      <x:alignment horizontal="center" vertical="center"/>
    </x:xf>
    <x:xf numFmtId="49" fontId="23" fillId="3" borderId="1" xfId="0" applyNumberFormat="1" applyFont="1" applyFill="1" applyBorder="1" applyAlignment="1">
      <x:alignment horizontal="center" vertical="center"/>
    </x:xf>
    <x:xf numFmtId="0" fontId="4" fillId="3" borderId="1" xfId="0" applyFont="1" applyFill="1" applyBorder="1" applyAlignment="1">
      <x:alignment horizontal="center" vertical="center"/>
    </x:xf>
    <x:xf numFmtId="49" fontId="11" fillId="3" borderId="1" xfId="0" applyNumberFormat="1" applyFont="1" applyFill="1" applyBorder="1">
      <x:alignment vertical="center"/>
    </x:xf>
    <x:xf numFmtId="176" fontId="11" fillId="3" borderId="1" xfId="0" applyNumberFormat="1" applyFont="1" applyFill="1" applyBorder="1" applyAlignment="1">
      <x:alignment horizontal="right" vertical="center"/>
    </x:xf>
    <x:xf numFmtId="4" fontId="11" fillId="6" borderId="1" xfId="0" applyNumberFormat="1" applyFont="1" applyFill="1" applyBorder="1" applyAlignment="1">
      <x:alignment horizontal="right" vertical="center"/>
    </x:xf>
    <x:xf numFmtId="0" fontId="5" fillId="0" borderId="0" xfId="0" applyFont="1" applyAlignment="1">
      <x:alignment horizontal="center" vertical="center"/>
    </x:xf>
    <x:xf numFmtId="0" fontId="5" fillId="0" borderId="0" xfId="0" applyFont="1">
      <x:alignment vertical="center"/>
    </x:xf>
    <x:xf numFmtId="0" fontId="0" fillId="0" borderId="0" xfId="0" applyAlignment="1">
      <x:alignment horizontal="center" vertical="center"/>
    </x:xf>
    <x:xf numFmtId="180" fontId="0" fillId="0" borderId="1" xfId="0" applyNumberFormat="1" applyBorder="1">
      <x:alignment vertical="center"/>
    </x:xf>
    <x:xf numFmtId="0" fontId="6" fillId="0" borderId="1" xfId="0" applyFont="1" applyBorder="1" applyAlignment="1">
      <x:alignment horizontal="center" vertical="center" wrapText="1"/>
    </x:xf>
    <x:xf numFmtId="180" fontId="0" fillId="6" borderId="1" xfId="0" applyNumberFormat="1" applyFill="1" applyBorder="1">
      <x:alignment vertical="center"/>
    </x:xf>
    <x:xf numFmtId="180" fontId="24" fillId="0" borderId="1" xfId="0" applyNumberFormat="1" applyFont="1" applyBorder="1" applyAlignment="1">
      <x:alignment horizontal="center" vertical="center"/>
    </x:xf>
    <x:xf numFmtId="0" fontId="5" fillId="0" borderId="1" xfId="0" applyFont="1" applyBorder="1" applyAlignment="1">
      <x:alignment horizontal="center" vertical="center"/>
    </x:xf>
    <x:xf numFmtId="49" fontId="25" fillId="9" borderId="1" xfId="0" applyNumberFormat="1" applyFont="1" applyFill="1" applyBorder="1" applyAlignment="1">
      <x:alignment horizontal="left" vertical="center"/>
    </x:xf>
    <x:xf numFmtId="0" fontId="26" fillId="0" borderId="1" xfId="0" applyFont="1" applyBorder="1" applyAlignment="1">
      <x:alignment horizontal="center" vertical="center"/>
    </x:xf>
    <x:xf numFmtId="177" fontId="27" fillId="0" borderId="1" xfId="0" applyNumberFormat="1" applyFont="1" applyBorder="1">
      <x:alignment vertical="center"/>
    </x:xf>
    <x:xf numFmtId="178" fontId="28" fillId="0" borderId="1" xfId="0" applyNumberFormat="1" applyFont="1" applyBorder="1">
      <x:alignment vertical="center"/>
    </x:xf>
    <x:xf numFmtId="178" fontId="28" fillId="0" borderId="1" xfId="0" applyNumberFormat="1" applyFont="1" applyBorder="1" applyAlignment="1"/>
    <x:xf numFmtId="178" fontId="28" fillId="0" borderId="1" xfId="3" applyNumberFormat="1" applyFont="1" applyBorder="1" applyAlignment="1"/>
    <x:xf numFmtId="0" fontId="26" fillId="0" borderId="1" xfId="0" applyFont="1" applyBorder="1">
      <x:alignment vertical="center"/>
    </x:xf>
    <x:xf numFmtId="0" fontId="5" fillId="0" borderId="4" xfId="0" applyFont="1" applyBorder="1" applyAlignment="1">
      <x:alignment horizontal="center" vertical="center"/>
    </x:xf>
    <x:xf numFmtId="0" fontId="30" fillId="3" borderId="1" xfId="0" applyFont="1" applyFill="1" applyBorder="1" applyAlignment="1">
      <x:alignment horizontal="center" vertical="center"/>
    </x:xf>
    <x:xf numFmtId="0" fontId="4" fillId="3" borderId="7" xfId="0" applyFont="1" applyFill="1" applyBorder="1" applyAlignment="1">
      <x:alignment horizontal="center" vertical="center"/>
    </x:xf>
    <x:xf numFmtId="0" fontId="4" fillId="3" borderId="5" xfId="0" applyFont="1" applyFill="1" applyBorder="1" applyAlignment="1">
      <x:alignment horizontal="center" vertical="center"/>
    </x:xf>
    <x:xf numFmtId="0" fontId="4" fillId="3" borderId="6" xfId="0" applyFont="1" applyFill="1" applyBorder="1" applyAlignment="1">
      <x:alignment horizontal="center" vertical="center"/>
    </x:xf>
    <x:xf numFmtId="0" fontId="4" fillId="3" borderId="1" xfId="0" applyFont="1" applyFill="1" applyBorder="1" applyAlignment="1">
      <x:alignment horizontal="center" vertical="center"/>
    </x:xf>
    <x:xf numFmtId="49" fontId="11" fillId="3" borderId="1" xfId="0" applyNumberFormat="1" applyFont="1" applyFill="1" applyBorder="1" applyAlignment="1">
      <x:alignment horizontal="left" vertical="center"/>
    </x:xf>
    <x:xf numFmtId="0" fontId="26" fillId="0" borderId="2" xfId="0" applyFont="1" applyBorder="1" applyAlignment="1">
      <x:alignment horizontal="center" vertical="center"/>
    </x:xf>
    <x:xf numFmtId="0" fontId="26" fillId="0" borderId="4" xfId="0" applyFont="1" applyBorder="1" applyAlignment="1">
      <x:alignment horizontal="center" vertical="center"/>
    </x:xf>
    <x:xf numFmtId="0" fontId="5" fillId="2" borderId="7" xfId="0" applyFont="1" applyFill="1" applyBorder="1" applyAlignment="1">
      <x:alignment horizontal="center" vertical="center"/>
    </x:xf>
    <x:xf numFmtId="0" fontId="5" fillId="2" borderId="6" xfId="0" applyFont="1" applyFill="1" applyBorder="1" applyAlignment="1">
      <x:alignment horizontal="center" vertical="center"/>
    </x:xf>
    <x:xf numFmtId="0" fontId="0" fillId="0" borderId="1" xfId="0" applyBorder="1" applyAlignment="1">
      <x:alignment horizontal="center" vertical="center"/>
    </x:xf>
    <x:xf numFmtId="0" fontId="5" fillId="2" borderId="1" xfId="0" applyFont="1" applyFill="1" applyBorder="1" applyAlignment="1">
      <x:alignment horizontal="center" vertical="center"/>
    </x:xf>
    <x:xf numFmtId="0" fontId="19" fillId="0" borderId="0" xfId="0" applyFont="1" applyAlignment="1">
      <x:alignment horizontal="center" vertical="center"/>
    </x:xf>
    <x:xf numFmtId="0" fontId="3" fillId="0" borderId="0" xfId="0" applyFont="1" applyAlignment="1">
      <x:alignment horizontal="left" vertical="center"/>
    </x:xf>
    <x:xf numFmtId="0" fontId="20" fillId="0" borderId="1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20" fillId="0" borderId="7" xfId="0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/>
    </x:xf>
    <x:xf numFmtId="176" fontId="1" fillId="0" borderId="1" xfId="1" applyFont="1" applyFill="1" applyBorder="1" applyAlignment="1">
      <x:alignment horizontal="center" vertical="center"/>
    </x:xf>
    <x:xf numFmtId="0" fontId="3" fillId="0" borderId="7" xfId="0" applyFont="1" applyBorder="1" applyAlignment="1">
      <x:alignment horizontal="center" vertical="center"/>
    </x:xf>
    <x:xf numFmtId="0" fontId="1" fillId="0" borderId="5" xfId="0" applyFont="1" applyBorder="1" applyAlignment="1">
      <x:alignment horizontal="center" vertical="center"/>
    </x:xf>
    <x:xf numFmtId="0" fontId="1" fillId="0" borderId="6" xfId="0" applyFont="1" applyBorder="1" applyAlignment="1">
      <x:alignment horizontal="center" vertical="center"/>
    </x:xf>
    <x:xf numFmtId="10" fontId="5" fillId="2" borderId="1" xfId="0" applyNumberFormat="1" applyFont="1" applyFill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4" fillId="0" borderId="1" xfId="0" applyFont="1" applyBorder="1" applyAlignment="1">
      <x:alignment horizontal="center" vertical="center"/>
    </x:xf>
    <x:xf numFmtId="179" fontId="16" fillId="8" borderId="7" xfId="0" applyNumberFormat="1" applyFont="1" applyFill="1" applyBorder="1" applyAlignment="1">
      <x:alignment horizontal="center" vertical="center" wrapText="1"/>
    </x:xf>
    <x:xf numFmtId="179" fontId="16" fillId="8" borderId="6" xfId="0" applyNumberFormat="1" applyFont="1" applyFill="1" applyBorder="1" applyAlignment="1">
      <x:alignment horizontal="center" vertical="center" wrapText="1"/>
    </x:xf>
    <x:xf numFmtId="0" fontId="16" fillId="8" borderId="7" xfId="0" applyFont="1" applyFill="1" applyBorder="1" applyAlignment="1">
      <x:alignment horizontal="center" vertical="center" wrapText="1"/>
    </x:xf>
    <x:xf numFmtId="0" fontId="16" fillId="8" borderId="6" xfId="0" applyFont="1" applyFill="1" applyBorder="1" applyAlignment="1">
      <x:alignment horizontal="center" vertical="center" wrapText="1"/>
    </x:xf>
    <x:xf numFmtId="0" fontId="14" fillId="2" borderId="7" xfId="0" applyFont="1" applyFill="1" applyBorder="1" applyAlignment="1">
      <x:alignment horizontal="center" vertical="center"/>
    </x:xf>
    <x:xf numFmtId="0" fontId="14" fillId="2" borderId="6" xfId="0" applyFont="1" applyFill="1" applyBorder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1" fillId="0" borderId="0" xfId="0" applyFont="1" applyAlignment="1">
      <x:alignment horizontal="left" vertical="center"/>
    </x:xf>
    <x:xf numFmtId="176" fontId="1" fillId="0" borderId="0" xfId="1" applyFont="1" applyAlignment="1">
      <x:alignment horizontal="left" vertical="center"/>
    </x:xf>
    <x:xf numFmtId="0" fontId="0" fillId="0" borderId="3" xfId="0" applyBorder="1" applyAlignment="1">
      <x:alignment horizontal="center" vertical="center"/>
    </x:xf>
    <x:xf numFmtId="0" fontId="0" fillId="0" borderId="4" xfId="0" applyBorder="1" applyAlignment="1">
      <x:alignment horizontal="center" vertical="center"/>
    </x:xf>
    <x:xf numFmtId="0" fontId="0" fillId="0" borderId="2" xfId="0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1" fillId="0" borderId="1" xfId="0" applyFont="1" applyBorder="1" applyAlignment="1">
      <x:alignment horizontal="center" vertical="center"/>
    </x:xf>
  </x:cellXfs>
  <x:cellStyles count="8">
    <x:cellStyle name="常规" xfId="0"/>
    <x:cellStyle name="常规 2" xfId="3"/>
    <x:cellStyle name="常规 3" xfId="4"/>
    <x:cellStyle name="常规 4" xfId="5"/>
    <x:cellStyle name="常规 5" xfId="6"/>
    <x:cellStyle name="常规 6" xfId="2"/>
    <x:cellStyle name="常规 7" xfId="7"/>
    <x:cellStyle name="千位分隔" xfId="1"/>
  </x:cellStyles>
  <x:dxfs count="2"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c6671cf6e34fab" /><Relationship Type="http://schemas.openxmlformats.org/officeDocument/2006/relationships/theme" Target="/xl/theme/theme1.xml" Id="Rde67d9b940184d33" /><Relationship Type="http://schemas.openxmlformats.org/officeDocument/2006/relationships/sharedStrings" Target="/xl/sharedStrings.xml" Id="Raba40a7dfc4141e8" /><Relationship Type="http://schemas.openxmlformats.org/officeDocument/2006/relationships/worksheet" Target="/xl/worksheets/sheet1.xml" Id="R1ecf24cd7edf41d9" /><Relationship Type="http://schemas.openxmlformats.org/officeDocument/2006/relationships/worksheet" Target="/xl/worksheets/sheet2.xml" Id="Rc2f82d5a04a141f2" /><Relationship Type="http://schemas.openxmlformats.org/officeDocument/2006/relationships/worksheet" Target="/xl/worksheets/sheet3.xml" Id="R1a465fbecc064dc3" /><Relationship Type="http://schemas.openxmlformats.org/officeDocument/2006/relationships/worksheet" Target="/xl/worksheets/sheet4.xml" Id="R4ae3724299014c82" /><Relationship Type="http://schemas.openxmlformats.org/officeDocument/2006/relationships/worksheet" Target="/xl/worksheets/sheet5.xml" Id="R3ee8b56cc8b54bb6" /><Relationship Type="http://schemas.openxmlformats.org/officeDocument/2006/relationships/worksheet" Target="/xl/worksheets/sheet6.xml" Id="R4e95555ff9404fde" /><Relationship Type="http://schemas.openxmlformats.org/officeDocument/2006/relationships/worksheet" Target="/xl/worksheets/sheet7.xml" Id="R68e61e6eeea04b1c" /><Relationship Type="http://schemas.openxmlformats.org/officeDocument/2006/relationships/worksheet" Target="/xl/worksheets/sheet8.xml" Id="Re31579abe8b84638" /><Relationship Type="http://schemas.openxmlformats.org/officeDocument/2006/relationships/worksheet" Target="/xl/worksheets/sheet9.xml" Id="R03d84d02a2e549d4" /><Relationship Type="http://schemas.openxmlformats.org/officeDocument/2006/relationships/worksheet" Target="/xl/worksheets/sheet10.xml" Id="Rd2e890dfe9d9467f" /><Relationship Type="http://schemas.openxmlformats.org/officeDocument/2006/relationships/worksheet" Target="/xl/worksheets/sheet11.xml" Id="Rc6facb3368a8470a" /><Relationship Type="http://schemas.openxmlformats.org/officeDocument/2006/relationships/worksheet" Target="/xl/worksheets/sheet12.xml" Id="R119ee304ea4745a5" /><Relationship Type="http://schemas.openxmlformats.org/officeDocument/2006/relationships/worksheet" Target="/xl/worksheets/sheet13.xml" Id="Reda75f6add414e66" /><Relationship Type="http://schemas.openxmlformats.org/officeDocument/2006/relationships/worksheet" Target="/xl/worksheets/sheet14.xml" Id="R43789f4839c24478" /><Relationship Type="http://schemas.openxmlformats.org/officeDocument/2006/relationships/worksheet" Target="/xl/worksheets/sheet15.xml" Id="R31c2c20f40634957" /><Relationship Type="http://schemas.openxmlformats.org/officeDocument/2006/relationships/worksheet" Target="/xl/worksheets/sheet16.xml" Id="R5877cbaa6d3e4cbb" /><Relationship Type="http://schemas.openxmlformats.org/officeDocument/2006/relationships/worksheet" Target="/xl/worksheets/sheet17.xml" Id="R0f2a3f271b8240de" /><Relationship Type="http://schemas.openxmlformats.org/officeDocument/2006/relationships/worksheet" Target="/xl/worksheets/sheet18.xml" Id="R03179ec3a09c4af2" /><Relationship Type="http://schemas.openxmlformats.org/officeDocument/2006/relationships/worksheet" Target="/xl/worksheets/sheet19.xml" Id="R55326406ed324f5a" /><Relationship Type="http://schemas.openxmlformats.org/officeDocument/2006/relationships/worksheet" Target="/xl/worksheets/sheet20.xml" Id="Ra824e5f9c8614162" /><Relationship Type="http://schemas.openxmlformats.org/officeDocument/2006/relationships/worksheet" Target="/xl/worksheets/sheet21.xml" Id="R35aec8ec41864185" /><Relationship Type="http://schemas.openxmlformats.org/officeDocument/2006/relationships/worksheet" Target="/xl/worksheets/sheet22.xml" Id="R0d2866b647254229" /><Relationship Type="http://schemas.openxmlformats.org/officeDocument/2006/relationships/worksheet" Target="/xl/worksheets/sheet23.xml" Id="R11a39300e1734ba4" /><Relationship Type="http://schemas.openxmlformats.org/officeDocument/2006/relationships/worksheet" Target="/xl/worksheets/sheet24.xml" Id="R0ee6095e6ec9434d" /><Relationship Type="http://schemas.openxmlformats.org/officeDocument/2006/relationships/worksheet" Target="/xl/worksheets/sheet25.xml" Id="Raf95baa16f6f4993" /><Relationship Type="http://schemas.openxmlformats.org/officeDocument/2006/relationships/worksheet" Target="/xl/worksheets/sheet26.xml" Id="R62c550e9e77e4422" /><Relationship Type="http://schemas.openxmlformats.org/officeDocument/2006/relationships/worksheet" Target="/xl/worksheets/sheet27.xml" Id="Rc0ecdbed1c9b4f74" /><Relationship Type="http://schemas.openxmlformats.org/officeDocument/2006/relationships/worksheet" Target="/xl/worksheets/sheet28.xml" Id="Rb849e91e2e2f43fa" /><Relationship Type="http://schemas.openxmlformats.org/officeDocument/2006/relationships/worksheet" Target="/xl/worksheets/sheet29.xml" Id="R227153ffd56b4bbd" /><Relationship Type="http://schemas.openxmlformats.org/officeDocument/2006/relationships/worksheet" Target="/xl/worksheets/sheet30.xml" Id="R674d9f5d82784214" /><Relationship Type="http://schemas.openxmlformats.org/officeDocument/2006/relationships/worksheet" Target="/xl/worksheets/sheet31.xml" Id="R84d05f5549f34e4a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9" defaultRowHeight="14"/>
  <x:cols>
    <x:col min="1" max="1" width="19.5" customWidth="1"/>
    <x:col min="2" max="2" width="43.83203125" customWidth="1"/>
    <x:col min="3" max="3" width="13.83203125" customWidth="1"/>
    <x:col min="4" max="4" width="13.6640625" customWidth="1"/>
    <x:col min="5" max="5" width="14" customWidth="1"/>
    <x:col min="6" max="6" width="12.1640625" customWidth="1"/>
    <x:col min="7" max="7" width="12.6640625" customWidth="1"/>
    <x:col min="8" max="8" width="13.1640625" customWidth="1"/>
    <x:col min="9" max="9" width="15.6640625" customWidth="1"/>
    <x:col min="10" max="10" width="12.33203125" customWidth="1"/>
    <x:col min="11" max="11" width="12.83203125" customWidth="1"/>
    <x:col min="12" max="12" width="12.33203125" customWidth="1"/>
    <x:col min="13" max="13" width="15.6640625" customWidth="1"/>
    <x:col min="14" max="14" width="13.33203125" customWidth="1"/>
    <x:col min="15" max="15" width="16" customWidth="1"/>
  </x:cols>
  <x:sheetData>
    <x:row r="1" s="92" customFormat="1" ht="23" customHeight="1">
      <x:c r="A1" s="12" t="s">
        <x:v>0</x:v>
      </x:c>
      <x:c r="B1" s="12" t="s">
        <x:v>1</x:v>
      </x:c>
      <x:c r="C1" s="12" t="s">
        <x:v>2</x:v>
      </x:c>
      <x:c r="D1" s="12" t="s">
        <x:v>3</x:v>
      </x:c>
      <x:c r="E1" s="12" t="s">
        <x:v>4</x:v>
      </x:c>
      <x:c r="F1" s="12" t="s">
        <x:v>5</x:v>
      </x:c>
      <x:c r="G1" s="12" t="s">
        <x:v>6</x:v>
      </x:c>
      <x:c r="H1" s="12" t="s">
        <x:v>7</x:v>
      </x:c>
      <x:c r="I1" s="12" t="s">
        <x:v>8</x:v>
      </x:c>
      <x:c r="J1" s="12" t="s">
        <x:v>9</x:v>
      </x:c>
      <x:c r="K1" s="12" t="s">
        <x:v>10</x:v>
      </x:c>
      <x:c r="L1" s="12" t="s">
        <x:v>11</x:v>
      </x:c>
      <x:c r="M1" s="12" t="s">
        <x:v>12</x:v>
      </x:c>
      <x:c r="N1" s="12" t="s">
        <x:v>13</x:v>
      </x:c>
      <x:c r="O1" s="12" t="s">
        <x:v>14</x:v>
      </x:c>
      <x:c r="P1" s="100"/>
    </x:row>
    <x:row r="2" ht="15">
      <x:c r="A2" s="93" t="s">
        <x:v>15</x:v>
      </x:c>
      <x:c r="B2" s="94" t="s">
        <x:v>16</x:v>
      </x:c>
      <x:c r="C2" s="95" t="s">
        <x:v>17</x:v>
      </x:c>
      <x:c r="D2" s="96"/>
      <x:c r="E2" s="96"/>
      <x:c r="F2" s="96"/>
      <x:c r="G2" s="96"/>
      <x:c r="H2" s="97">
        <x:v>837.17</x:v>
      </x:c>
      <x:c r="I2" s="97">
        <x:v>5983.41</x:v>
      </x:c>
      <x:c r="J2" s="96"/>
      <x:c r="K2" s="96"/>
      <x:c r="L2" s="96"/>
      <x:c r="M2" s="96"/>
      <x:c r="N2" s="96"/>
      <x:c r="O2" s="96" t="n">
        <x:f t="shared" ref="O2:O19" si="0">SUM(D2:N2)</x:f>
        <x:v>6820.58</x:v>
      </x:c>
    </x:row>
    <x:row r="3" ht="15">
      <x:c r="A3" s="93" t="s">
        <x:v>18</x:v>
      </x:c>
      <x:c r="B3" s="94" t="s">
        <x:v>19</x:v>
      </x:c>
      <x:c r="C3" s="95" t="s">
        <x:v>17</x:v>
      </x:c>
      <x:c r="D3" s="96">
        <x:v>-18484.439999999999</x:v>
      </x:c>
      <x:c r="E3" s="96">
        <x:v>969.91</x:v>
      </x:c>
      <x:c r="F3" s="96"/>
      <x:c r="G3" s="96"/>
      <x:c r="H3" s="97"/>
      <x:c r="I3" s="97"/>
      <x:c r="J3" s="96">
        <x:v>71148.28</x:v>
      </x:c>
      <x:c r="K3" s="96">
        <x:v>139302.57</x:v>
      </x:c>
      <x:c r="L3" s="96">
        <x:v>3265.5</x:v>
      </x:c>
      <x:c r="M3" s="96"/>
      <x:c r="N3" s="96"/>
      <x:c r="O3" s="96">
        <x:f t="shared" si="0"/>
        <x:v>196201.82</x:v>
      </x:c>
    </x:row>
    <x:row r="4" ht="15">
      <x:c r="A4" s="93" t="s">
        <x:v>20</x:v>
      </x:c>
      <x:c r="B4" s="94" t="s">
        <x:v>21</x:v>
      </x:c>
      <x:c r="C4" s="95" t="s">
        <x:v>17</x:v>
      </x:c>
      <x:c r="D4" s="96"/>
      <x:c r="E4" s="96"/>
      <x:c r="F4" s="96"/>
      <x:c r="G4" s="96"/>
      <x:c r="H4" s="96"/>
      <x:c r="I4" s="96">
        <x:v>4673.3999999999996</x:v>
      </x:c>
      <x:c r="J4" s="96">
        <x:v>90716.28</x:v>
      </x:c>
      <x:c r="K4" s="96">
        <x:v>8701.35</x:v>
      </x:c>
      <x:c r="L4" s="96">
        <x:v>36054.06</x:v>
      </x:c>
      <x:c r="M4" s="96">
        <x:v>2820.63</x:v>
      </x:c>
      <x:c r="N4" s="98">
        <x:v>195290.61</x:v>
      </x:c>
      <x:c r="O4" s="96">
        <x:f t="shared" si="0"/>
        <x:v>338256.32999999996</x:v>
      </x:c>
    </x:row>
    <x:row r="5" ht="15">
      <x:c r="A5" s="93" t="s">
        <x:v>22</x:v>
      </x:c>
      <x:c r="B5" s="94" t="s">
        <x:v>23</x:v>
      </x:c>
      <x:c r="C5" s="95" t="s">
        <x:v>17</x:v>
      </x:c>
      <x:c r="D5" s="96"/>
      <x:c r="E5" s="96"/>
      <x:c r="F5" s="96"/>
      <x:c r="G5" s="96">
        <x:v>893.87</x:v>
      </x:c>
      <x:c r="H5" s="96"/>
      <x:c r="I5" s="96"/>
      <x:c r="J5" s="96"/>
      <x:c r="K5" s="96"/>
      <x:c r="L5" s="96">
        <x:v>5326.74</x:v>
      </x:c>
      <x:c r="M5" s="96"/>
      <x:c r="N5" s="96"/>
      <x:c r="O5" s="96">
        <x:f t="shared" si="0"/>
        <x:v>6220.61</x:v>
      </x:c>
    </x:row>
    <x:row r="6" ht="15">
      <x:c r="A6" s="93" t="s">
        <x:v>24</x:v>
      </x:c>
      <x:c r="B6" s="94" t="s">
        <x:v>25</x:v>
      </x:c>
      <x:c r="C6" s="95" t="s">
        <x:v>17</x:v>
      </x:c>
      <x:c r="D6" s="96"/>
      <x:c r="E6" s="96"/>
      <x:c r="F6" s="96"/>
      <x:c r="G6" s="96"/>
      <x:c r="H6" s="96">
        <x:v>59053.1</x:v>
      </x:c>
      <x:c r="I6" s="96"/>
      <x:c r="J6" s="96">
        <x:v>13583.95</x:v>
      </x:c>
      <x:c r="K6" s="96"/>
      <x:c r="L6" s="98">
        <x:v>36839.120000000003</x:v>
      </x:c>
      <x:c r="M6" s="98">
        <x:v>278135.8</x:v>
      </x:c>
      <x:c r="N6" s="98">
        <x:v>-274646.75</x:v>
      </x:c>
      <x:c r="O6" s="96">
        <x:f t="shared" si="0"/>
        <x:v>112965.21999999997</x:v>
      </x:c>
    </x:row>
    <x:row r="7" ht="15">
      <x:c r="A7" s="93" t="s">
        <x:v>26</x:v>
      </x:c>
      <x:c r="B7" s="94" t="s">
        <x:v>27</x:v>
      </x:c>
      <x:c r="C7" s="95" t="s">
        <x:v>17</x:v>
      </x:c>
      <x:c r="D7" s="96">
        <x:v>1738.83</x:v>
      </x:c>
      <x:c r="E7" s="96">
        <x:v>16181.69</x:v>
      </x:c>
      <x:c r="F7" s="96">
        <x:v>608.5</x:v>
      </x:c>
      <x:c r="G7" s="96">
        <x:v>1657.09</x:v>
      </x:c>
      <x:c r="H7" s="96">
        <x:v>7840.68</x:v>
      </x:c>
      <x:c r="I7" s="96">
        <x:v>20860.03</x:v>
      </x:c>
      <x:c r="J7" s="96">
        <x:v>44518.879999999997</x:v>
      </x:c>
      <x:c r="K7" s="98">
        <x:v>2552.0700000000002</x:v>
      </x:c>
      <x:c r="L7" s="96">
        <x:v>34516.089999999997</x:v>
      </x:c>
      <x:c r="M7" s="96">
        <x:v>1956.96</x:v>
      </x:c>
      <x:c r="N7" s="96"/>
      <x:c r="O7" s="96">
        <x:f t="shared" si="0"/>
        <x:v>132430.82</x:v>
      </x:c>
    </x:row>
    <x:row r="8" ht="15">
      <x:c r="A8" s="93" t="s">
        <x:v>28</x:v>
      </x:c>
      <x:c r="B8" s="94" t="s">
        <x:v>29</x:v>
      </x:c>
      <x:c r="C8" s="95" t="s">
        <x:v>17</x:v>
      </x:c>
      <x:c r="D8" s="96">
        <x:v>37843.08</x:v>
      </x:c>
      <x:c r="E8" s="96">
        <x:v>4234.59</x:v>
      </x:c>
      <x:c r="F8" s="96">
        <x:v>-48625.14</x:v>
      </x:c>
      <x:c r="G8" s="96">
        <x:v>4941.6099999999997</x:v>
      </x:c>
      <x:c r="H8" s="96">
        <x:v>810.3</x:v>
      </x:c>
      <x:c r="I8" s="96"/>
      <x:c r="J8" s="96">
        <x:v>44</x:v>
      </x:c>
      <x:c r="K8" s="96">
        <x:v>-2684.44</x:v>
      </x:c>
      <x:c r="L8" s="96">
        <x:v>1636.76</x:v>
      </x:c>
      <x:c r="M8" s="96"/>
      <x:c r="N8" s="96">
        <x:v>4739.67</x:v>
      </x:c>
      <x:c r="O8" s="96">
        <x:f t="shared" si="0"/>
        <x:v>2940.4299999999985</x:v>
      </x:c>
    </x:row>
    <x:row r="9" ht="15">
      <x:c r="A9" s="93" t="s">
        <x:v>30</x:v>
      </x:c>
      <x:c r="B9" s="94" t="s">
        <x:v>31</x:v>
      </x:c>
      <x:c r="C9" s="95" t="s">
        <x:v>17</x:v>
      </x:c>
      <x:c r="D9" s="96">
        <x:v>-12836.22</x:v>
      </x:c>
      <x:c r="E9" s="96">
        <x:v>92857.81</x:v>
      </x:c>
      <x:c r="F9" s="96">
        <x:v>7058.15</x:v>
      </x:c>
      <x:c r="G9" s="96">
        <x:v>1327.5</x:v>
      </x:c>
      <x:c r="H9" s="96">
        <x:v>538.32000000000005</x:v>
      </x:c>
      <x:c r="I9" s="96">
        <x:v>63.28</x:v>
      </x:c>
      <x:c r="J9" s="96"/>
      <x:c r="K9" s="96"/>
      <x:c r="L9" s="96"/>
      <x:c r="M9" s="96"/>
      <x:c r="N9" s="96"/>
      <x:c r="O9" s="96">
        <x:f t="shared" si="0"/>
        <x:v>89008.84</x:v>
      </x:c>
    </x:row>
    <x:row r="10" ht="15">
      <x:c r="A10" s="93" t="s">
        <x:v>32</x:v>
      </x:c>
      <x:c r="B10" s="94" t="s">
        <x:v>29</x:v>
      </x:c>
      <x:c r="C10" s="95" t="s">
        <x:v>17</x:v>
      </x:c>
      <x:c r="D10" s="96"/>
      <x:c r="E10" s="96"/>
      <x:c r="F10" s="96"/>
      <x:c r="G10" s="96"/>
      <x:c r="H10" s="96">
        <x:v>6669.93</x:v>
      </x:c>
      <x:c r="I10" s="96">
        <x:v>12754.09</x:v>
      </x:c>
      <x:c r="J10" s="96">
        <x:v>16882.64</x:v>
      </x:c>
      <x:c r="K10" s="96">
        <x:v>174597.8</x:v>
      </x:c>
      <x:c r="L10" s="96">
        <x:v>46540.639999999999</x:v>
      </x:c>
      <x:c r="M10" s="96">
        <x:v>2572.5300000000002</x:v>
      </x:c>
      <x:c r="N10" s="96">
        <x:v>4844.58</x:v>
      </x:c>
      <x:c r="O10" s="96">
        <x:f t="shared" si="0"/>
        <x:v>264862.20999999996</x:v>
      </x:c>
    </x:row>
    <x:row r="11" ht="15">
      <x:c r="A11" s="93" t="s">
        <x:v>33</x:v>
      </x:c>
      <x:c r="B11" s="94" t="s">
        <x:v>34</x:v>
      </x:c>
      <x:c r="C11" s="95" t="s">
        <x:v>17</x:v>
      </x:c>
      <x:c r="D11" s="96">
        <x:v>43826.94</x:v>
      </x:c>
      <x:c r="E11" s="96">
        <x:v>202</x:v>
      </x:c>
      <x:c r="F11" s="96">
        <x:v>207.19</x:v>
      </x:c>
      <x:c r="G11" s="96">
        <x:v>30100.85</x:v>
      </x:c>
      <x:c r="H11" s="96">
        <x:v>10.68</x:v>
      </x:c>
      <x:c r="I11" s="96"/>
      <x:c r="J11" s="96">
        <x:v>1431.6</x:v>
      </x:c>
      <x:c r="K11" s="96"/>
      <x:c r="L11" s="96"/>
      <x:c r="M11" s="96"/>
      <x:c r="N11" s="96"/>
      <x:c r="O11" s="96">
        <x:f t="shared" si="0"/>
        <x:v>75779.260000000009</x:v>
      </x:c>
    </x:row>
    <x:row r="12" ht="15">
      <x:c r="A12" s="93" t="s">
        <x:v>35</x:v>
      </x:c>
      <x:c r="B12" s="94" t="s">
        <x:v>36</x:v>
      </x:c>
      <x:c r="C12" s="95" t="s">
        <x:v>17</x:v>
      </x:c>
      <x:c r="D12" s="96">
        <x:v>3720.4</x:v>
      </x:c>
      <x:c r="E12" s="96">
        <x:v>90900.41</x:v>
      </x:c>
      <x:c r="F12" s="96">
        <x:v>70191.31</x:v>
      </x:c>
      <x:c r="G12" s="96">
        <x:v>72984.160000000003</x:v>
      </x:c>
      <x:c r="H12" s="96">
        <x:v>162219.47</x:v>
      </x:c>
      <x:c r="I12" s="96">
        <x:v>787180.63</x:v>
      </x:c>
      <x:c r="J12" s="96">
        <x:v>22656.35</x:v>
      </x:c>
      <x:c r="K12" s="96">
        <x:v>108490.45</x:v>
      </x:c>
      <x:c r="L12" s="96">
        <x:v>75553.17</x:v>
      </x:c>
      <x:c r="M12" s="96">
        <x:v>67225.95</x:v>
      </x:c>
      <x:c r="N12" s="96">
        <x:v>23793.88</x:v>
      </x:c>
      <x:c r="O12" s="96">
        <x:f t="shared" si="0"/>
        <x:v>1484916.1799999997</x:v>
      </x:c>
    </x:row>
    <x:row r="13" ht="15">
      <x:c r="A13" s="93" t="s">
        <x:v>37</x:v>
      </x:c>
      <x:c r="B13" s="94" t="s">
        <x:v>38</x:v>
      </x:c>
      <x:c r="C13" s="95" t="s">
        <x:v>17</x:v>
      </x:c>
      <x:c r="D13" s="96"/>
      <x:c r="E13" s="96"/>
      <x:c r="F13" s="96"/>
      <x:c r="G13" s="96">
        <x:v>39612.9</x:v>
      </x:c>
      <x:c r="H13" s="96">
        <x:v>2932.91</x:v>
      </x:c>
      <x:c r="I13" s="96">
        <x:v>3270.97</x:v>
      </x:c>
      <x:c r="J13" s="96">
        <x:v>8.85</x:v>
      </x:c>
      <x:c r="K13" s="96">
        <x:v>613.54999999999995</x:v>
      </x:c>
      <x:c r="L13" s="96">
        <x:v>3973.97</x:v>
      </x:c>
      <x:c r="M13" s="96"/>
      <x:c r="N13" s="96"/>
      <x:c r="O13" s="96">
        <x:f t="shared" si="0"/>
        <x:v>50413.15</x:v>
      </x:c>
    </x:row>
    <x:row r="14" ht="15">
      <x:c r="A14" s="93" t="s">
        <x:v>39</x:v>
      </x:c>
      <x:c r="B14" s="94" t="s">
        <x:v>40</x:v>
      </x:c>
      <x:c r="C14" s="95" t="s">
        <x:v>17</x:v>
      </x:c>
      <x:c r="D14" s="96">
        <x:v>2285.31</x:v>
      </x:c>
      <x:c r="E14" s="96">
        <x:v>852.63</x:v>
      </x:c>
      <x:c r="F14" s="96"/>
      <x:c r="G14" s="96"/>
      <x:c r="H14" s="96"/>
      <x:c r="I14" s="96"/>
      <x:c r="J14" s="96"/>
      <x:c r="K14" s="96"/>
      <x:c r="L14" s="96"/>
      <x:c r="M14" s="96"/>
      <x:c r="N14" s="96"/>
      <x:c r="O14" s="96">
        <x:f t="shared" si="0"/>
        <x:v>3137.94</x:v>
      </x:c>
    </x:row>
    <x:row r="15" ht="15">
      <x:c r="A15" s="93" t="s">
        <x:v>41</x:v>
      </x:c>
      <x:c r="B15" s="94" t="s">
        <x:v>42</x:v>
      </x:c>
      <x:c r="C15" s="95" t="s">
        <x:v>17</x:v>
      </x:c>
      <x:c r="D15" s="96"/>
      <x:c r="E15" s="96"/>
      <x:c r="F15" s="96"/>
      <x:c r="G15" s="96">
        <x:v>8625.51</x:v>
      </x:c>
      <x:c r="H15" s="96"/>
      <x:c r="I15" s="96"/>
      <x:c r="J15" s="96"/>
      <x:c r="K15" s="96"/>
      <x:c r="L15" s="96"/>
      <x:c r="M15" s="96"/>
      <x:c r="N15" s="96"/>
      <x:c r="O15" s="96">
        <x:f t="shared" si="0"/>
        <x:v>8625.51</x:v>
      </x:c>
    </x:row>
    <x:row r="16" ht="15">
      <x:c r="A16" s="93" t="s">
        <x:v>43</x:v>
      </x:c>
      <x:c r="B16" s="94" t="s">
        <x:v>44</x:v>
      </x:c>
      <x:c r="C16" s="95" t="s">
        <x:v>17</x:v>
      </x:c>
      <x:c r="D16" s="98">
        <x:v>24497.119999999999</x:v>
      </x:c>
      <x:c r="E16" s="98">
        <x:v>-239795.59</x:v>
      </x:c>
      <x:c r="F16" s="98">
        <x:v>9236.9599999999991</x:v>
      </x:c>
      <x:c r="G16" s="98">
        <x:v>14959.37</x:v>
      </x:c>
      <x:c r="H16" s="98">
        <x:v>63204.44</x:v>
      </x:c>
      <x:c r="I16" s="98">
        <x:v>-113914.87</x:v>
      </x:c>
      <x:c r="J16" s="98">
        <x:v>-16459.240000000002</x:v>
      </x:c>
      <x:c r="K16" s="98">
        <x:v>9863.35</x:v>
      </x:c>
      <x:c r="L16" s="98">
        <x:v>11425.84</x:v>
      </x:c>
      <x:c r="M16" s="98">
        <x:v>-29366.48</x:v>
      </x:c>
      <x:c r="N16" s="98">
        <x:v>3728.97</x:v>
      </x:c>
      <x:c r="O16" s="96">
        <x:f t="shared" si="0"/>
        <x:v>-262620.13</x:v>
      </x:c>
    </x:row>
    <x:row r="17" ht="15">
      <x:c r="A17" s="93" t="s">
        <x:v>45</x:v>
      </x:c>
      <x:c r="B17" s="94" t="s">
        <x:v>46</x:v>
      </x:c>
      <x:c r="C17" s="95" t="s">
        <x:v>17</x:v>
      </x:c>
      <x:c r="D17" s="96">
        <x:v>50</x:v>
      </x:c>
      <x:c r="E17" s="96"/>
      <x:c r="F17" s="96"/>
      <x:c r="G17" s="96"/>
      <x:c r="H17" s="96"/>
      <x:c r="I17" s="96"/>
      <x:c r="J17" s="96"/>
      <x:c r="K17" s="96"/>
      <x:c r="L17" s="96"/>
      <x:c r="M17" s="96"/>
      <x:c r="N17" s="96"/>
      <x:c r="O17" s="96">
        <x:f t="shared" si="0"/>
        <x:v>50</x:v>
      </x:c>
    </x:row>
    <x:row r="18" ht="15">
      <x:c r="A18" s="93" t="s">
        <x:v>47</x:v>
      </x:c>
      <x:c r="B18" s="94" t="s">
        <x:v>48</x:v>
      </x:c>
      <x:c r="C18" s="95" t="s">
        <x:v>17</x:v>
      </x:c>
      <x:c r="D18" s="96">
        <x:v>20.52</x:v>
      </x:c>
      <x:c r="E18" s="96"/>
      <x:c r="F18" s="96"/>
      <x:c r="G18" s="96"/>
      <x:c r="H18" s="96"/>
      <x:c r="I18" s="96"/>
      <x:c r="J18" s="96"/>
      <x:c r="K18" s="96"/>
      <x:c r="L18" s="96"/>
      <x:c r="M18" s="96"/>
      <x:c r="N18" s="96"/>
      <x:c r="O18" s="96">
        <x:f t="shared" si="0"/>
        <x:v>20.52</x:v>
      </x:c>
    </x:row>
    <x:row r="19">
      <x:c r="A19" s="107" t="s">
        <x:v>49</x:v>
      </x:c>
      <x:c r="B19" s="108"/>
      <x:c r="C19" s="99"/>
      <x:c r="D19" s="96" t="n">
        <x:f t="shared" ref="D19:N19" si="1">SUM(D2:D18)</x:f>
        <x:v>82661.54000000001</x:v>
      </x:c>
      <x:c r="E19" s="96">
        <x:f t="shared" si="1"/>
        <x:v>-33596.549999999988</x:v>
      </x:c>
      <x:c r="F19" s="96">
        <x:f t="shared" si="1"/>
        <x:v>38676.97</x:v>
      </x:c>
      <x:c r="G19" s="96">
        <x:f t="shared" si="1"/>
        <x:v>175102.86000000002</x:v>
      </x:c>
      <x:c r="H19" s="96">
        <x:f t="shared" si="1"/>
        <x:v>304117</x:v>
      </x:c>
      <x:c r="I19" s="96">
        <x:f t="shared" si="1"/>
        <x:v>720870.94</x:v>
      </x:c>
      <x:c r="J19" s="96">
        <x:f t="shared" si="1"/>
        <x:v>244531.59000000005</x:v>
      </x:c>
      <x:c r="K19" s="96">
        <x:f t="shared" si="1"/>
        <x:v>441436.69999999995</x:v>
      </x:c>
      <x:c r="L19" s="96">
        <x:f t="shared" si="1"/>
        <x:v>255131.88999999996</x:v>
      </x:c>
      <x:c r="M19" s="96">
        <x:f t="shared" si="1"/>
        <x:v>323345.39000000007</x:v>
      </x:c>
      <x:c r="N19" s="96">
        <x:f t="shared" si="1"/>
        <x:v>-42249.040000000008</x:v>
      </x:c>
      <x:c r="O19" s="96">
        <x:f t="shared" si="0"/>
        <x:v>2510029.29</x:v>
      </x:c>
    </x:row>
  </x:sheetData>
  <x:mergeCells>
    <x:mergeCell ref="A19:B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9" defaultRowHeight="14"/>
  <x:cols>
    <x:col min="1" max="1" width="29.5" style="87" customWidth="1"/>
    <x:col min="2" max="2" width="43.83203125" customWidth="1"/>
    <x:col min="3" max="3" width="12.33203125" customWidth="1"/>
    <x:col min="4" max="4" width="22.5" customWidth="1"/>
    <x:col min="5" max="5" width="13.83203125" customWidth="1"/>
    <x:col min="6" max="6" width="11.83203125" customWidth="1"/>
    <x:col min="7" max="7" width="13.33203125" customWidth="1"/>
    <x:col min="8" max="8" width="10.5" customWidth="1"/>
    <x:col min="9" max="11" width="9.1640625" customWidth="1"/>
    <x:col min="12" max="12" width="11.6640625" customWidth="1"/>
    <x:col min="13" max="13" width="10.5" customWidth="1"/>
    <x:col min="14" max="14" width="15.33203125" customWidth="1"/>
    <x:col min="15" max="15" width="11.6640625" customWidth="1"/>
    <x:col min="16" max="16" width="16.33203125" customWidth="1"/>
    <x:col min="17" max="17" width="9.1640625" customWidth="1"/>
    <x:col min="18" max="18" width="11.6640625" customWidth="1"/>
    <x:col min="19" max="19" width="10.5" customWidth="1"/>
    <x:col min="20" max="20" width="9.1640625" customWidth="1"/>
    <x:col min="21" max="21" width="15.5" customWidth="1"/>
    <x:col min="22" max="22" width="10.33203125" customWidth="1"/>
    <x:col min="23" max="23" width="14" customWidth="1"/>
    <x:col min="24" max="24" width="16.83203125" customWidth="1"/>
    <x:col min="25" max="25" width="20.1640625" customWidth="1"/>
  </x:cols>
  <x:sheetData>
    <x:row r="1" s="85" customFormat="1">
      <x:c r="A1" s="112" t="s">
        <x:v>50</x:v>
      </x:c>
      <x:c r="B1" s="109" t="s">
        <x:v>2</x:v>
      </x:c>
      <x:c r="C1" s="109" t="s">
        <x:v>51</x:v>
      </x:c>
      <x:c r="D1" s="109" t="s">
        <x:v>52</x:v>
      </x:c>
      <x:c r="E1" s="109" t="s">
        <x:v>53</x:v>
      </x:c>
      <x:c r="F1" s="109" t="s">
        <x:v>54</x:v>
      </x:c>
      <x:c r="G1" s="109" t="s">
        <x:v>55</x:v>
      </x:c>
      <x:c r="H1" s="109" t="s">
        <x:v>56</x:v>
      </x:c>
      <x:c r="I1" s="109" t="s">
        <x:v>57</x:v>
      </x:c>
      <x:c r="J1" s="109" t="s">
        <x:v>58</x:v>
      </x:c>
      <x:c r="K1" s="109" t="s">
        <x:v>59</x:v>
      </x:c>
      <x:c r="L1" s="109" t="s">
        <x:v>60</x:v>
      </x:c>
      <x:c r="M1" s="109" t="s">
        <x:v>61</x:v>
      </x:c>
      <x:c r="N1" s="109" t="s">
        <x:v>62</x:v>
      </x:c>
      <x:c r="O1" s="109" t="s">
        <x:v>63</x:v>
      </x:c>
      <x:c r="P1" s="109" t="s">
        <x:v>64</x:v>
      </x:c>
      <x:c r="Q1" s="109" t="s">
        <x:v>65</x:v>
      </x:c>
      <x:c r="R1" s="109" t="s">
        <x:v>66</x:v>
      </x:c>
      <x:c r="S1" s="109" t="s">
        <x:v>67</x:v>
      </x:c>
      <x:c r="T1" s="109" t="s">
        <x:v>68</x:v>
      </x:c>
      <x:c r="U1" s="109" t="s">
        <x:v>69</x:v>
      </x:c>
      <x:c r="V1" s="109" t="s">
        <x:v>70</x:v>
      </x:c>
      <x:c r="W1" s="109" t="s">
        <x:v>71</x:v>
      </x:c>
      <x:c r="X1" s="109" t="s">
        <x:v>72</x:v>
      </x:c>
      <x:c r="Y1" s="109" t="s">
        <x:v>73</x:v>
      </x:c>
    </x:row>
    <x:row r="2" s="86" customFormat="1">
      <x:c r="A2" s="112"/>
      <x:c r="B2" s="110" t="s">
        <x:v>74</x:v>
      </x:c>
      <x:c r="C2" s="110" t="n">
        <x:f>SUM(C3:C8)</x:f>
        <x:v>0</x:v>
      </x:c>
      <x:c r="D2" s="110"/>
      <x:c r="E2" s="110"/>
      <x:c r="F2" s="110" t="n">
        <x:f t="shared" ref="F2:Q2" si="0">SUM(F3:F8)</x:f>
        <x:v>0</x:v>
      </x:c>
      <x:c r="G2" s="110">
        <x:f t="shared" si="0"/>
        <x:v>0</x:v>
      </x:c>
      <x:c r="H2" s="110">
        <x:f t="shared" si="0"/>
        <x:v>0</x:v>
      </x:c>
      <x:c r="I2" s="110">
        <x:f t="shared" si="0"/>
        <x:v>0</x:v>
      </x:c>
      <x:c r="J2" s="110">
        <x:f t="shared" si="0"/>
        <x:v>0</x:v>
      </x:c>
      <x:c r="K2" s="110">
        <x:f t="shared" si="0"/>
        <x:v>0</x:v>
      </x:c>
      <x:c r="L2" s="110">
        <x:f t="shared" si="0"/>
        <x:v>0</x:v>
      </x:c>
      <x:c r="M2" s="110">
        <x:f t="shared" si="0"/>
        <x:v>0</x:v>
      </x:c>
      <x:c r="N2" s="110">
        <x:f t="shared" si="0"/>
        <x:v>0</x:v>
      </x:c>
      <x:c r="O2" s="110">
        <x:f t="shared" si="0"/>
        <x:v>0</x:v>
      </x:c>
      <x:c r="P2" s="110">
        <x:f t="shared" si="0"/>
        <x:v>0</x:v>
      </x:c>
      <x:c r="Q2" s="110">
        <x:f t="shared" si="0"/>
        <x:v>0</x:v>
      </x:c>
      <x:c r="R2" s="110"/>
      <x:c r="S2" s="110"/>
      <x:c r="T2" s="110"/>
      <x:c r="U2" s="110"/>
      <x:c r="V2" s="110"/>
      <x:c r="W2" s="110"/>
      <x:c r="X2" s="110"/>
      <x:c r="Y2" s="110" t="n">
        <x:f>SUM(C2:X2)</x:f>
        <x:v>0</x:v>
      </x:c>
    </x:row>
    <x:row r="3" ht="18" customHeight="1">
      <x:c r="A3" s="13"/>
      <x:c r="B3" s="11" t="s">
        <x:v>75</x:v>
      </x:c>
      <x:c r="C3" s="88"/>
      <x:c r="D3" s="88"/>
      <x:c r="E3" s="88"/>
      <x:c r="F3" s="88"/>
      <x:c r="G3" s="88"/>
      <x:c r="H3" s="88"/>
      <x:c r="I3" s="88"/>
      <x:c r="J3" s="88"/>
      <x:c r="K3" s="88"/>
      <x:c r="L3" s="88"/>
      <x:c r="M3" s="88"/>
      <x:c r="N3" s="88"/>
      <x:c r="O3" s="88"/>
      <x:c r="P3" s="88"/>
      <x:c r="Q3" s="88"/>
      <x:c r="R3" s="88"/>
      <x:c r="S3" s="88"/>
      <x:c r="T3" s="88"/>
      <x:c r="U3" s="88"/>
      <x:c r="V3" s="88"/>
      <x:c r="W3" s="88"/>
      <x:c r="X3" s="88"/>
      <x:c r="Y3" s="91"/>
    </x:row>
    <x:row r="4" ht="18" customHeight="1">
      <x:c r="A4" s="13"/>
      <x:c r="B4" s="11" t="s">
        <x:v>76</x:v>
      </x:c>
      <x:c r="C4" s="88"/>
      <x:c r="D4" s="88"/>
      <x:c r="E4" s="88"/>
      <x:c r="F4" s="88"/>
      <x:c r="G4" s="88"/>
      <x:c r="H4" s="88"/>
      <x:c r="I4" s="88"/>
      <x:c r="J4" s="88"/>
      <x:c r="K4" s="88"/>
      <x:c r="L4" s="88"/>
      <x:c r="M4" s="88"/>
      <x:c r="N4" s="88"/>
      <x:c r="O4" s="88"/>
      <x:c r="P4" s="88"/>
      <x:c r="Q4" s="88"/>
      <x:c r="R4" s="88"/>
      <x:c r="S4" s="88"/>
      <x:c r="T4" s="88"/>
      <x:c r="U4" s="88"/>
      <x:c r="V4" s="88"/>
      <x:c r="W4" s="88"/>
      <x:c r="X4" s="88"/>
      <x:c r="Y4" s="91"/>
    </x:row>
    <x:row r="5">
      <x:c r="A5" s="13"/>
      <x:c r="B5" s="11" t="s">
        <x:v>77</x:v>
      </x:c>
      <x:c r="C5" s="88"/>
      <x:c r="D5" s="88"/>
      <x:c r="E5" s="88"/>
      <x:c r="F5" s="88"/>
      <x:c r="G5" s="88"/>
      <x:c r="H5" s="88"/>
      <x:c r="I5" s="88"/>
      <x:c r="J5" s="88"/>
      <x:c r="K5" s="88"/>
      <x:c r="L5" s="88"/>
      <x:c r="M5" s="88"/>
      <x:c r="N5" s="88"/>
      <x:c r="O5" s="88"/>
      <x:c r="P5" s="88"/>
      <x:c r="Q5" s="88"/>
      <x:c r="R5" s="88"/>
      <x:c r="S5" s="88"/>
      <x:c r="T5" s="88"/>
      <x:c r="U5" s="88"/>
      <x:c r="V5" s="88"/>
      <x:c r="W5" s="88"/>
      <x:c r="X5" s="88"/>
      <x:c r="Y5" s="91"/>
    </x:row>
    <x:row r="6">
      <x:c r="A6" s="13"/>
      <x:c r="B6" s="11" t="s">
        <x:v>78</x:v>
      </x:c>
      <x:c r="C6" s="88"/>
      <x:c r="D6" s="88"/>
      <x:c r="E6" s="88"/>
      <x:c r="F6" s="88"/>
      <x:c r="G6" s="88"/>
      <x:c r="H6" s="88"/>
      <x:c r="I6" s="88"/>
      <x:c r="J6" s="88"/>
      <x:c r="K6" s="88"/>
      <x:c r="L6" s="88"/>
      <x:c r="M6" s="88"/>
      <x:c r="N6" s="88"/>
      <x:c r="O6" s="88"/>
      <x:c r="P6" s="88"/>
      <x:c r="Q6" s="88"/>
      <x:c r="R6" s="88"/>
      <x:c r="S6" s="88"/>
      <x:c r="T6" s="88"/>
      <x:c r="U6" s="88"/>
      <x:c r="V6" s="88"/>
      <x:c r="W6" s="88"/>
      <x:c r="X6" s="88"/>
      <x:c r="Y6" s="91"/>
    </x:row>
    <x:row r="7">
      <x:c r="A7" s="13"/>
      <x:c r="B7" s="11" t="s">
        <x:v>79</x:v>
      </x:c>
      <x:c r="C7" s="88"/>
      <x:c r="D7" s="88"/>
      <x:c r="E7" s="88"/>
      <x:c r="F7" s="88"/>
      <x:c r="G7" s="88"/>
      <x:c r="H7" s="88"/>
      <x:c r="I7" s="88"/>
      <x:c r="J7" s="88"/>
      <x:c r="K7" s="88"/>
      <x:c r="L7" s="88"/>
      <x:c r="M7" s="88"/>
      <x:c r="N7" s="88"/>
      <x:c r="O7" s="88"/>
      <x:c r="P7" s="88"/>
      <x:c r="Q7" s="88"/>
      <x:c r="R7" s="88"/>
      <x:c r="S7" s="88"/>
      <x:c r="T7" s="88"/>
      <x:c r="U7" s="88"/>
      <x:c r="V7" s="88"/>
      <x:c r="W7" s="88"/>
      <x:c r="X7" s="88"/>
      <x:c r="Y7" s="91"/>
    </x:row>
    <x:row r="8">
      <x:c r="A8" s="13"/>
      <x:c r="B8" s="11" t="s">
        <x:v>80</x:v>
      </x:c>
      <x:c r="C8" s="88"/>
      <x:c r="D8" s="88"/>
      <x:c r="E8" s="88"/>
      <x:c r="F8" s="88"/>
      <x:c r="G8" s="88"/>
      <x:c r="H8" s="88"/>
      <x:c r="I8" s="88"/>
      <x:c r="J8" s="88"/>
      <x:c r="K8" s="88"/>
      <x:c r="L8" s="88"/>
      <x:c r="M8" s="88"/>
      <x:c r="N8" s="88"/>
      <x:c r="O8" s="88"/>
      <x:c r="P8" s="88"/>
      <x:c r="Q8" s="88"/>
      <x:c r="R8" s="88"/>
      <x:c r="S8" s="88"/>
      <x:c r="T8" s="88"/>
      <x:c r="U8" s="88"/>
      <x:c r="V8" s="88"/>
      <x:c r="W8" s="88"/>
      <x:c r="X8" s="88"/>
      <x:c r="Y8" s="91"/>
    </x:row>
    <x:row r="9">
      <x:c r="A9" s="13"/>
      <x:c r="B9" s="11" t="s">
        <x:v>81</x:v>
      </x:c>
      <x:c r="C9" s="88"/>
      <x:c r="D9" s="88"/>
      <x:c r="E9" s="88"/>
      <x:c r="F9" s="88"/>
      <x:c r="G9" s="88"/>
      <x:c r="H9" s="88"/>
      <x:c r="I9" s="88"/>
      <x:c r="J9" s="88"/>
      <x:c r="K9" s="88"/>
      <x:c r="L9" s="88"/>
      <x:c r="M9" s="88"/>
      <x:c r="N9" s="88"/>
      <x:c r="O9" s="88"/>
      <x:c r="P9" s="88"/>
      <x:c r="Q9" s="88"/>
      <x:c r="R9" s="88"/>
      <x:c r="S9" s="88"/>
      <x:c r="T9" s="88"/>
      <x:c r="U9" s="88"/>
      <x:c r="V9" s="88"/>
      <x:c r="W9" s="88"/>
      <x:c r="X9" s="88"/>
      <x:c r="Y9" s="91"/>
    </x:row>
    <x:row r="10">
      <x:c r="A10" s="13"/>
      <x:c r="B10" s="11" t="s">
        <x:v>82</x:v>
      </x:c>
      <x:c r="C10" s="88"/>
      <x:c r="D10" s="88"/>
      <x:c r="E10" s="88"/>
      <x:c r="F10" s="88"/>
      <x:c r="G10" s="88"/>
      <x:c r="H10" s="88"/>
      <x:c r="I10" s="88"/>
      <x:c r="J10" s="88"/>
      <x:c r="K10" s="88"/>
      <x:c r="L10" s="88"/>
      <x:c r="M10" s="88"/>
      <x:c r="N10" s="88"/>
      <x:c r="O10" s="88"/>
      <x:c r="P10" s="88"/>
      <x:c r="Q10" s="88"/>
      <x:c r="R10" s="88"/>
      <x:c r="S10" s="88"/>
      <x:c r="T10" s="88"/>
      <x:c r="U10" s="88"/>
      <x:c r="V10" s="88"/>
      <x:c r="W10" s="88"/>
      <x:c r="X10" s="88"/>
      <x:c r="Y10" s="91"/>
    </x:row>
    <x:row r="11">
      <x:c r="A11" s="13"/>
      <x:c r="B11" s="11" t="s">
        <x:v>83</x:v>
      </x:c>
      <x:c r="C11" s="88"/>
      <x:c r="D11" s="88"/>
      <x:c r="E11" s="88"/>
      <x:c r="F11" s="88"/>
      <x:c r="G11" s="88"/>
      <x:c r="H11" s="88"/>
      <x:c r="I11" s="88"/>
      <x:c r="J11" s="88"/>
      <x:c r="K11" s="88"/>
      <x:c r="L11" s="88"/>
      <x:c r="M11" s="88"/>
      <x:c r="N11" s="88"/>
      <x:c r="O11" s="88"/>
      <x:c r="P11" s="88"/>
      <x:c r="Q11" s="88"/>
      <x:c r="R11" s="88"/>
      <x:c r="S11" s="88"/>
      <x:c r="T11" s="88"/>
      <x:c r="U11" s="88"/>
      <x:c r="V11" s="88"/>
      <x:c r="W11" s="88"/>
      <x:c r="X11" s="88"/>
      <x:c r="Y11" s="91"/>
    </x:row>
    <x:row r="12">
      <x:c r="A12" s="13"/>
      <x:c r="B12" s="11" t="s">
        <x:v>84</x:v>
      </x:c>
      <x:c r="C12" s="88"/>
      <x:c r="D12" s="88"/>
      <x:c r="E12" s="88"/>
      <x:c r="F12" s="88"/>
      <x:c r="G12" s="88"/>
      <x:c r="H12" s="88"/>
      <x:c r="I12" s="88"/>
      <x:c r="J12" s="88"/>
      <x:c r="K12" s="88"/>
      <x:c r="L12" s="88"/>
      <x:c r="M12" s="88"/>
      <x:c r="N12" s="88"/>
      <x:c r="O12" s="88"/>
      <x:c r="P12" s="88"/>
      <x:c r="Q12" s="88"/>
      <x:c r="R12" s="88"/>
      <x:c r="S12" s="88"/>
      <x:c r="T12" s="88"/>
      <x:c r="U12" s="88"/>
      <x:c r="V12" s="88"/>
      <x:c r="W12" s="88"/>
      <x:c r="X12" s="88"/>
      <x:c r="Y12" s="91"/>
    </x:row>
    <x:row r="13">
      <x:c r="A13" s="13"/>
      <x:c r="B13" s="11" t="s">
        <x:v>85</x:v>
      </x:c>
      <x:c r="C13" s="88"/>
      <x:c r="D13" s="88"/>
      <x:c r="E13" s="88"/>
      <x:c r="F13" s="88"/>
      <x:c r="G13" s="88"/>
      <x:c r="H13" s="88"/>
      <x:c r="I13" s="88"/>
      <x:c r="J13" s="88"/>
      <x:c r="K13" s="88"/>
      <x:c r="L13" s="88"/>
      <x:c r="M13" s="88"/>
      <x:c r="N13" s="88"/>
      <x:c r="O13" s="88"/>
      <x:c r="P13" s="88"/>
      <x:c r="Q13" s="88"/>
      <x:c r="R13" s="88"/>
      <x:c r="S13" s="88"/>
      <x:c r="T13" s="88"/>
      <x:c r="U13" s="88"/>
      <x:c r="V13" s="88"/>
      <x:c r="W13" s="88"/>
      <x:c r="X13" s="88"/>
      <x:c r="Y13" s="91"/>
    </x:row>
    <x:row r="14">
      <x:c r="A14" s="13"/>
      <x:c r="B14" s="11" t="s">
        <x:v>86</x:v>
      </x:c>
      <x:c r="C14" s="88"/>
      <x:c r="D14" s="88"/>
      <x:c r="E14" s="88"/>
      <x:c r="F14" s="88"/>
      <x:c r="G14" s="88"/>
      <x:c r="H14" s="88"/>
      <x:c r="I14" s="88"/>
      <x:c r="J14" s="88"/>
      <x:c r="K14" s="88"/>
      <x:c r="L14" s="88"/>
      <x:c r="M14" s="88"/>
      <x:c r="N14" s="88"/>
      <x:c r="O14" s="88"/>
      <x:c r="P14" s="88"/>
      <x:c r="Q14" s="88"/>
      <x:c r="R14" s="88"/>
      <x:c r="S14" s="88"/>
      <x:c r="T14" s="88"/>
      <x:c r="U14" s="88"/>
      <x:c r="V14" s="88"/>
      <x:c r="W14" s="88"/>
      <x:c r="X14" s="88"/>
      <x:c r="Y14" s="91"/>
    </x:row>
    <x:row r="15">
      <x:c r="A15" s="13"/>
      <x:c r="B15" s="11" t="s">
        <x:v>87</x:v>
      </x:c>
      <x:c r="C15" s="88"/>
      <x:c r="D15" s="88"/>
      <x:c r="E15" s="88"/>
      <x:c r="F15" s="88"/>
      <x:c r="G15" s="88"/>
      <x:c r="H15" s="88"/>
      <x:c r="I15" s="88"/>
      <x:c r="J15" s="88"/>
      <x:c r="K15" s="88"/>
      <x:c r="L15" s="88"/>
      <x:c r="M15" s="88"/>
      <x:c r="N15" s="88"/>
      <x:c r="O15" s="88"/>
      <x:c r="P15" s="88"/>
      <x:c r="Q15" s="88"/>
      <x:c r="R15" s="88"/>
      <x:c r="S15" s="88"/>
      <x:c r="T15" s="88"/>
      <x:c r="U15" s="88"/>
      <x:c r="V15" s="88"/>
      <x:c r="W15" s="88"/>
      <x:c r="X15" s="88"/>
      <x:c r="Y15" s="91"/>
    </x:row>
    <x:row r="16">
      <x:c r="A16" s="13"/>
      <x:c r="B16" s="11" t="s">
        <x:v>88</x:v>
      </x:c>
      <x:c r="C16" s="88"/>
      <x:c r="D16" s="88"/>
      <x:c r="E16" s="88"/>
      <x:c r="F16" s="88"/>
      <x:c r="G16" s="88"/>
      <x:c r="H16" s="88"/>
      <x:c r="I16" s="88"/>
      <x:c r="J16" s="88"/>
      <x:c r="K16" s="88"/>
      <x:c r="L16" s="88"/>
      <x:c r="M16" s="88"/>
      <x:c r="N16" s="88"/>
      <x:c r="O16" s="88"/>
      <x:c r="P16" s="88"/>
      <x:c r="Q16" s="88"/>
      <x:c r="R16" s="88"/>
      <x:c r="S16" s="88"/>
      <x:c r="T16" s="88"/>
      <x:c r="U16" s="88"/>
      <x:c r="V16" s="88"/>
      <x:c r="W16" s="88"/>
      <x:c r="X16" s="88"/>
      <x:c r="Y16" s="91"/>
    </x:row>
    <x:row r="17">
      <x:c r="A17" s="13"/>
      <x:c r="B17" s="11" t="s">
        <x:v>89</x:v>
      </x:c>
      <x:c r="C17" s="88"/>
      <x:c r="D17" s="88"/>
      <x:c r="E17" s="88"/>
      <x:c r="F17" s="88"/>
      <x:c r="G17" s="88"/>
      <x:c r="H17" s="88"/>
      <x:c r="I17" s="88"/>
      <x:c r="J17" s="88"/>
      <x:c r="K17" s="88"/>
      <x:c r="L17" s="88"/>
      <x:c r="M17" s="88"/>
      <x:c r="N17" s="88"/>
      <x:c r="O17" s="88"/>
      <x:c r="P17" s="88"/>
      <x:c r="Q17" s="88"/>
      <x:c r="R17" s="88"/>
      <x:c r="S17" s="88"/>
      <x:c r="T17" s="88"/>
      <x:c r="U17" s="88"/>
      <x:c r="V17" s="88"/>
      <x:c r="W17" s="88"/>
      <x:c r="X17" s="88"/>
      <x:c r="Y17" s="91"/>
    </x:row>
    <x:row r="18" ht="17">
      <x:c r="A18" s="11"/>
      <x:c r="B18" s="89" t="s">
        <x:v>90</x:v>
      </x:c>
      <x:c r="C18" s="88"/>
      <x:c r="D18" s="88"/>
      <x:c r="E18" s="88"/>
      <x:c r="F18" s="88"/>
      <x:c r="G18" s="88"/>
      <x:c r="H18" s="88"/>
      <x:c r="I18" s="88"/>
      <x:c r="J18" s="88"/>
      <x:c r="K18" s="88"/>
      <x:c r="L18" s="88"/>
      <x:c r="M18" s="88"/>
      <x:c r="N18" s="88"/>
      <x:c r="O18" s="88"/>
      <x:c r="P18" s="88"/>
      <x:c r="Q18" s="88"/>
      <x:c r="R18" s="88"/>
      <x:c r="S18" s="88"/>
      <x:c r="T18" s="88"/>
      <x:c r="U18" s="88"/>
      <x:c r="V18" s="88"/>
      <x:c r="W18" s="88"/>
      <x:c r="X18" s="88"/>
      <x:c r="Y18" s="91"/>
    </x:row>
    <x:row r="19" ht="17">
      <x:c r="A19" s="11"/>
      <x:c r="B19" s="89" t="s">
        <x:v>19</x:v>
      </x:c>
      <x:c r="C19" s="88"/>
      <x:c r="D19" s="88"/>
      <x:c r="E19" s="88"/>
      <x:c r="F19" s="88"/>
      <x:c r="G19" s="88"/>
      <x:c r="H19" s="88"/>
      <x:c r="I19" s="88"/>
      <x:c r="J19" s="88"/>
      <x:c r="K19" s="88"/>
      <x:c r="L19" s="88"/>
      <x:c r="M19" s="88"/>
      <x:c r="N19" s="88"/>
      <x:c r="O19" s="88"/>
      <x:c r="P19" s="88"/>
      <x:c r="Q19" s="88"/>
      <x:c r="R19" s="88"/>
      <x:c r="S19" s="88"/>
      <x:c r="T19" s="88"/>
      <x:c r="U19" s="88"/>
      <x:c r="V19" s="88"/>
      <x:c r="W19" s="88"/>
      <x:c r="X19" s="88"/>
      <x:c r="Y19" s="91"/>
    </x:row>
    <x:row r="20" ht="17">
      <x:c r="A20" s="11"/>
      <x:c r="B20" s="89" t="s">
        <x:v>34</x:v>
      </x:c>
      <x:c r="C20" s="88"/>
      <x:c r="D20" s="88"/>
      <x:c r="E20" s="88"/>
      <x:c r="F20" s="88"/>
      <x:c r="G20" s="88"/>
      <x:c r="H20" s="88"/>
      <x:c r="I20" s="88"/>
      <x:c r="J20" s="88"/>
      <x:c r="K20" s="88"/>
      <x:c r="L20" s="88"/>
      <x:c r="M20" s="88"/>
      <x:c r="N20" s="88"/>
      <x:c r="O20" s="88"/>
      <x:c r="P20" s="88"/>
      <x:c r="Q20" s="88"/>
      <x:c r="R20" s="88"/>
      <x:c r="S20" s="88"/>
      <x:c r="T20" s="88"/>
      <x:c r="U20" s="88"/>
      <x:c r="V20" s="88"/>
      <x:c r="W20" s="88"/>
      <x:c r="X20" s="88"/>
      <x:c r="Y20" s="91"/>
    </x:row>
    <x:row r="21">
      <x:c r="A21" s="111" t="s">
        <x:v>49</x:v>
      </x:c>
      <x:c r="B21" s="111"/>
      <x:c r="C21" s="90" t="n">
        <x:f>SUM(C3:C20)</x:f>
        <x:v>0</x:v>
      </x:c>
      <x:c r="D21" s="90" t="n">
        <x:f>SUM(D3:D20)</x:f>
        <x:v>0</x:v>
      </x:c>
      <x:c r="E21" s="90" t="n">
        <x:f>SUM(E3:E20)</x:f>
        <x:v>0</x:v>
      </x:c>
      <x:c r="F21" s="90" t="n">
        <x:f t="shared" ref="F21:M21" si="1">SUM(F3:F20)</x:f>
        <x:v>0</x:v>
      </x:c>
      <x:c r="G21" s="90">
        <x:f t="shared" si="1"/>
        <x:v>0</x:v>
      </x:c>
      <x:c r="H21" s="90">
        <x:f t="shared" si="1"/>
        <x:v>0</x:v>
      </x:c>
      <x:c r="I21" s="90">
        <x:f t="shared" si="1"/>
        <x:v>0</x:v>
      </x:c>
      <x:c r="J21" s="90">
        <x:f t="shared" si="1"/>
        <x:v>0</x:v>
      </x:c>
      <x:c r="K21" s="90">
        <x:f t="shared" si="1"/>
        <x:v>0</x:v>
      </x:c>
      <x:c r="L21" s="90">
        <x:f t="shared" si="1"/>
        <x:v>0</x:v>
      </x:c>
      <x:c r="M21" s="90">
        <x:f t="shared" si="1"/>
        <x:v>0</x:v>
      </x:c>
      <x:c r="N21" s="90" t="n">
        <x:f t="shared" ref="N21:Y21" si="2">SUM(N3:N20)</x:f>
        <x:v>0</x:v>
      </x:c>
      <x:c r="O21" s="90">
        <x:f t="shared" si="2"/>
        <x:v>0</x:v>
      </x:c>
      <x:c r="P21" s="90">
        <x:f t="shared" si="2"/>
        <x:v>0</x:v>
      </x:c>
      <x:c r="Q21" s="90">
        <x:f t="shared" si="2"/>
        <x:v>0</x:v>
      </x:c>
      <x:c r="R21" s="90">
        <x:f t="shared" si="2"/>
        <x:v>0</x:v>
      </x:c>
      <x:c r="S21" s="90">
        <x:f t="shared" si="2"/>
        <x:v>0</x:v>
      </x:c>
      <x:c r="T21" s="90">
        <x:f t="shared" si="2"/>
        <x:v>0</x:v>
      </x:c>
      <x:c r="U21" s="90">
        <x:f t="shared" si="2"/>
        <x:v>0</x:v>
      </x:c>
      <x:c r="V21" s="90">
        <x:f t="shared" si="2"/>
        <x:v>0</x:v>
      </x:c>
      <x:c r="W21" s="90">
        <x:f t="shared" si="2"/>
        <x:v>0</x:v>
      </x:c>
      <x:c r="X21" s="90">
        <x:f t="shared" si="2"/>
        <x:v>0</x:v>
      </x:c>
      <x:c r="Y21" s="90">
        <x:f t="shared" si="2"/>
        <x:v>0</x:v>
      </x:c>
    </x:row>
    <x:row r="28">
      <x:c r="A28" s="85"/>
      <x:c r="B28" s="86"/>
    </x:row>
    <x:row r="29">
      <x:c r="A29" s="85"/>
      <x:c r="B29" s="86"/>
    </x:row>
    <x:row r="30">
      <x:c r="A30" s="85"/>
      <x:c r="B30" s="86"/>
    </x:row>
    <x:row r="31">
      <x:c r="A31" s="85"/>
      <x:c r="B31" s="86"/>
    </x:row>
    <x:row r="32">
      <x:c r="A32" s="85"/>
      <x:c r="B32" s="86"/>
    </x:row>
    <x:row r="33">
      <x:c r="A33" s="85"/>
      <x:c r="B33" s="86"/>
    </x:row>
    <x:row r="34">
      <x:c r="A34" s="85"/>
      <x:c r="B34" s="86"/>
    </x:row>
    <x:row r="35">
      <x:c r="A35" s="85"/>
      <x:c r="B35" s="86"/>
    </x:row>
    <x:row r="36">
      <x:c r="A36" s="85"/>
      <x:c r="B36" s="86"/>
    </x:row>
    <x:row r="37">
      <x:c r="A37" s="85"/>
      <x:c r="B37" s="86"/>
    </x:row>
    <x:row r="38">
      <x:c r="A38" s="85"/>
      <x:c r="B38" s="86"/>
    </x:row>
    <x:row r="39">
      <x:c r="A39" s="85"/>
      <x:c r="B39" s="86"/>
    </x:row>
    <x:row r="40">
      <x:c r="A40" s="85"/>
      <x:c r="B40" s="86"/>
    </x:row>
    <x:row r="41">
      <x:c r="A41" s="85"/>
      <x:c r="B41" s="86"/>
    </x:row>
    <x:row r="42">
      <x:c r="A42" s="85"/>
      <x:c r="B42" s="86"/>
    </x:row>
    <x:row r="43">
      <x:c r="A43" s="85"/>
      <x:c r="B43" s="86"/>
    </x:row>
    <x:row r="44">
      <x:c r="A44" s="85"/>
      <x:c r="B44" s="86"/>
    </x:row>
    <x:row r="45">
      <x:c r="A45" s="85"/>
      <x:c r="B45" s="86"/>
    </x:row>
    <x:row r="46">
      <x:c r="A46" s="85"/>
      <x:c r="B46" s="86"/>
    </x:row>
    <x:row r="47">
      <x:c r="A47" s="85"/>
      <x:c r="B47" s="86"/>
    </x:row>
    <x:row r="48">
      <x:c r="A48" s="85"/>
      <x:c r="B48" s="86"/>
    </x:row>
    <x:row r="49">
      <x:c r="A49" s="85"/>
      <x:c r="B49" s="86"/>
    </x:row>
    <x:row r="50">
      <x:c r="A50" s="85"/>
      <x:c r="B50" s="86"/>
    </x:row>
    <x:row r="51">
      <x:c r="A51" s="85"/>
      <x:c r="B51" s="86"/>
    </x:row>
    <x:row r="52">
      <x:c r="A52" s="85"/>
      <x:c r="B52" s="86"/>
    </x:row>
    <x:row r="53">
      <x:c r="A53" s="85"/>
      <x:c r="B53" s="86"/>
    </x:row>
    <x:row r="54">
      <x:c r="A54" s="85"/>
      <x:c r="B54" s="86"/>
    </x:row>
    <x:row r="55">
      <x:c r="A55" s="85"/>
      <x:c r="B55" s="86"/>
    </x:row>
    <x:row r="56">
      <x:c r="A56" s="85"/>
      <x:c r="B56" s="86"/>
    </x:row>
    <x:row r="57">
      <x:c r="A57" s="85"/>
      <x:c r="B57" s="86"/>
    </x:row>
    <x:row r="58">
      <x:c r="A58" s="85"/>
      <x:c r="B58" s="86"/>
    </x:row>
    <x:row r="59">
      <x:c r="A59" s="85"/>
      <x:c r="B59" s="86"/>
    </x:row>
    <x:row r="60">
      <x:c r="A60" s="85"/>
      <x:c r="B60" s="86"/>
    </x:row>
    <x:row r="61">
      <x:c r="A61" s="85"/>
      <x:c r="B61" s="86"/>
    </x:row>
    <x:row r="62">
      <x:c r="A62" s="85"/>
      <x:c r="B62" s="86"/>
    </x:row>
    <x:row r="63">
      <x:c r="A63" s="85"/>
      <x:c r="B63" s="86"/>
    </x:row>
    <x:row r="64">
      <x:c r="A64" s="85"/>
      <x:c r="B64" s="86"/>
    </x:row>
    <x:row r="65">
      <x:c r="A65" s="85"/>
      <x:c r="B65" s="86"/>
    </x:row>
    <x:row r="66">
      <x:c r="A66" s="85"/>
      <x:c r="B66" s="86"/>
    </x:row>
    <x:row r="67">
      <x:c r="A67" s="85"/>
      <x:c r="B67" s="86"/>
    </x:row>
    <x:row r="68">
      <x:c r="A68" s="85"/>
      <x:c r="B68" s="86"/>
    </x:row>
    <x:row r="69">
      <x:c r="A69" s="85"/>
      <x:c r="B69" s="86"/>
    </x:row>
    <x:row r="70">
      <x:c r="A70" s="85"/>
      <x:c r="B70" s="86"/>
    </x:row>
    <x:row r="71">
      <x:c r="A71" s="85"/>
      <x:c r="B71" s="86"/>
    </x:row>
    <x:row r="72">
      <x:c r="A72" s="85"/>
      <x:c r="B72" s="86"/>
    </x:row>
    <x:row r="73">
      <x:c r="A73" s="85"/>
      <x:c r="B73" s="86"/>
    </x:row>
    <x:row r="74">
      <x:c r="A74" s="85"/>
      <x:c r="B74" s="86"/>
    </x:row>
    <x:row r="75">
      <x:c r="A75" s="85"/>
      <x:c r="B75" s="86"/>
    </x:row>
    <x:row r="76">
      <x:c r="A76" s="85"/>
      <x:c r="B76" s="86"/>
    </x:row>
    <x:row r="77">
      <x:c r="A77" s="85"/>
      <x:c r="B77" s="86"/>
    </x:row>
    <x:row r="78">
      <x:c r="A78" s="85"/>
      <x:c r="B78" s="86"/>
    </x:row>
    <x:row r="79">
      <x:c r="A79" s="85"/>
      <x:c r="B79" s="86"/>
    </x:row>
    <x:row r="80">
      <x:c r="A80" s="85"/>
      <x:c r="B80" s="86"/>
    </x:row>
    <x:row r="81">
      <x:c r="A81" s="85"/>
      <x:c r="B81" s="86"/>
    </x:row>
    <x:row r="82">
      <x:c r="A82" s="85"/>
      <x:c r="B82" s="86"/>
    </x:row>
    <x:row r="83">
      <x:c r="A83" s="85"/>
      <x:c r="B83" s="86"/>
    </x:row>
    <x:row r="84">
      <x:c r="A84" s="85"/>
      <x:c r="B84" s="86"/>
    </x:row>
    <x:row r="85">
      <x:c r="A85" s="85"/>
      <x:c r="B85" s="86"/>
    </x:row>
    <x:row r="86">
      <x:c r="A86" s="85"/>
      <x:c r="B86" s="86"/>
    </x:row>
    <x:row r="87">
      <x:c r="A87" s="85"/>
      <x:c r="B87" s="86"/>
    </x:row>
    <x:row r="88">
      <x:c r="A88" s="85"/>
      <x:c r="B88" s="86"/>
    </x:row>
    <x:row r="89">
      <x:c r="A89" s="85"/>
      <x:c r="B89" s="86"/>
    </x:row>
    <x:row r="90">
      <x:c r="A90" s="85"/>
      <x:c r="B90" s="86"/>
    </x:row>
    <x:row r="91">
      <x:c r="A91" s="85"/>
      <x:c r="B91" s="86"/>
    </x:row>
    <x:row r="92">
      <x:c r="A92" s="85"/>
      <x:c r="B92" s="86"/>
    </x:row>
    <x:row r="93">
      <x:c r="A93" s="85"/>
      <x:c r="B93" s="86"/>
    </x:row>
    <x:row r="94">
      <x:c r="A94" s="85"/>
      <x:c r="B94" s="86"/>
    </x:row>
    <x:row r="95">
      <x:c r="A95" s="85"/>
      <x:c r="B95" s="86"/>
    </x:row>
    <x:row r="96">
      <x:c r="A96" s="85"/>
      <x:c r="B96" s="86"/>
    </x:row>
    <x:row r="97">
      <x:c r="A97" s="85"/>
      <x:c r="B97" s="86"/>
    </x:row>
    <x:row r="98">
      <x:c r="A98" s="85"/>
      <x:c r="B98" s="86"/>
    </x:row>
    <x:row r="99">
      <x:c r="A99" s="85"/>
      <x:c r="B99" s="86"/>
    </x:row>
    <x:row r="100">
      <x:c r="A100" s="85"/>
      <x:c r="B100" s="86"/>
    </x:row>
    <x:row r="101">
      <x:c r="A101" s="85"/>
      <x:c r="B101" s="86"/>
    </x:row>
    <x:row r="102">
      <x:c r="A102" s="85"/>
      <x:c r="B102" s="86"/>
    </x:row>
    <x:row r="103">
      <x:c r="A103" s="85"/>
      <x:c r="B103" s="86"/>
    </x:row>
    <x:row r="104">
      <x:c r="A104" s="85"/>
      <x:c r="B104" s="86"/>
    </x:row>
    <x:row r="105">
      <x:c r="A105" s="85"/>
      <x:c r="B105" s="86"/>
    </x:row>
    <x:row r="106">
      <x:c r="A106" s="85"/>
      <x:c r="B106" s="86"/>
    </x:row>
    <x:row r="107">
      <x:c r="A107" s="85"/>
      <x:c r="B107" s="86"/>
    </x:row>
    <x:row r="108">
      <x:c r="A108" s="85"/>
      <x:c r="B108" s="86"/>
    </x:row>
    <x:row r="109">
      <x:c r="A109" s="85"/>
      <x:c r="B109" s="86"/>
    </x:row>
    <x:row r="110">
      <x:c r="A110" s="85"/>
      <x:c r="B110" s="86"/>
    </x:row>
    <x:row r="111">
      <x:c r="A111" s="85"/>
      <x:c r="B111" s="86"/>
    </x:row>
    <x:row r="112">
      <x:c r="A112" s="85"/>
      <x:c r="B112" s="86"/>
    </x:row>
    <x:row r="113">
      <x:c r="A113" s="85"/>
      <x:c r="B113" s="86"/>
    </x:row>
    <x:row r="114">
      <x:c r="A114" s="85"/>
      <x:c r="B114" s="86"/>
    </x:row>
    <x:row r="115">
      <x:c r="A115" s="85"/>
      <x:c r="B115" s="86"/>
    </x:row>
    <x:row r="116">
      <x:c r="A116" s="85"/>
      <x:c r="B116" s="86"/>
    </x:row>
    <x:row r="117">
      <x:c r="A117" s="85"/>
      <x:c r="B117" s="86"/>
    </x:row>
    <x:row r="118">
      <x:c r="A118" s="85"/>
      <x:c r="B118" s="86"/>
    </x:row>
    <x:row r="119">
      <x:c r="A119" s="85"/>
      <x:c r="B119" s="86"/>
    </x:row>
    <x:row r="120">
      <x:c r="A120" s="85"/>
      <x:c r="B120" s="86"/>
    </x:row>
    <x:row r="121">
      <x:c r="A121" s="85"/>
      <x:c r="B121" s="86"/>
    </x:row>
    <x:row r="122">
      <x:c r="A122" s="85"/>
      <x:c r="B122" s="86"/>
    </x:row>
    <x:row r="123">
      <x:c r="A123" s="85"/>
      <x:c r="B123" s="86"/>
    </x:row>
    <x:row r="124">
      <x:c r="A124" s="85"/>
      <x:c r="B124" s="86"/>
    </x:row>
    <x:row r="125">
      <x:c r="A125" s="85"/>
      <x:c r="B125" s="86"/>
    </x:row>
    <x:row r="126">
      <x:c r="A126" s="85"/>
      <x:c r="B126" s="86"/>
    </x:row>
    <x:row r="127">
      <x:c r="A127" s="85"/>
      <x:c r="B127" s="86"/>
    </x:row>
    <x:row r="128">
      <x:c r="A128" s="85"/>
      <x:c r="B128" s="86"/>
    </x:row>
    <x:row r="129">
      <x:c r="A129" s="85"/>
      <x:c r="B129" s="86"/>
    </x:row>
    <x:row r="130">
      <x:c r="A130" s="85"/>
      <x:c r="B130" s="86"/>
    </x:row>
    <x:row r="131">
      <x:c r="A131" s="85"/>
      <x:c r="B131" s="86"/>
    </x:row>
    <x:row r="132">
      <x:c r="A132" s="85"/>
      <x:c r="B132" s="86"/>
    </x:row>
    <x:row r="133">
      <x:c r="A133" s="85"/>
      <x:c r="B133" s="86"/>
    </x:row>
    <x:row r="134">
      <x:c r="A134" s="85"/>
      <x:c r="B134" s="86"/>
    </x:row>
    <x:row r="135">
      <x:c r="A135" s="85"/>
      <x:c r="B135" s="86"/>
    </x:row>
    <x:row r="136">
      <x:c r="A136" s="85"/>
      <x:c r="B136" s="86"/>
    </x:row>
    <x:row r="137">
      <x:c r="A137" s="85"/>
      <x:c r="B137" s="86"/>
    </x:row>
    <x:row r="138">
      <x:c r="A138" s="85"/>
      <x:c r="B138" s="86"/>
    </x:row>
    <x:row r="139">
      <x:c r="A139" s="85"/>
      <x:c r="B139" s="86"/>
    </x:row>
    <x:row r="140">
      <x:c r="A140" s="85"/>
      <x:c r="B140" s="86"/>
    </x:row>
    <x:row r="141">
      <x:c r="A141" s="85"/>
      <x:c r="B141" s="86"/>
    </x:row>
    <x:row r="142">
      <x:c r="A142" s="85"/>
      <x:c r="B142" s="86"/>
    </x:row>
    <x:row r="143">
      <x:c r="A143" s="85"/>
      <x:c r="B143" s="86"/>
    </x:row>
    <x:row r="144">
      <x:c r="A144" s="85"/>
      <x:c r="B144" s="86"/>
    </x:row>
    <x:row r="145">
      <x:c r="A145" s="85"/>
      <x:c r="B145" s="86"/>
    </x:row>
    <x:row r="146">
      <x:c r="A146" s="85"/>
      <x:c r="B146" s="86"/>
    </x:row>
    <x:row r="147">
      <x:c r="A147" s="85"/>
      <x:c r="B147" s="86"/>
    </x:row>
    <x:row r="148">
      <x:c r="A148" s="85"/>
      <x:c r="B148" s="86"/>
    </x:row>
    <x:row r="149">
      <x:c r="A149" s="85"/>
      <x:c r="B149" s="86"/>
    </x:row>
    <x:row r="150">
      <x:c r="A150" s="85"/>
      <x:c r="B150" s="86"/>
    </x:row>
    <x:row r="151">
      <x:c r="A151" s="85"/>
      <x:c r="B151" s="86"/>
    </x:row>
    <x:row r="152">
      <x:c r="A152" s="85"/>
      <x:c r="B152" s="86"/>
    </x:row>
    <x:row r="153">
      <x:c r="A153" s="85"/>
      <x:c r="B153" s="86"/>
    </x:row>
    <x:row r="154">
      <x:c r="A154" s="85"/>
      <x:c r="B154" s="86"/>
    </x:row>
    <x:row r="155">
      <x:c r="A155" s="85"/>
      <x:c r="B155" s="86"/>
    </x:row>
    <x:row r="156">
      <x:c r="A156" s="85"/>
      <x:c r="B156" s="86"/>
    </x:row>
    <x:row r="157">
      <x:c r="A157" s="85"/>
      <x:c r="B157" s="86"/>
    </x:row>
    <x:row r="158">
      <x:c r="A158" s="85"/>
      <x:c r="B158" s="86"/>
    </x:row>
    <x:row r="159">
      <x:c r="A159" s="85"/>
      <x:c r="B159" s="86"/>
    </x:row>
    <x:row r="160">
      <x:c r="A160" s="85"/>
      <x:c r="B160" s="86"/>
    </x:row>
    <x:row r="161">
      <x:c r="A161" s="85"/>
      <x:c r="B161" s="86"/>
    </x:row>
    <x:row r="162">
      <x:c r="A162" s="85"/>
      <x:c r="B162" s="86"/>
    </x:row>
    <x:row r="163">
      <x:c r="A163" s="85"/>
      <x:c r="B163" s="86"/>
    </x:row>
    <x:row r="164">
      <x:c r="A164" s="85"/>
      <x:c r="B164" s="86"/>
    </x:row>
    <x:row r="165">
      <x:c r="A165" s="85"/>
      <x:c r="B165" s="86"/>
    </x:row>
    <x:row r="166">
      <x:c r="A166" s="85"/>
      <x:c r="B166" s="86"/>
    </x:row>
    <x:row r="167">
      <x:c r="A167" s="85"/>
      <x:c r="B167" s="86"/>
    </x:row>
    <x:row r="168">
      <x:c r="A168" s="85"/>
      <x:c r="B168" s="86"/>
    </x:row>
    <x:row r="169">
      <x:c r="A169" s="85"/>
      <x:c r="B169" s="86"/>
    </x:row>
    <x:row r="170">
      <x:c r="A170" s="85"/>
      <x:c r="B170" s="86"/>
    </x:row>
    <x:row r="171">
      <x:c r="A171" s="85"/>
      <x:c r="B171" s="86"/>
    </x:row>
    <x:row r="172">
      <x:c r="A172" s="85"/>
      <x:c r="B172" s="86"/>
    </x:row>
    <x:row r="173">
      <x:c r="A173" s="85"/>
      <x:c r="B173" s="86"/>
    </x:row>
    <x:row r="174">
      <x:c r="A174" s="85"/>
      <x:c r="B174" s="86"/>
    </x:row>
    <x:row r="175">
      <x:c r="A175" s="85"/>
      <x:c r="B175" s="86"/>
    </x:row>
    <x:row r="176">
      <x:c r="A176" s="85"/>
      <x:c r="B176" s="86"/>
    </x:row>
    <x:row r="177">
      <x:c r="A177" s="85"/>
      <x:c r="B177" s="86"/>
    </x:row>
    <x:row r="178">
      <x:c r="A178" s="85"/>
      <x:c r="B178" s="86"/>
    </x:row>
    <x:row r="179">
      <x:c r="A179" s="85"/>
      <x:c r="B179" s="86"/>
    </x:row>
    <x:row r="180">
      <x:c r="A180" s="85"/>
      <x:c r="B180" s="86"/>
    </x:row>
    <x:row r="181">
      <x:c r="A181" s="85"/>
      <x:c r="B181" s="86"/>
    </x:row>
    <x:row r="182">
      <x:c r="A182" s="85"/>
      <x:c r="B182" s="86"/>
    </x:row>
    <x:row r="183">
      <x:c r="A183" s="85"/>
      <x:c r="B183" s="86"/>
    </x:row>
    <x:row r="184">
      <x:c r="A184" s="85"/>
      <x:c r="B184" s="86"/>
    </x:row>
    <x:row r="185">
      <x:c r="A185" s="85"/>
      <x:c r="B185" s="86"/>
    </x:row>
    <x:row r="186">
      <x:c r="A186" s="85"/>
      <x:c r="B186" s="86"/>
    </x:row>
    <x:row r="187">
      <x:c r="A187" s="85"/>
      <x:c r="B187" s="86"/>
    </x:row>
    <x:row r="188">
      <x:c r="A188" s="85"/>
      <x:c r="B188" s="86"/>
    </x:row>
    <x:row r="189">
      <x:c r="A189" s="85"/>
      <x:c r="B189" s="86"/>
    </x:row>
    <x:row r="190">
      <x:c r="A190" s="85"/>
      <x:c r="B190" s="86"/>
    </x:row>
    <x:row r="191">
      <x:c r="A191" s="85"/>
      <x:c r="B191" s="86"/>
    </x:row>
    <x:row r="192">
      <x:c r="A192" s="85"/>
      <x:c r="B192" s="86"/>
    </x:row>
    <x:row r="193">
      <x:c r="A193" s="85"/>
      <x:c r="B193" s="86"/>
    </x:row>
    <x:row r="194">
      <x:c r="A194" s="85"/>
      <x:c r="B194" s="86"/>
    </x:row>
    <x:row r="195">
      <x:c r="A195" s="85"/>
      <x:c r="B195" s="86"/>
    </x:row>
    <x:row r="196">
      <x:c r="A196" s="85"/>
      <x:c r="B196" s="86"/>
    </x:row>
    <x:row r="197">
      <x:c r="A197" s="85"/>
      <x:c r="B197" s="86"/>
    </x:row>
    <x:row r="198">
      <x:c r="A198" s="85"/>
      <x:c r="B198" s="86"/>
    </x:row>
    <x:row r="199">
      <x:c r="A199" s="85"/>
      <x:c r="B199" s="86"/>
    </x:row>
    <x:row r="200">
      <x:c r="A200" s="85"/>
      <x:c r="B200" s="86"/>
    </x:row>
    <x:row r="201">
      <x:c r="A201" s="85"/>
      <x:c r="B201" s="86"/>
    </x:row>
    <x:row r="202">
      <x:c r="A202" s="85"/>
      <x:c r="B202" s="86"/>
    </x:row>
    <x:row r="203">
      <x:c r="A203" s="85"/>
      <x:c r="B203" s="86"/>
    </x:row>
    <x:row r="204">
      <x:c r="A204" s="85"/>
      <x:c r="B204" s="86"/>
    </x:row>
    <x:row r="205">
      <x:c r="A205" s="85"/>
      <x:c r="B205" s="86"/>
    </x:row>
    <x:row r="206">
      <x:c r="A206" s="85"/>
      <x:c r="B206" s="86"/>
    </x:row>
    <x:row r="207">
      <x:c r="A207" s="85"/>
      <x:c r="B207" s="86"/>
    </x:row>
    <x:row r="208">
      <x:c r="A208" s="85"/>
      <x:c r="B208" s="86"/>
    </x:row>
    <x:row r="209">
      <x:c r="A209" s="85"/>
      <x:c r="B209" s="86"/>
    </x:row>
    <x:row r="210">
      <x:c r="A210" s="85"/>
      <x:c r="B210" s="86"/>
    </x:row>
    <x:row r="211">
      <x:c r="A211" s="85"/>
      <x:c r="B211" s="86"/>
    </x:row>
    <x:row r="212">
      <x:c r="A212" s="85"/>
      <x:c r="B212" s="86"/>
    </x:row>
    <x:row r="213">
      <x:c r="A213" s="85"/>
      <x:c r="B213" s="86"/>
    </x:row>
    <x:row r="214">
      <x:c r="A214" s="85"/>
      <x:c r="B214" s="86"/>
    </x:row>
    <x:row r="215">
      <x:c r="A215" s="85"/>
      <x:c r="B215" s="86"/>
    </x:row>
    <x:row r="216">
      <x:c r="A216" s="85"/>
      <x:c r="B216" s="86"/>
    </x:row>
    <x:row r="217">
      <x:c r="A217" s="85"/>
      <x:c r="B217" s="86"/>
    </x:row>
    <x:row r="218">
      <x:c r="A218" s="85"/>
      <x:c r="B218" s="86"/>
    </x:row>
    <x:row r="219">
      <x:c r="A219" s="85"/>
      <x:c r="B219" s="86"/>
    </x:row>
    <x:row r="220">
      <x:c r="A220" s="85"/>
      <x:c r="B220" s="86"/>
    </x:row>
    <x:row r="221">
      <x:c r="A221" s="85"/>
      <x:c r="B221" s="86"/>
    </x:row>
    <x:row r="222">
      <x:c r="A222" s="85"/>
      <x:c r="B222" s="86"/>
    </x:row>
    <x:row r="223">
      <x:c r="A223" s="85"/>
      <x:c r="B223" s="86"/>
    </x:row>
    <x:row r="224">
      <x:c r="A224" s="85"/>
      <x:c r="B224" s="86"/>
    </x:row>
    <x:row r="225">
      <x:c r="A225" s="85"/>
      <x:c r="B225" s="86"/>
    </x:row>
    <x:row r="226">
      <x:c r="A226" s="85"/>
      <x:c r="B226" s="86"/>
    </x:row>
    <x:row r="227">
      <x:c r="A227" s="85"/>
      <x:c r="B227" s="86"/>
    </x:row>
    <x:row r="228">
      <x:c r="A228" s="85"/>
      <x:c r="B228" s="86"/>
    </x:row>
    <x:row r="229">
      <x:c r="A229" s="85"/>
      <x:c r="B229" s="86"/>
    </x:row>
    <x:row r="230">
      <x:c r="A230" s="85"/>
      <x:c r="B230" s="86"/>
    </x:row>
    <x:row r="231">
      <x:c r="A231" s="85"/>
      <x:c r="B231" s="86"/>
    </x:row>
    <x:row r="232">
      <x:c r="A232" s="85"/>
      <x:c r="B232" s="86"/>
    </x:row>
    <x:row r="233">
      <x:c r="A233" s="85"/>
      <x:c r="B233" s="86"/>
    </x:row>
    <x:row r="234">
      <x:c r="A234" s="85"/>
      <x:c r="B234" s="86"/>
    </x:row>
    <x:row r="235">
      <x:c r="A235" s="85"/>
      <x:c r="B235" s="86"/>
    </x:row>
    <x:row r="236">
      <x:c r="A236" s="85"/>
      <x:c r="B236" s="86"/>
    </x:row>
    <x:row r="237">
      <x:c r="A237" s="85"/>
      <x:c r="B237" s="86"/>
    </x:row>
    <x:row r="238">
      <x:c r="A238" s="85"/>
      <x:c r="B238" s="86"/>
    </x:row>
    <x:row r="239">
      <x:c r="A239" s="85"/>
      <x:c r="B239" s="86"/>
    </x:row>
    <x:row r="240">
      <x:c r="A240" s="85"/>
      <x:c r="B240" s="86"/>
    </x:row>
    <x:row r="241">
      <x:c r="A241" s="85"/>
      <x:c r="B241" s="86"/>
    </x:row>
    <x:row r="242">
      <x:c r="A242" s="85"/>
      <x:c r="B242" s="86"/>
    </x:row>
    <x:row r="243">
      <x:c r="A243" s="85"/>
      <x:c r="B243" s="86"/>
    </x:row>
    <x:row r="244">
      <x:c r="A244" s="85"/>
      <x:c r="B244" s="86"/>
    </x:row>
    <x:row r="245">
      <x:c r="A245" s="85"/>
      <x:c r="B245" s="86"/>
    </x:row>
    <x:row r="246">
      <x:c r="A246" s="85"/>
      <x:c r="B246" s="86"/>
    </x:row>
    <x:row r="247">
      <x:c r="A247" s="85"/>
      <x:c r="B247" s="86"/>
    </x:row>
    <x:row r="248">
      <x:c r="A248" s="85"/>
      <x:c r="B248" s="86"/>
    </x:row>
    <x:row r="249">
      <x:c r="A249" s="85"/>
      <x:c r="B249" s="86"/>
    </x:row>
    <x:row r="250">
      <x:c r="A250" s="85"/>
      <x:c r="B250" s="86"/>
    </x:row>
    <x:row r="251">
      <x:c r="A251" s="85"/>
      <x:c r="B251" s="86"/>
    </x:row>
    <x:row r="252">
      <x:c r="A252" s="85"/>
      <x:c r="B252" s="86"/>
    </x:row>
    <x:row r="253">
      <x:c r="A253" s="85"/>
      <x:c r="B253" s="86"/>
    </x:row>
    <x:row r="254">
      <x:c r="A254" s="85"/>
      <x:c r="B254" s="86"/>
    </x:row>
    <x:row r="255">
      <x:c r="A255" s="85"/>
      <x:c r="B255" s="86"/>
    </x:row>
    <x:row r="256">
      <x:c r="A256" s="85"/>
      <x:c r="B256" s="86"/>
    </x:row>
    <x:row r="257">
      <x:c r="A257" s="85"/>
      <x:c r="B257" s="86"/>
    </x:row>
    <x:row r="258">
      <x:c r="A258" s="85"/>
      <x:c r="B258" s="86"/>
    </x:row>
    <x:row r="259">
      <x:c r="A259" s="85"/>
      <x:c r="B259" s="86"/>
    </x:row>
    <x:row r="260">
      <x:c r="A260" s="85"/>
      <x:c r="B260" s="86"/>
    </x:row>
    <x:row r="261">
      <x:c r="A261" s="85"/>
      <x:c r="B261" s="86"/>
    </x:row>
    <x:row r="262">
      <x:c r="A262" s="85"/>
      <x:c r="B262" s="86"/>
    </x:row>
    <x:row r="263">
      <x:c r="A263" s="85"/>
      <x:c r="B263" s="86"/>
    </x:row>
    <x:row r="264">
      <x:c r="A264" s="85"/>
      <x:c r="B264" s="86"/>
    </x:row>
    <x:row r="265">
      <x:c r="A265" s="85"/>
      <x:c r="B265" s="86"/>
    </x:row>
    <x:row r="266">
      <x:c r="A266" s="85"/>
      <x:c r="B266" s="86"/>
    </x:row>
    <x:row r="267">
      <x:c r="A267" s="85"/>
      <x:c r="B267" s="86"/>
    </x:row>
    <x:row r="268">
      <x:c r="A268" s="85"/>
      <x:c r="B268" s="86"/>
    </x:row>
    <x:row r="269">
      <x:c r="A269" s="85"/>
      <x:c r="B269" s="86"/>
    </x:row>
    <x:row r="270">
      <x:c r="A270" s="85"/>
      <x:c r="B270" s="86"/>
    </x:row>
    <x:row r="271">
      <x:c r="A271" s="85"/>
      <x:c r="B271" s="86"/>
    </x:row>
    <x:row r="272">
      <x:c r="A272" s="85"/>
      <x:c r="B272" s="86"/>
    </x:row>
    <x:row r="273">
      <x:c r="A273" s="85"/>
      <x:c r="B273" s="86"/>
    </x:row>
    <x:row r="274">
      <x:c r="A274" s="85"/>
      <x:c r="B274" s="86"/>
    </x:row>
    <x:row r="275">
      <x:c r="A275" s="85"/>
      <x:c r="B275" s="86"/>
    </x:row>
    <x:row r="276">
      <x:c r="A276" s="85"/>
      <x:c r="B276" s="86"/>
    </x:row>
    <x:row r="277">
      <x:c r="A277" s="85"/>
      <x:c r="B277" s="86"/>
    </x:row>
    <x:row r="278">
      <x:c r="A278" s="85"/>
      <x:c r="B278" s="86"/>
    </x:row>
    <x:row r="279">
      <x:c r="A279" s="85"/>
      <x:c r="B279" s="86"/>
    </x:row>
    <x:row r="280">
      <x:c r="A280" s="85"/>
      <x:c r="B280" s="86"/>
    </x:row>
    <x:row r="281">
      <x:c r="A281" s="85"/>
      <x:c r="B281" s="86"/>
    </x:row>
    <x:row r="282">
      <x:c r="A282" s="85"/>
      <x:c r="B282" s="86"/>
    </x:row>
    <x:row r="283">
      <x:c r="A283" s="85"/>
      <x:c r="B283" s="86"/>
    </x:row>
    <x:row r="284">
      <x:c r="A284" s="85"/>
      <x:c r="B284" s="86"/>
    </x:row>
    <x:row r="285">
      <x:c r="A285" s="85"/>
      <x:c r="B285" s="86"/>
    </x:row>
    <x:row r="286">
      <x:c r="A286" s="85"/>
      <x:c r="B286" s="86"/>
    </x:row>
    <x:row r="287">
      <x:c r="A287" s="85"/>
      <x:c r="B287" s="86"/>
    </x:row>
    <x:row r="288">
      <x:c r="A288" s="85"/>
      <x:c r="B288" s="86"/>
    </x:row>
    <x:row r="289">
      <x:c r="A289" s="85"/>
      <x:c r="B289" s="86"/>
    </x:row>
    <x:row r="290">
      <x:c r="A290" s="85"/>
      <x:c r="B290" s="86"/>
    </x:row>
    <x:row r="291">
      <x:c r="A291" s="85"/>
      <x:c r="B291" s="86"/>
    </x:row>
    <x:row r="292">
      <x:c r="A292" s="85"/>
      <x:c r="B292" s="86"/>
    </x:row>
    <x:row r="293">
      <x:c r="A293" s="85"/>
      <x:c r="B293" s="86"/>
    </x:row>
    <x:row r="294">
      <x:c r="A294" s="85"/>
      <x:c r="B294" s="86"/>
    </x:row>
    <x:row r="295">
      <x:c r="A295" s="85"/>
      <x:c r="B295" s="86"/>
    </x:row>
    <x:row r="296">
      <x:c r="A296" s="85"/>
      <x:c r="B296" s="86"/>
    </x:row>
    <x:row r="297">
      <x:c r="A297" s="85"/>
      <x:c r="B297" s="86"/>
    </x:row>
    <x:row r="298">
      <x:c r="A298" s="85"/>
      <x:c r="B298" s="86"/>
    </x:row>
    <x:row r="299">
      <x:c r="A299" s="85"/>
      <x:c r="B299" s="86"/>
    </x:row>
    <x:row r="300">
      <x:c r="A300" s="85"/>
      <x:c r="B300" s="86"/>
    </x:row>
    <x:row r="301">
      <x:c r="A301" s="85"/>
      <x:c r="B301" s="86"/>
    </x:row>
    <x:row r="302">
      <x:c r="A302" s="85"/>
      <x:c r="B302" s="86"/>
    </x:row>
    <x:row r="303">
      <x:c r="A303" s="85"/>
      <x:c r="B303" s="86"/>
    </x:row>
    <x:row r="304">
      <x:c r="A304" s="85"/>
      <x:c r="B304" s="86"/>
    </x:row>
    <x:row r="305">
      <x:c r="A305" s="85"/>
      <x:c r="B305" s="86"/>
    </x:row>
    <x:row r="306">
      <x:c r="A306" s="85"/>
      <x:c r="B306" s="86"/>
    </x:row>
    <x:row r="307">
      <x:c r="A307" s="85"/>
      <x:c r="B307" s="86"/>
    </x:row>
    <x:row r="308">
      <x:c r="A308" s="85"/>
      <x:c r="B308" s="86"/>
    </x:row>
    <x:row r="309">
      <x:c r="A309" s="85"/>
      <x:c r="B309" s="86"/>
    </x:row>
    <x:row r="310">
      <x:c r="A310" s="85"/>
      <x:c r="B310" s="86"/>
    </x:row>
    <x:row r="311">
      <x:c r="A311" s="85"/>
      <x:c r="B311" s="86"/>
    </x:row>
    <x:row r="312">
      <x:c r="A312" s="85"/>
      <x:c r="B312" s="86"/>
    </x:row>
    <x:row r="313">
      <x:c r="A313" s="85"/>
      <x:c r="B313" s="86"/>
    </x:row>
    <x:row r="314">
      <x:c r="A314" s="85"/>
      <x:c r="B314" s="86"/>
    </x:row>
    <x:row r="315">
      <x:c r="A315" s="85"/>
      <x:c r="B315" s="86"/>
    </x:row>
    <x:row r="316">
      <x:c r="A316" s="85"/>
      <x:c r="B316" s="86"/>
    </x:row>
    <x:row r="317">
      <x:c r="A317" s="85"/>
      <x:c r="B317" s="86"/>
    </x:row>
    <x:row r="318">
      <x:c r="A318" s="85"/>
      <x:c r="B318" s="86"/>
    </x:row>
    <x:row r="319">
      <x:c r="A319" s="85"/>
      <x:c r="B319" s="86"/>
    </x:row>
    <x:row r="320">
      <x:c r="A320" s="85"/>
      <x:c r="B320" s="86"/>
    </x:row>
    <x:row r="321">
      <x:c r="A321" s="85"/>
      <x:c r="B321" s="86"/>
    </x:row>
    <x:row r="322">
      <x:c r="A322" s="85"/>
      <x:c r="B322" s="86"/>
    </x:row>
    <x:row r="323">
      <x:c r="A323" s="85"/>
      <x:c r="B323" s="86"/>
    </x:row>
    <x:row r="324">
      <x:c r="A324" s="85"/>
      <x:c r="B324" s="86"/>
    </x:row>
    <x:row r="325">
      <x:c r="A325" s="85"/>
      <x:c r="B325" s="86"/>
    </x:row>
    <x:row r="326">
      <x:c r="A326" s="85"/>
      <x:c r="B326" s="86"/>
    </x:row>
    <x:row r="327">
      <x:c r="A327" s="85"/>
      <x:c r="B327" s="86"/>
    </x:row>
    <x:row r="328">
      <x:c r="A328" s="85"/>
      <x:c r="B328" s="86"/>
    </x:row>
    <x:row r="329">
      <x:c r="A329" s="85"/>
      <x:c r="B329" s="86"/>
    </x:row>
    <x:row r="330">
      <x:c r="A330" s="85"/>
      <x:c r="B330" s="86"/>
    </x:row>
    <x:row r="331">
      <x:c r="A331" s="85"/>
      <x:c r="B331" s="86"/>
    </x:row>
    <x:row r="332">
      <x:c r="A332" s="85"/>
      <x:c r="B332" s="86"/>
    </x:row>
    <x:row r="333">
      <x:c r="A333" s="85"/>
      <x:c r="B333" s="86"/>
    </x:row>
    <x:row r="334">
      <x:c r="A334" s="85"/>
      <x:c r="B334" s="86"/>
    </x:row>
    <x:row r="335">
      <x:c r="A335" s="85"/>
      <x:c r="B335" s="86"/>
    </x:row>
    <x:row r="336">
      <x:c r="A336" s="85"/>
      <x:c r="B336" s="86"/>
    </x:row>
    <x:row r="337">
      <x:c r="A337" s="85"/>
      <x:c r="B337" s="86"/>
    </x:row>
    <x:row r="338">
      <x:c r="A338" s="85"/>
      <x:c r="B338" s="86"/>
    </x:row>
    <x:row r="339">
      <x:c r="A339" s="85"/>
      <x:c r="B339" s="86"/>
    </x:row>
    <x:row r="340">
      <x:c r="A340" s="85"/>
      <x:c r="B340" s="86"/>
    </x:row>
    <x:row r="341">
      <x:c r="A341" s="85"/>
      <x:c r="B341" s="86"/>
    </x:row>
    <x:row r="342">
      <x:c r="A342" s="85"/>
      <x:c r="B342" s="86"/>
    </x:row>
    <x:row r="343">
      <x:c r="A343" s="85"/>
      <x:c r="B343" s="86"/>
    </x:row>
    <x:row r="344">
      <x:c r="A344" s="85"/>
      <x:c r="B344" s="86"/>
    </x:row>
    <x:row r="345">
      <x:c r="A345" s="85"/>
      <x:c r="B345" s="86"/>
    </x:row>
    <x:row r="346">
      <x:c r="A346" s="85"/>
      <x:c r="B346" s="86"/>
    </x:row>
    <x:row r="347">
      <x:c r="A347" s="85"/>
      <x:c r="B347" s="86"/>
    </x:row>
    <x:row r="348">
      <x:c r="A348" s="85"/>
      <x:c r="B348" s="86"/>
    </x:row>
    <x:row r="349">
      <x:c r="A349" s="85"/>
      <x:c r="B349" s="86"/>
    </x:row>
    <x:row r="350">
      <x:c r="A350" s="85"/>
      <x:c r="B350" s="86"/>
    </x:row>
    <x:row r="351">
      <x:c r="A351" s="85"/>
      <x:c r="B351" s="86"/>
    </x:row>
    <x:row r="352">
      <x:c r="A352" s="85"/>
      <x:c r="B352" s="86"/>
    </x:row>
    <x:row r="353">
      <x:c r="A353" s="85"/>
      <x:c r="B353" s="86"/>
    </x:row>
    <x:row r="354">
      <x:c r="A354" s="85"/>
      <x:c r="B354" s="86"/>
    </x:row>
    <x:row r="355">
      <x:c r="A355" s="85"/>
      <x:c r="B355" s="86"/>
    </x:row>
    <x:row r="356">
      <x:c r="A356" s="85"/>
      <x:c r="B356" s="86"/>
    </x:row>
    <x:row r="357">
      <x:c r="A357" s="85"/>
      <x:c r="B357" s="86"/>
    </x:row>
    <x:row r="358">
      <x:c r="A358" s="85"/>
      <x:c r="B358" s="86"/>
    </x:row>
    <x:row r="359">
      <x:c r="A359" s="85"/>
      <x:c r="B359" s="86"/>
    </x:row>
    <x:row r="360">
      <x:c r="A360" s="85"/>
      <x:c r="B360" s="86"/>
    </x:row>
    <x:row r="361">
      <x:c r="A361" s="85"/>
      <x:c r="B361" s="86"/>
    </x:row>
    <x:row r="362">
      <x:c r="A362" s="85"/>
      <x:c r="B362" s="86"/>
    </x:row>
    <x:row r="363">
      <x:c r="A363" s="85"/>
      <x:c r="B363" s="86"/>
    </x:row>
    <x:row r="364">
      <x:c r="A364" s="85"/>
      <x:c r="B364" s="86"/>
    </x:row>
    <x:row r="365">
      <x:c r="A365" s="85"/>
      <x:c r="B365" s="86"/>
    </x:row>
    <x:row r="366">
      <x:c r="A366" s="85"/>
      <x:c r="B366" s="86"/>
    </x:row>
    <x:row r="367">
      <x:c r="A367" s="85"/>
      <x:c r="B367" s="86"/>
    </x:row>
    <x:row r="368">
      <x:c r="A368" s="85"/>
      <x:c r="B368" s="86"/>
    </x:row>
    <x:row r="369">
      <x:c r="A369" s="85"/>
      <x:c r="B369" s="86"/>
    </x:row>
    <x:row r="370">
      <x:c r="A370" s="85"/>
      <x:c r="B370" s="86"/>
    </x:row>
    <x:row r="371">
      <x:c r="A371" s="85"/>
      <x:c r="B371" s="86"/>
    </x:row>
    <x:row r="372">
      <x:c r="A372" s="85"/>
      <x:c r="B372" s="86"/>
    </x:row>
    <x:row r="373">
      <x:c r="A373" s="85"/>
      <x:c r="B373" s="86"/>
    </x:row>
    <x:row r="374">
      <x:c r="A374" s="85"/>
      <x:c r="B374" s="86"/>
    </x:row>
    <x:row r="375">
      <x:c r="A375" s="85"/>
      <x:c r="B375" s="86"/>
    </x:row>
    <x:row r="376">
      <x:c r="A376" s="85"/>
      <x:c r="B376" s="86"/>
    </x:row>
    <x:row r="377">
      <x:c r="A377" s="85"/>
      <x:c r="B377" s="86"/>
    </x:row>
    <x:row r="378">
      <x:c r="A378" s="85"/>
      <x:c r="B378" s="86"/>
    </x:row>
    <x:row r="379">
      <x:c r="A379" s="85"/>
      <x:c r="B379" s="86"/>
    </x:row>
    <x:row r="380">
      <x:c r="A380" s="85"/>
      <x:c r="B380" s="86"/>
    </x:row>
    <x:row r="381">
      <x:c r="A381" s="85"/>
      <x:c r="B381" s="86"/>
    </x:row>
    <x:row r="382">
      <x:c r="A382" s="85"/>
      <x:c r="B382" s="86"/>
    </x:row>
    <x:row r="383">
      <x:c r="A383" s="85"/>
      <x:c r="B383" s="86"/>
    </x:row>
    <x:row r="384">
      <x:c r="A384" s="85"/>
      <x:c r="B384" s="86"/>
    </x:row>
    <x:row r="385">
      <x:c r="A385" s="85"/>
      <x:c r="B385" s="86"/>
    </x:row>
    <x:row r="386">
      <x:c r="A386" s="85"/>
      <x:c r="B386" s="86"/>
    </x:row>
    <x:row r="387">
      <x:c r="A387" s="85"/>
      <x:c r="B387" s="86"/>
    </x:row>
    <x:row r="388">
      <x:c r="A388" s="85"/>
      <x:c r="B388" s="86"/>
    </x:row>
    <x:row r="389">
      <x:c r="A389" s="85"/>
      <x:c r="B389" s="86"/>
    </x:row>
    <x:row r="390">
      <x:c r="A390" s="85"/>
      <x:c r="B390" s="86"/>
    </x:row>
    <x:row r="391">
      <x:c r="A391" s="85"/>
      <x:c r="B391" s="86"/>
    </x:row>
    <x:row r="392">
      <x:c r="A392" s="85"/>
      <x:c r="B392" s="86"/>
    </x:row>
    <x:row r="393">
      <x:c r="A393" s="85"/>
      <x:c r="B393" s="86"/>
    </x:row>
    <x:row r="394">
      <x:c r="A394" s="85"/>
      <x:c r="B394" s="86"/>
    </x:row>
    <x:row r="395">
      <x:c r="A395" s="85"/>
      <x:c r="B395" s="86"/>
    </x:row>
    <x:row r="396">
      <x:c r="A396" s="85"/>
      <x:c r="B396" s="86"/>
    </x:row>
    <x:row r="397">
      <x:c r="A397" s="85"/>
      <x:c r="B397" s="86"/>
    </x:row>
    <x:row r="398">
      <x:c r="A398" s="85"/>
      <x:c r="B398" s="86"/>
    </x:row>
    <x:row r="399">
      <x:c r="A399" s="85"/>
      <x:c r="B399" s="86"/>
    </x:row>
    <x:row r="400">
      <x:c r="A400" s="85"/>
      <x:c r="B400" s="86"/>
    </x:row>
    <x:row r="401">
      <x:c r="A401" s="85"/>
      <x:c r="B401" s="86"/>
    </x:row>
    <x:row r="402">
      <x:c r="A402" s="85"/>
      <x:c r="B402" s="86"/>
    </x:row>
    <x:row r="403">
      <x:c r="A403" s="85"/>
      <x:c r="B403" s="86"/>
    </x:row>
    <x:row r="404">
      <x:c r="A404" s="85"/>
      <x:c r="B404" s="86"/>
    </x:row>
    <x:row r="405">
      <x:c r="A405" s="85"/>
      <x:c r="B405" s="86"/>
    </x:row>
    <x:row r="406">
      <x:c r="A406" s="85"/>
      <x:c r="B406" s="86"/>
    </x:row>
    <x:row r="407">
      <x:c r="A407" s="85"/>
      <x:c r="B407" s="86"/>
    </x:row>
    <x:row r="408">
      <x:c r="A408" s="85"/>
      <x:c r="B408" s="86"/>
    </x:row>
    <x:row r="409">
      <x:c r="A409" s="85"/>
      <x:c r="B409" s="86"/>
    </x:row>
    <x:row r="410">
      <x:c r="A410" s="85"/>
      <x:c r="B410" s="86"/>
    </x:row>
    <x:row r="411">
      <x:c r="A411" s="85"/>
      <x:c r="B411" s="86"/>
    </x:row>
    <x:row r="412">
      <x:c r="A412" s="85"/>
      <x:c r="B412" s="86"/>
    </x:row>
    <x:row r="413">
      <x:c r="A413" s="85"/>
      <x:c r="B413" s="86"/>
    </x:row>
    <x:row r="414">
      <x:c r="A414" s="85"/>
      <x:c r="B414" s="86"/>
    </x:row>
    <x:row r="415">
      <x:c r="A415" s="85"/>
      <x:c r="B415" s="86"/>
    </x:row>
    <x:row r="416">
      <x:c r="A416" s="85"/>
      <x:c r="B416" s="86"/>
    </x:row>
    <x:row r="417">
      <x:c r="A417" s="85"/>
      <x:c r="B417" s="86"/>
    </x:row>
    <x:row r="418">
      <x:c r="A418" s="85"/>
      <x:c r="B418" s="86"/>
    </x:row>
    <x:row r="419">
      <x:c r="A419" s="85"/>
      <x:c r="B419" s="86"/>
    </x:row>
    <x:row r="420">
      <x:c r="A420" s="85"/>
      <x:c r="B420" s="86"/>
    </x:row>
    <x:row r="421">
      <x:c r="A421" s="85"/>
      <x:c r="B421" s="86"/>
    </x:row>
    <x:row r="422">
      <x:c r="A422" s="85"/>
      <x:c r="B422" s="86"/>
    </x:row>
    <x:row r="423">
      <x:c r="A423" s="85"/>
      <x:c r="B423" s="86"/>
    </x:row>
    <x:row r="424">
      <x:c r="A424" s="85"/>
      <x:c r="B424" s="86"/>
    </x:row>
    <x:row r="425">
      <x:c r="A425" s="85"/>
      <x:c r="B425" s="86"/>
    </x:row>
    <x:row r="426">
      <x:c r="A426" s="85"/>
      <x:c r="B426" s="86"/>
    </x:row>
    <x:row r="427">
      <x:c r="A427" s="85"/>
      <x:c r="B427" s="86"/>
    </x:row>
    <x:row r="428">
      <x:c r="A428" s="85"/>
      <x:c r="B428" s="86"/>
    </x:row>
    <x:row r="429">
      <x:c r="A429" s="85"/>
      <x:c r="B429" s="86"/>
    </x:row>
    <x:row r="430">
      <x:c r="A430" s="85"/>
      <x:c r="B430" s="86"/>
    </x:row>
    <x:row r="431">
      <x:c r="A431" s="85"/>
      <x:c r="B431" s="86"/>
    </x:row>
    <x:row r="432">
      <x:c r="A432" s="85"/>
      <x:c r="B432" s="86"/>
    </x:row>
    <x:row r="433">
      <x:c r="A433" s="85"/>
      <x:c r="B433" s="86"/>
    </x:row>
    <x:row r="434">
      <x:c r="A434" s="85"/>
      <x:c r="B434" s="86"/>
    </x:row>
    <x:row r="435">
      <x:c r="A435" s="85"/>
      <x:c r="B435" s="86"/>
    </x:row>
    <x:row r="436">
      <x:c r="A436" s="85"/>
      <x:c r="B436" s="86"/>
    </x:row>
    <x:row r="437">
      <x:c r="A437" s="85"/>
      <x:c r="B437" s="86"/>
    </x:row>
    <x:row r="438">
      <x:c r="A438" s="85"/>
      <x:c r="B438" s="86"/>
    </x:row>
    <x:row r="439">
      <x:c r="A439" s="85"/>
      <x:c r="B439" s="86"/>
    </x:row>
    <x:row r="440">
      <x:c r="A440" s="85"/>
      <x:c r="B440" s="86"/>
    </x:row>
    <x:row r="441">
      <x:c r="A441" s="85"/>
      <x:c r="B441" s="86"/>
    </x:row>
    <x:row r="442">
      <x:c r="A442" s="85"/>
      <x:c r="B442" s="86"/>
    </x:row>
    <x:row r="443">
      <x:c r="A443" s="85"/>
      <x:c r="B443" s="86"/>
    </x:row>
    <x:row r="444">
      <x:c r="A444" s="85"/>
      <x:c r="B444" s="86"/>
    </x:row>
    <x:row r="445">
      <x:c r="A445" s="85"/>
      <x:c r="B445" s="86"/>
    </x:row>
    <x:row r="446">
      <x:c r="A446" s="85"/>
      <x:c r="B446" s="86"/>
    </x:row>
    <x:row r="447">
      <x:c r="A447" s="85"/>
      <x:c r="B447" s="86"/>
    </x:row>
    <x:row r="448">
      <x:c r="A448" s="85"/>
      <x:c r="B448" s="86"/>
    </x:row>
    <x:row r="449">
      <x:c r="A449" s="85"/>
      <x:c r="B449" s="86"/>
    </x:row>
    <x:row r="450">
      <x:c r="A450" s="85"/>
      <x:c r="B450" s="86"/>
    </x:row>
    <x:row r="451">
      <x:c r="A451" s="85"/>
      <x:c r="B451" s="86"/>
    </x:row>
    <x:row r="452">
      <x:c r="A452" s="85"/>
      <x:c r="B452" s="86"/>
    </x:row>
    <x:row r="453">
      <x:c r="A453" s="85"/>
      <x:c r="B453" s="86"/>
    </x:row>
    <x:row r="454">
      <x:c r="A454" s="85"/>
      <x:c r="B454" s="86"/>
    </x:row>
    <x:row r="455">
      <x:c r="A455" s="85"/>
      <x:c r="B455" s="86"/>
    </x:row>
    <x:row r="456">
      <x:c r="A456" s="85"/>
      <x:c r="B456" s="86"/>
    </x:row>
    <x:row r="457">
      <x:c r="A457" s="85"/>
      <x:c r="B457" s="86"/>
    </x:row>
    <x:row r="458">
      <x:c r="A458" s="85"/>
      <x:c r="B458" s="86"/>
    </x:row>
    <x:row r="459">
      <x:c r="A459" s="85"/>
      <x:c r="B459" s="86"/>
    </x:row>
    <x:row r="460">
      <x:c r="A460" s="85"/>
      <x:c r="B460" s="86"/>
    </x:row>
    <x:row r="461">
      <x:c r="A461" s="85"/>
      <x:c r="B461" s="86"/>
    </x:row>
    <x:row r="462">
      <x:c r="A462" s="85"/>
      <x:c r="B462" s="86"/>
    </x:row>
    <x:row r="463">
      <x:c r="A463" s="85"/>
      <x:c r="B463" s="86"/>
    </x:row>
    <x:row r="464">
      <x:c r="A464" s="85"/>
      <x:c r="B464" s="86"/>
    </x:row>
    <x:row r="465">
      <x:c r="A465" s="85"/>
      <x:c r="B465" s="86"/>
    </x:row>
    <x:row r="466">
      <x:c r="A466" s="85"/>
      <x:c r="B466" s="86"/>
    </x:row>
    <x:row r="467">
      <x:c r="A467" s="85"/>
      <x:c r="B467" s="86"/>
    </x:row>
    <x:row r="468">
      <x:c r="A468" s="85"/>
      <x:c r="B468" s="86"/>
    </x:row>
    <x:row r="469">
      <x:c r="A469" s="85"/>
      <x:c r="B469" s="86"/>
    </x:row>
    <x:row r="470">
      <x:c r="A470" s="85"/>
      <x:c r="B470" s="86"/>
    </x:row>
    <x:row r="471">
      <x:c r="A471" s="85"/>
      <x:c r="B471" s="86"/>
    </x:row>
    <x:row r="472">
      <x:c r="A472" s="85"/>
      <x:c r="B472" s="86"/>
    </x:row>
    <x:row r="473">
      <x:c r="A473" s="85"/>
      <x:c r="B473" s="86"/>
    </x:row>
    <x:row r="474">
      <x:c r="A474" s="85"/>
      <x:c r="B474" s="86"/>
    </x:row>
    <x:row r="475">
      <x:c r="A475" s="85"/>
      <x:c r="B475" s="86"/>
    </x:row>
    <x:row r="476">
      <x:c r="A476" s="85"/>
      <x:c r="B476" s="86"/>
    </x:row>
    <x:row r="477">
      <x:c r="A477" s="85"/>
      <x:c r="B477" s="86"/>
    </x:row>
    <x:row r="478">
      <x:c r="A478" s="85"/>
      <x:c r="B478" s="86"/>
    </x:row>
    <x:row r="479">
      <x:c r="A479" s="85"/>
      <x:c r="B479" s="86"/>
    </x:row>
    <x:row r="480">
      <x:c r="A480" s="85"/>
      <x:c r="B480" s="86"/>
    </x:row>
    <x:row r="481">
      <x:c r="A481" s="85"/>
      <x:c r="B481" s="86"/>
    </x:row>
    <x:row r="482">
      <x:c r="A482" s="85"/>
      <x:c r="B482" s="86"/>
    </x:row>
    <x:row r="483">
      <x:c r="A483" s="85"/>
      <x:c r="B483" s="86"/>
    </x:row>
    <x:row r="484">
      <x:c r="A484" s="85"/>
      <x:c r="B484" s="86"/>
    </x:row>
    <x:row r="485">
      <x:c r="A485" s="85"/>
      <x:c r="B485" s="86"/>
    </x:row>
    <x:row r="486">
      <x:c r="A486" s="85"/>
      <x:c r="B486" s="86"/>
    </x:row>
    <x:row r="487">
      <x:c r="A487" s="85"/>
      <x:c r="B487" s="86"/>
    </x:row>
    <x:row r="488">
      <x:c r="A488" s="85"/>
      <x:c r="B488" s="86"/>
    </x:row>
    <x:row r="489">
      <x:c r="A489" s="85"/>
      <x:c r="B489" s="86"/>
    </x:row>
    <x:row r="490">
      <x:c r="A490" s="85"/>
      <x:c r="B490" s="86"/>
    </x:row>
    <x:row r="491">
      <x:c r="A491" s="85"/>
      <x:c r="B491" s="86"/>
    </x:row>
    <x:row r="492">
      <x:c r="A492" s="85"/>
      <x:c r="B492" s="86"/>
    </x:row>
    <x:row r="493">
      <x:c r="A493" s="85"/>
      <x:c r="B493" s="86"/>
    </x:row>
    <x:row r="494">
      <x:c r="A494" s="85"/>
      <x:c r="B494" s="86"/>
    </x:row>
    <x:row r="495">
      <x:c r="A495" s="85"/>
      <x:c r="B495" s="86"/>
    </x:row>
    <x:row r="496">
      <x:c r="A496" s="85"/>
      <x:c r="B496" s="86"/>
    </x:row>
    <x:row r="497">
      <x:c r="A497" s="85"/>
      <x:c r="B497" s="86"/>
    </x:row>
    <x:row r="498">
      <x:c r="A498" s="85"/>
      <x:c r="B498" s="86"/>
    </x:row>
    <x:row r="499">
      <x:c r="A499" s="85"/>
      <x:c r="B499" s="86"/>
    </x:row>
    <x:row r="500">
      <x:c r="A500" s="85"/>
      <x:c r="B500" s="86"/>
    </x:row>
    <x:row r="501">
      <x:c r="A501" s="85"/>
      <x:c r="B501" s="86"/>
    </x:row>
    <x:row r="502">
      <x:c r="A502" s="85"/>
      <x:c r="B502" s="86"/>
    </x:row>
    <x:row r="503">
      <x:c r="A503" s="85"/>
      <x:c r="B503" s="86"/>
    </x:row>
    <x:row r="504">
      <x:c r="A504" s="85"/>
      <x:c r="B504" s="86"/>
    </x:row>
    <x:row r="505">
      <x:c r="A505" s="85"/>
      <x:c r="B505" s="86"/>
    </x:row>
    <x:row r="506">
      <x:c r="A506" s="85"/>
      <x:c r="B506" s="86"/>
    </x:row>
    <x:row r="507">
      <x:c r="A507" s="85"/>
      <x:c r="B507" s="86"/>
    </x:row>
    <x:row r="508">
      <x:c r="A508" s="85"/>
      <x:c r="B508" s="86"/>
    </x:row>
    <x:row r="509">
      <x:c r="A509" s="85"/>
      <x:c r="B509" s="86"/>
    </x:row>
    <x:row r="510">
      <x:c r="A510" s="85"/>
      <x:c r="B510" s="86"/>
    </x:row>
    <x:row r="511">
      <x:c r="A511" s="85"/>
      <x:c r="B511" s="86"/>
    </x:row>
    <x:row r="512">
      <x:c r="A512" s="85"/>
      <x:c r="B512" s="86"/>
    </x:row>
    <x:row r="513">
      <x:c r="A513" s="85"/>
      <x:c r="B513" s="86"/>
    </x:row>
    <x:row r="514">
      <x:c r="A514" s="85"/>
      <x:c r="B514" s="86"/>
    </x:row>
    <x:row r="515">
      <x:c r="A515" s="85"/>
      <x:c r="B515" s="86"/>
    </x:row>
    <x:row r="516">
      <x:c r="A516" s="85"/>
      <x:c r="B516" s="86"/>
    </x:row>
    <x:row r="517">
      <x:c r="A517" s="85"/>
      <x:c r="B517" s="86"/>
    </x:row>
    <x:row r="518">
      <x:c r="A518" s="85"/>
      <x:c r="B518" s="86"/>
    </x:row>
    <x:row r="519">
      <x:c r="A519" s="85"/>
      <x:c r="B519" s="86"/>
    </x:row>
    <x:row r="520">
      <x:c r="A520" s="85"/>
      <x:c r="B520" s="86"/>
    </x:row>
    <x:row r="521">
      <x:c r="A521" s="85"/>
      <x:c r="B521" s="86"/>
    </x:row>
    <x:row r="522">
      <x:c r="A522" s="85"/>
      <x:c r="B522" s="86"/>
    </x:row>
    <x:row r="523">
      <x:c r="A523" s="85"/>
      <x:c r="B523" s="86"/>
    </x:row>
    <x:row r="524">
      <x:c r="A524" s="85"/>
      <x:c r="B524" s="86"/>
    </x:row>
    <x:row r="525">
      <x:c r="A525" s="85"/>
      <x:c r="B525" s="86"/>
    </x:row>
    <x:row r="526">
      <x:c r="A526" s="85"/>
      <x:c r="B526" s="86"/>
    </x:row>
    <x:row r="527">
      <x:c r="A527" s="85"/>
      <x:c r="B527" s="86"/>
    </x:row>
    <x:row r="528">
      <x:c r="A528" s="85"/>
      <x:c r="B528" s="86"/>
    </x:row>
    <x:row r="529">
      <x:c r="A529" s="85"/>
      <x:c r="B529" s="86"/>
    </x:row>
    <x:row r="530">
      <x:c r="A530" s="85"/>
      <x:c r="B530" s="86"/>
    </x:row>
    <x:row r="531">
      <x:c r="A531" s="85"/>
      <x:c r="B531" s="86"/>
    </x:row>
    <x:row r="532">
      <x:c r="A532" s="85"/>
      <x:c r="B532" s="86"/>
    </x:row>
    <x:row r="533">
      <x:c r="A533" s="85"/>
      <x:c r="B533" s="86"/>
    </x:row>
    <x:row r="534">
      <x:c r="A534" s="85"/>
      <x:c r="B534" s="86"/>
    </x:row>
    <x:row r="535">
      <x:c r="A535" s="85"/>
      <x:c r="B535" s="86"/>
    </x:row>
    <x:row r="536">
      <x:c r="A536" s="85"/>
      <x:c r="B536" s="86"/>
    </x:row>
    <x:row r="537">
      <x:c r="A537" s="85"/>
      <x:c r="B537" s="86"/>
    </x:row>
    <x:row r="538">
      <x:c r="A538" s="85"/>
      <x:c r="B538" s="86"/>
    </x:row>
    <x:row r="539">
      <x:c r="A539" s="85"/>
      <x:c r="B539" s="86"/>
    </x:row>
    <x:row r="540">
      <x:c r="A540" s="85"/>
      <x:c r="B540" s="86"/>
    </x:row>
    <x:row r="541">
      <x:c r="A541" s="85"/>
      <x:c r="B541" s="86"/>
    </x:row>
    <x:row r="542">
      <x:c r="A542" s="85"/>
      <x:c r="B542" s="86"/>
    </x:row>
    <x:row r="543">
      <x:c r="A543" s="85"/>
      <x:c r="B543" s="86"/>
    </x:row>
    <x:row r="544">
      <x:c r="A544" s="85"/>
      <x:c r="B544" s="86"/>
    </x:row>
    <x:row r="545">
      <x:c r="A545" s="85"/>
      <x:c r="B545" s="86"/>
    </x:row>
    <x:row r="546">
      <x:c r="A546" s="85"/>
      <x:c r="B546" s="86"/>
    </x:row>
    <x:row r="547">
      <x:c r="A547" s="85"/>
      <x:c r="B547" s="86"/>
    </x:row>
    <x:row r="548">
      <x:c r="A548" s="85"/>
      <x:c r="B548" s="86"/>
    </x:row>
    <x:row r="549">
      <x:c r="A549" s="85"/>
      <x:c r="B549" s="86"/>
    </x:row>
    <x:row r="550">
      <x:c r="A550" s="85"/>
      <x:c r="B550" s="86"/>
    </x:row>
    <x:row r="551">
      <x:c r="A551" s="85"/>
      <x:c r="B551" s="86"/>
    </x:row>
    <x:row r="552">
      <x:c r="A552" s="85"/>
      <x:c r="B552" s="86"/>
    </x:row>
    <x:row r="553">
      <x:c r="A553" s="85"/>
      <x:c r="B553" s="86"/>
    </x:row>
    <x:row r="554">
      <x:c r="A554" s="85"/>
      <x:c r="B554" s="86"/>
    </x:row>
    <x:row r="555">
      <x:c r="A555" s="85"/>
      <x:c r="B555" s="86"/>
    </x:row>
    <x:row r="556">
      <x:c r="A556" s="85"/>
      <x:c r="B556" s="86"/>
    </x:row>
    <x:row r="557">
      <x:c r="A557" s="85"/>
      <x:c r="B557" s="86"/>
    </x:row>
    <x:row r="558">
      <x:c r="A558" s="85"/>
      <x:c r="B558" s="86"/>
    </x:row>
    <x:row r="559">
      <x:c r="A559" s="85"/>
      <x:c r="B559" s="86"/>
    </x:row>
    <x:row r="560">
      <x:c r="A560" s="85"/>
      <x:c r="B560" s="86"/>
    </x:row>
    <x:row r="561">
      <x:c r="A561" s="85"/>
      <x:c r="B561" s="86"/>
    </x:row>
    <x:row r="562">
      <x:c r="A562" s="85"/>
      <x:c r="B562" s="86"/>
    </x:row>
    <x:row r="563">
      <x:c r="A563" s="85"/>
      <x:c r="B563" s="86"/>
    </x:row>
    <x:row r="564">
      <x:c r="A564" s="85"/>
      <x:c r="B564" s="86"/>
    </x:row>
    <x:row r="565">
      <x:c r="A565" s="85"/>
      <x:c r="B565" s="86"/>
    </x:row>
    <x:row r="566">
      <x:c r="A566" s="85"/>
      <x:c r="B566" s="86"/>
    </x:row>
    <x:row r="567">
      <x:c r="A567" s="85"/>
      <x:c r="B567" s="86"/>
    </x:row>
    <x:row r="568">
      <x:c r="A568" s="85"/>
      <x:c r="B568" s="86"/>
    </x:row>
    <x:row r="569">
      <x:c r="A569" s="85"/>
      <x:c r="B569" s="86"/>
    </x:row>
    <x:row r="570">
      <x:c r="A570" s="85"/>
      <x:c r="B570" s="86"/>
    </x:row>
    <x:row r="571">
      <x:c r="A571" s="85"/>
      <x:c r="B571" s="86"/>
    </x:row>
    <x:row r="572">
      <x:c r="A572" s="85"/>
      <x:c r="B572" s="86"/>
    </x:row>
    <x:row r="573">
      <x:c r="A573" s="85"/>
      <x:c r="B573" s="86"/>
    </x:row>
    <x:row r="574">
      <x:c r="A574" s="85"/>
      <x:c r="B574" s="86"/>
    </x:row>
    <x:row r="575">
      <x:c r="A575" s="85"/>
      <x:c r="B575" s="86"/>
    </x:row>
    <x:row r="576">
      <x:c r="A576" s="85"/>
      <x:c r="B576" s="86"/>
    </x:row>
    <x:row r="577">
      <x:c r="A577" s="85"/>
      <x:c r="B577" s="86"/>
    </x:row>
    <x:row r="578">
      <x:c r="A578" s="85"/>
      <x:c r="B578" s="86"/>
    </x:row>
    <x:row r="579">
      <x:c r="A579" s="85"/>
      <x:c r="B579" s="86"/>
    </x:row>
    <x:row r="580">
      <x:c r="A580" s="85"/>
      <x:c r="B580" s="86"/>
    </x:row>
    <x:row r="581">
      <x:c r="A581" s="85"/>
      <x:c r="B581" s="86"/>
    </x:row>
    <x:row r="582">
      <x:c r="A582" s="85"/>
      <x:c r="B582" s="86"/>
    </x:row>
    <x:row r="583">
      <x:c r="A583" s="85"/>
      <x:c r="B583" s="86"/>
    </x:row>
    <x:row r="584">
      <x:c r="A584" s="85"/>
      <x:c r="B584" s="86"/>
    </x:row>
    <x:row r="585">
      <x:c r="A585" s="85"/>
      <x:c r="B585" s="86"/>
    </x:row>
    <x:row r="586">
      <x:c r="A586" s="85"/>
      <x:c r="B586" s="86"/>
    </x:row>
    <x:row r="587">
      <x:c r="A587" s="85"/>
      <x:c r="B587" s="86"/>
    </x:row>
    <x:row r="588">
      <x:c r="A588" s="85"/>
      <x:c r="B588" s="86"/>
    </x:row>
    <x:row r="589">
      <x:c r="A589" s="85"/>
      <x:c r="B589" s="86"/>
    </x:row>
    <x:row r="590">
      <x:c r="A590" s="85"/>
      <x:c r="B590" s="86"/>
    </x:row>
    <x:row r="591">
      <x:c r="A591" s="85"/>
      <x:c r="B591" s="86"/>
    </x:row>
    <x:row r="592">
      <x:c r="A592" s="85"/>
      <x:c r="B592" s="86"/>
    </x:row>
    <x:row r="593">
      <x:c r="A593" s="85"/>
      <x:c r="B593" s="86"/>
    </x:row>
    <x:row r="594">
      <x:c r="A594" s="85"/>
      <x:c r="B594" s="86"/>
    </x:row>
    <x:row r="595">
      <x:c r="A595" s="85"/>
      <x:c r="B595" s="86"/>
    </x:row>
    <x:row r="596">
      <x:c r="A596" s="85"/>
      <x:c r="B596" s="86"/>
    </x:row>
    <x:row r="597">
      <x:c r="A597" s="85"/>
      <x:c r="B597" s="86"/>
    </x:row>
    <x:row r="598">
      <x:c r="A598" s="85"/>
      <x:c r="B598" s="86"/>
    </x:row>
    <x:row r="599">
      <x:c r="A599" s="85"/>
      <x:c r="B599" s="86"/>
    </x:row>
    <x:row r="600">
      <x:c r="A600" s="85"/>
      <x:c r="B600" s="86"/>
    </x:row>
    <x:row r="601">
      <x:c r="A601" s="85"/>
      <x:c r="B601" s="86"/>
    </x:row>
    <x:row r="602">
      <x:c r="A602" s="85"/>
      <x:c r="B602" s="86"/>
    </x:row>
    <x:row r="603">
      <x:c r="A603" s="85"/>
      <x:c r="B603" s="86"/>
    </x:row>
    <x:row r="604">
      <x:c r="A604" s="85"/>
      <x:c r="B604" s="86"/>
    </x:row>
    <x:row r="605">
      <x:c r="A605" s="85"/>
      <x:c r="B605" s="86"/>
    </x:row>
    <x:row r="606">
      <x:c r="A606" s="85"/>
      <x:c r="B606" s="86"/>
    </x:row>
    <x:row r="607">
      <x:c r="A607" s="85"/>
      <x:c r="B607" s="86"/>
    </x:row>
    <x:row r="608">
      <x:c r="A608" s="85"/>
      <x:c r="B608" s="86"/>
    </x:row>
    <x:row r="609">
      <x:c r="A609" s="85"/>
      <x:c r="B609" s="86"/>
    </x:row>
    <x:row r="610">
      <x:c r="A610" s="85"/>
      <x:c r="B610" s="86"/>
    </x:row>
    <x:row r="611">
      <x:c r="A611" s="85"/>
      <x:c r="B611" s="86"/>
    </x:row>
    <x:row r="612">
      <x:c r="A612" s="85"/>
      <x:c r="B612" s="86"/>
    </x:row>
    <x:row r="613">
      <x:c r="A613" s="85"/>
      <x:c r="B613" s="86"/>
    </x:row>
    <x:row r="614">
      <x:c r="A614" s="85"/>
      <x:c r="B614" s="86"/>
    </x:row>
    <x:row r="615">
      <x:c r="A615" s="85"/>
      <x:c r="B615" s="86"/>
    </x:row>
    <x:row r="616">
      <x:c r="A616" s="85"/>
      <x:c r="B616" s="86"/>
    </x:row>
    <x:row r="617">
      <x:c r="A617" s="85"/>
      <x:c r="B617" s="86"/>
    </x:row>
    <x:row r="618">
      <x:c r="A618" s="85"/>
      <x:c r="B618" s="86"/>
    </x:row>
    <x:row r="619">
      <x:c r="A619" s="85"/>
      <x:c r="B619" s="86"/>
    </x:row>
    <x:row r="620">
      <x:c r="A620" s="85"/>
      <x:c r="B620" s="86"/>
    </x:row>
    <x:row r="621">
      <x:c r="A621" s="85"/>
      <x:c r="B621" s="86"/>
    </x:row>
    <x:row r="622">
      <x:c r="A622" s="85"/>
      <x:c r="B622" s="86"/>
    </x:row>
    <x:row r="623">
      <x:c r="A623" s="85"/>
      <x:c r="B623" s="86"/>
    </x:row>
    <x:row r="624">
      <x:c r="A624" s="85"/>
      <x:c r="B624" s="86"/>
    </x:row>
    <x:row r="625">
      <x:c r="A625" s="85"/>
      <x:c r="B625" s="86"/>
    </x:row>
    <x:row r="626">
      <x:c r="A626" s="85"/>
      <x:c r="B626" s="86"/>
    </x:row>
    <x:row r="627">
      <x:c r="A627" s="85"/>
      <x:c r="B627" s="86"/>
    </x:row>
    <x:row r="628">
      <x:c r="A628" s="85"/>
      <x:c r="B628" s="86"/>
    </x:row>
    <x:row r="629">
      <x:c r="A629" s="85"/>
      <x:c r="B629" s="86"/>
    </x:row>
    <x:row r="630">
      <x:c r="A630" s="85"/>
      <x:c r="B630" s="86"/>
    </x:row>
    <x:row r="631">
      <x:c r="A631" s="85"/>
      <x:c r="B631" s="86"/>
    </x:row>
    <x:row r="632">
      <x:c r="A632" s="85"/>
      <x:c r="B632" s="86"/>
    </x:row>
    <x:row r="633">
      <x:c r="A633" s="85"/>
      <x:c r="B633" s="86"/>
    </x:row>
    <x:row r="634">
      <x:c r="A634" s="85"/>
      <x:c r="B634" s="86"/>
    </x:row>
    <x:row r="635">
      <x:c r="A635" s="85"/>
      <x:c r="B635" s="86"/>
    </x:row>
    <x:row r="636">
      <x:c r="A636" s="85"/>
      <x:c r="B636" s="86"/>
    </x:row>
    <x:row r="637">
      <x:c r="A637" s="85"/>
      <x:c r="B637" s="86"/>
    </x:row>
    <x:row r="638">
      <x:c r="A638" s="85"/>
      <x:c r="B638" s="86"/>
    </x:row>
    <x:row r="639">
      <x:c r="A639" s="85"/>
      <x:c r="B639" s="86"/>
    </x:row>
    <x:row r="640">
      <x:c r="A640" s="85"/>
      <x:c r="B640" s="86"/>
    </x:row>
    <x:row r="641">
      <x:c r="A641" s="85"/>
      <x:c r="B641" s="86"/>
    </x:row>
    <x:row r="642">
      <x:c r="A642" s="85"/>
      <x:c r="B642" s="86"/>
    </x:row>
    <x:row r="643">
      <x:c r="A643" s="85"/>
      <x:c r="B643" s="86"/>
    </x:row>
    <x:row r="644">
      <x:c r="A644" s="85"/>
      <x:c r="B644" s="86"/>
    </x:row>
    <x:row r="645">
      <x:c r="A645" s="85"/>
      <x:c r="B645" s="86"/>
    </x:row>
    <x:row r="646">
      <x:c r="A646" s="85"/>
      <x:c r="B646" s="86"/>
    </x:row>
    <x:row r="647">
      <x:c r="A647" s="85"/>
      <x:c r="B647" s="86"/>
    </x:row>
    <x:row r="648">
      <x:c r="A648" s="85"/>
      <x:c r="B648" s="86"/>
    </x:row>
    <x:row r="649">
      <x:c r="A649" s="85"/>
      <x:c r="B649" s="86"/>
    </x:row>
    <x:row r="650">
      <x:c r="A650" s="85"/>
      <x:c r="B650" s="86"/>
    </x:row>
    <x:row r="651">
      <x:c r="A651" s="85"/>
      <x:c r="B651" s="86"/>
    </x:row>
    <x:row r="652">
      <x:c r="A652" s="85"/>
      <x:c r="B652" s="86"/>
    </x:row>
    <x:row r="653">
      <x:c r="A653" s="85"/>
      <x:c r="B653" s="86"/>
    </x:row>
    <x:row r="654">
      <x:c r="A654" s="85"/>
      <x:c r="B654" s="86"/>
    </x:row>
    <x:row r="655">
      <x:c r="A655" s="85"/>
      <x:c r="B655" s="86"/>
    </x:row>
    <x:row r="656">
      <x:c r="A656" s="85"/>
      <x:c r="B656" s="86"/>
    </x:row>
    <x:row r="657">
      <x:c r="A657" s="85"/>
      <x:c r="B657" s="86"/>
    </x:row>
    <x:row r="658">
      <x:c r="A658" s="85"/>
      <x:c r="B658" s="86"/>
    </x:row>
    <x:row r="659">
      <x:c r="A659" s="85"/>
      <x:c r="B659" s="86"/>
    </x:row>
    <x:row r="660">
      <x:c r="A660" s="85"/>
      <x:c r="B660" s="86"/>
    </x:row>
    <x:row r="661">
      <x:c r="A661" s="85"/>
      <x:c r="B661" s="86"/>
    </x:row>
    <x:row r="662">
      <x:c r="A662" s="85"/>
      <x:c r="B662" s="86"/>
    </x:row>
    <x:row r="663">
      <x:c r="A663" s="85"/>
      <x:c r="B663" s="86"/>
    </x:row>
    <x:row r="664">
      <x:c r="A664" s="85"/>
      <x:c r="B664" s="86"/>
    </x:row>
    <x:row r="665">
      <x:c r="A665" s="85"/>
      <x:c r="B665" s="86"/>
    </x:row>
    <x:row r="666">
      <x:c r="A666" s="85"/>
      <x:c r="B666" s="86"/>
    </x:row>
    <x:row r="667">
      <x:c r="A667" s="85"/>
      <x:c r="B667" s="86"/>
    </x:row>
    <x:row r="668">
      <x:c r="A668" s="85"/>
      <x:c r="B668" s="86"/>
    </x:row>
    <x:row r="669">
      <x:c r="A669" s="85"/>
      <x:c r="B669" s="86"/>
    </x:row>
    <x:row r="670">
      <x:c r="A670" s="85"/>
      <x:c r="B670" s="86"/>
    </x:row>
    <x:row r="671">
      <x:c r="A671" s="85"/>
      <x:c r="B671" s="86"/>
    </x:row>
    <x:row r="672">
      <x:c r="A672" s="85"/>
      <x:c r="B672" s="86"/>
    </x:row>
    <x:row r="673">
      <x:c r="A673" s="85"/>
      <x:c r="B673" s="86"/>
    </x:row>
    <x:row r="674">
      <x:c r="A674" s="85"/>
      <x:c r="B674" s="86"/>
    </x:row>
    <x:row r="675">
      <x:c r="A675" s="85"/>
      <x:c r="B675" s="86"/>
    </x:row>
    <x:row r="676">
      <x:c r="A676" s="85"/>
      <x:c r="B676" s="86"/>
    </x:row>
    <x:row r="677">
      <x:c r="A677" s="85"/>
      <x:c r="B677" s="86"/>
    </x:row>
    <x:row r="678">
      <x:c r="A678" s="85"/>
      <x:c r="B678" s="86"/>
    </x:row>
    <x:row r="679">
      <x:c r="A679" s="85"/>
      <x:c r="B679" s="86"/>
    </x:row>
    <x:row r="680">
      <x:c r="A680" s="85"/>
      <x:c r="B680" s="86"/>
    </x:row>
    <x:row r="681">
      <x:c r="A681" s="85"/>
      <x:c r="B681" s="86"/>
    </x:row>
    <x:row r="682">
      <x:c r="A682" s="85"/>
      <x:c r="B682" s="86"/>
    </x:row>
    <x:row r="683">
      <x:c r="A683" s="85"/>
      <x:c r="B683" s="86"/>
    </x:row>
    <x:row r="684">
      <x:c r="A684" s="85"/>
      <x:c r="B684" s="86"/>
    </x:row>
    <x:row r="685">
      <x:c r="A685" s="85"/>
      <x:c r="B685" s="86"/>
    </x:row>
    <x:row r="686">
      <x:c r="A686" s="85"/>
      <x:c r="B686" s="86"/>
    </x:row>
    <x:row r="687">
      <x:c r="A687" s="85"/>
      <x:c r="B687" s="86"/>
    </x:row>
    <x:row r="688">
      <x:c r="A688" s="85"/>
      <x:c r="B688" s="86"/>
    </x:row>
    <x:row r="689">
      <x:c r="A689" s="85"/>
      <x:c r="B689" s="86"/>
    </x:row>
    <x:row r="690">
      <x:c r="A690" s="85"/>
      <x:c r="B690" s="86"/>
    </x:row>
    <x:row r="691">
      <x:c r="A691" s="85"/>
      <x:c r="B691" s="86"/>
    </x:row>
    <x:row r="692">
      <x:c r="A692" s="85"/>
      <x:c r="B692" s="86"/>
    </x:row>
    <x:row r="693">
      <x:c r="A693" s="85"/>
      <x:c r="B693" s="86"/>
    </x:row>
    <x:row r="694">
      <x:c r="A694" s="85"/>
      <x:c r="B694" s="86"/>
    </x:row>
    <x:row r="695">
      <x:c r="A695" s="85"/>
      <x:c r="B695" s="86"/>
    </x:row>
    <x:row r="696">
      <x:c r="A696" s="85"/>
      <x:c r="B696" s="86"/>
    </x:row>
    <x:row r="697">
      <x:c r="A697" s="85"/>
      <x:c r="B697" s="86"/>
    </x:row>
    <x:row r="698">
      <x:c r="A698" s="85"/>
      <x:c r="B698" s="86"/>
    </x:row>
    <x:row r="699">
      <x:c r="A699" s="85"/>
      <x:c r="B699" s="86"/>
    </x:row>
    <x:row r="700">
      <x:c r="A700" s="85"/>
      <x:c r="B700" s="86"/>
    </x:row>
    <x:row r="701">
      <x:c r="A701" s="85"/>
      <x:c r="B701" s="86"/>
    </x:row>
    <x:row r="702">
      <x:c r="A702" s="85"/>
      <x:c r="B702" s="86"/>
    </x:row>
    <x:row r="703">
      <x:c r="A703" s="85"/>
      <x:c r="B703" s="86"/>
    </x:row>
    <x:row r="704">
      <x:c r="A704" s="85"/>
      <x:c r="B704" s="86"/>
    </x:row>
    <x:row r="705">
      <x:c r="A705" s="85"/>
      <x:c r="B705" s="86"/>
    </x:row>
    <x:row r="706">
      <x:c r="A706" s="85"/>
      <x:c r="B706" s="86"/>
    </x:row>
    <x:row r="707">
      <x:c r="A707" s="85"/>
      <x:c r="B707" s="86"/>
    </x:row>
    <x:row r="708">
      <x:c r="A708" s="85"/>
      <x:c r="B708" s="86"/>
    </x:row>
    <x:row r="709">
      <x:c r="A709" s="85"/>
      <x:c r="B709" s="86"/>
    </x:row>
    <x:row r="710">
      <x:c r="A710" s="85"/>
      <x:c r="B710" s="86"/>
    </x:row>
    <x:row r="711">
      <x:c r="A711" s="85"/>
      <x:c r="B711" s="86"/>
    </x:row>
    <x:row r="712">
      <x:c r="A712" s="85"/>
      <x:c r="B712" s="86"/>
    </x:row>
    <x:row r="713">
      <x:c r="A713" s="85"/>
      <x:c r="B713" s="86"/>
    </x:row>
    <x:row r="714">
      <x:c r="A714" s="85"/>
      <x:c r="B714" s="86"/>
    </x:row>
    <x:row r="715">
      <x:c r="A715" s="85"/>
      <x:c r="B715" s="86"/>
    </x:row>
    <x:row r="716">
      <x:c r="A716" s="85"/>
      <x:c r="B716" s="86"/>
    </x:row>
    <x:row r="717">
      <x:c r="A717" s="85"/>
      <x:c r="B717" s="86"/>
    </x:row>
    <x:row r="718">
      <x:c r="A718" s="85"/>
      <x:c r="B718" s="86"/>
    </x:row>
    <x:row r="719">
      <x:c r="A719" s="85"/>
      <x:c r="B719" s="86"/>
    </x:row>
    <x:row r="720">
      <x:c r="A720" s="85"/>
      <x:c r="B720" s="86"/>
    </x:row>
    <x:row r="721">
      <x:c r="A721" s="85"/>
      <x:c r="B721" s="86"/>
    </x:row>
    <x:row r="722">
      <x:c r="A722" s="85"/>
      <x:c r="B722" s="86"/>
    </x:row>
    <x:row r="723">
      <x:c r="A723" s="85"/>
      <x:c r="B723" s="86"/>
    </x:row>
    <x:row r="724">
      <x:c r="A724" s="85"/>
      <x:c r="B724" s="86"/>
    </x:row>
    <x:row r="725">
      <x:c r="A725" s="85"/>
      <x:c r="B725" s="86"/>
    </x:row>
    <x:row r="726">
      <x:c r="A726" s="85"/>
      <x:c r="B726" s="86"/>
    </x:row>
    <x:row r="727">
      <x:c r="A727" s="85"/>
      <x:c r="B727" s="86"/>
    </x:row>
    <x:row r="728">
      <x:c r="A728" s="85"/>
      <x:c r="B728" s="86"/>
    </x:row>
    <x:row r="729">
      <x:c r="A729" s="85"/>
      <x:c r="B729" s="86"/>
    </x:row>
    <x:row r="730">
      <x:c r="A730" s="85"/>
      <x:c r="B730" s="86"/>
    </x:row>
    <x:row r="731">
      <x:c r="A731" s="85"/>
      <x:c r="B731" s="86"/>
    </x:row>
    <x:row r="732">
      <x:c r="A732" s="85"/>
      <x:c r="B732" s="86"/>
    </x:row>
    <x:row r="733">
      <x:c r="A733" s="85"/>
      <x:c r="B733" s="86"/>
    </x:row>
    <x:row r="734">
      <x:c r="A734" s="85"/>
      <x:c r="B734" s="86"/>
    </x:row>
    <x:row r="735">
      <x:c r="A735" s="85"/>
      <x:c r="B735" s="86"/>
    </x:row>
    <x:row r="736">
      <x:c r="A736" s="85"/>
      <x:c r="B736" s="86"/>
    </x:row>
    <x:row r="737">
      <x:c r="A737" s="85"/>
      <x:c r="B737" s="86"/>
    </x:row>
    <x:row r="738">
      <x:c r="A738" s="85"/>
      <x:c r="B738" s="86"/>
    </x:row>
    <x:row r="739">
      <x:c r="A739" s="85"/>
      <x:c r="B739" s="86"/>
    </x:row>
    <x:row r="740">
      <x:c r="A740" s="85"/>
      <x:c r="B740" s="86"/>
    </x:row>
    <x:row r="741">
      <x:c r="A741" s="85"/>
      <x:c r="B741" s="86"/>
    </x:row>
    <x:row r="742">
      <x:c r="A742" s="85"/>
      <x:c r="B742" s="86"/>
    </x:row>
    <x:row r="743">
      <x:c r="A743" s="85"/>
      <x:c r="B743" s="86"/>
    </x:row>
    <x:row r="744">
      <x:c r="A744" s="85"/>
      <x:c r="B744" s="86"/>
    </x:row>
    <x:row r="745">
      <x:c r="A745" s="85"/>
      <x:c r="B745" s="86"/>
    </x:row>
    <x:row r="746">
      <x:c r="A746" s="85"/>
      <x:c r="B746" s="86"/>
    </x:row>
    <x:row r="747">
      <x:c r="A747" s="85"/>
      <x:c r="B747" s="86"/>
    </x:row>
    <x:row r="748">
      <x:c r="A748" s="85"/>
      <x:c r="B748" s="86"/>
    </x:row>
    <x:row r="749">
      <x:c r="A749" s="85"/>
      <x:c r="B749" s="86"/>
    </x:row>
    <x:row r="750">
      <x:c r="A750" s="85"/>
      <x:c r="B750" s="86"/>
    </x:row>
    <x:row r="751">
      <x:c r="A751" s="85"/>
      <x:c r="B751" s="86"/>
    </x:row>
    <x:row r="752">
      <x:c r="A752" s="85"/>
      <x:c r="B752" s="86"/>
    </x:row>
    <x:row r="753">
      <x:c r="A753" s="85"/>
      <x:c r="B753" s="86"/>
    </x:row>
    <x:row r="754">
      <x:c r="A754" s="85"/>
      <x:c r="B754" s="86"/>
    </x:row>
    <x:row r="755">
      <x:c r="A755" s="85"/>
      <x:c r="B755" s="86"/>
    </x:row>
    <x:row r="756">
      <x:c r="A756" s="85"/>
      <x:c r="B756" s="86"/>
    </x:row>
    <x:row r="757">
      <x:c r="A757" s="85"/>
      <x:c r="B757" s="86"/>
    </x:row>
    <x:row r="758">
      <x:c r="A758" s="85"/>
      <x:c r="B758" s="86"/>
    </x:row>
    <x:row r="759">
      <x:c r="A759" s="85"/>
      <x:c r="B759" s="86"/>
    </x:row>
    <x:row r="760">
      <x:c r="A760" s="85"/>
      <x:c r="B760" s="86"/>
    </x:row>
    <x:row r="761">
      <x:c r="A761" s="85"/>
      <x:c r="B761" s="86"/>
    </x:row>
    <x:row r="762">
      <x:c r="A762" s="85"/>
      <x:c r="B762" s="86"/>
    </x:row>
    <x:row r="763">
      <x:c r="A763" s="85"/>
      <x:c r="B763" s="86"/>
    </x:row>
    <x:row r="764">
      <x:c r="A764" s="85"/>
      <x:c r="B764" s="86"/>
    </x:row>
    <x:row r="765">
      <x:c r="A765" s="85"/>
      <x:c r="B765" s="86"/>
    </x:row>
    <x:row r="766">
      <x:c r="A766" s="85"/>
      <x:c r="B766" s="86"/>
    </x:row>
    <x:row r="767">
      <x:c r="A767" s="85"/>
      <x:c r="B767" s="86"/>
    </x:row>
    <x:row r="768">
      <x:c r="A768" s="85"/>
      <x:c r="B768" s="86"/>
    </x:row>
    <x:row r="769">
      <x:c r="A769" s="85"/>
      <x:c r="B769" s="86"/>
    </x:row>
    <x:row r="770">
      <x:c r="A770" s="85"/>
      <x:c r="B770" s="86"/>
    </x:row>
    <x:row r="771">
      <x:c r="A771" s="85"/>
      <x:c r="B771" s="86"/>
    </x:row>
    <x:row r="772">
      <x:c r="A772" s="85"/>
      <x:c r="B772" s="86"/>
    </x:row>
    <x:row r="773">
      <x:c r="A773" s="85"/>
      <x:c r="B773" s="86"/>
    </x:row>
    <x:row r="774">
      <x:c r="A774" s="85"/>
      <x:c r="B774" s="86"/>
    </x:row>
    <x:row r="775">
      <x:c r="A775" s="85"/>
      <x:c r="B775" s="86"/>
    </x:row>
    <x:row r="776">
      <x:c r="A776" s="85"/>
      <x:c r="B776" s="86"/>
    </x:row>
    <x:row r="777">
      <x:c r="A777" s="85"/>
      <x:c r="B777" s="86"/>
    </x:row>
    <x:row r="778">
      <x:c r="A778" s="85"/>
      <x:c r="B778" s="86"/>
    </x:row>
    <x:row r="779">
      <x:c r="A779" s="85"/>
      <x:c r="B779" s="86"/>
    </x:row>
    <x:row r="780">
      <x:c r="A780" s="85"/>
      <x:c r="B780" s="86"/>
    </x:row>
    <x:row r="781">
      <x:c r="A781" s="85"/>
      <x:c r="B781" s="86"/>
    </x:row>
    <x:row r="782">
      <x:c r="A782" s="85"/>
      <x:c r="B782" s="86"/>
    </x:row>
    <x:row r="783">
      <x:c r="A783" s="85"/>
      <x:c r="B783" s="86"/>
    </x:row>
    <x:row r="784">
      <x:c r="A784" s="85"/>
      <x:c r="B784" s="86"/>
    </x:row>
    <x:row r="785">
      <x:c r="A785" s="85"/>
      <x:c r="B785" s="86"/>
    </x:row>
    <x:row r="786">
      <x:c r="A786" s="85"/>
      <x:c r="B786" s="86"/>
    </x:row>
    <x:row r="787">
      <x:c r="A787" s="85"/>
      <x:c r="B787" s="86"/>
    </x:row>
    <x:row r="788">
      <x:c r="A788" s="85"/>
      <x:c r="B788" s="86"/>
    </x:row>
    <x:row r="789">
      <x:c r="A789" s="85"/>
      <x:c r="B789" s="86"/>
    </x:row>
    <x:row r="790">
      <x:c r="A790" s="85"/>
      <x:c r="B790" s="86"/>
    </x:row>
    <x:row r="791">
      <x:c r="A791" s="85"/>
      <x:c r="B791" s="86"/>
    </x:row>
    <x:row r="792">
      <x:c r="A792" s="85"/>
      <x:c r="B792" s="86"/>
    </x:row>
    <x:row r="793">
      <x:c r="A793" s="85"/>
      <x:c r="B793" s="86"/>
    </x:row>
    <x:row r="794">
      <x:c r="A794" s="85"/>
      <x:c r="B794" s="86"/>
    </x:row>
    <x:row r="795">
      <x:c r="A795" s="85"/>
      <x:c r="B795" s="86"/>
    </x:row>
    <x:row r="796">
      <x:c r="A796" s="85"/>
      <x:c r="B796" s="86"/>
    </x:row>
    <x:row r="797">
      <x:c r="A797" s="85"/>
      <x:c r="B797" s="86"/>
    </x:row>
    <x:row r="798">
      <x:c r="A798" s="85"/>
      <x:c r="B798" s="86"/>
    </x:row>
    <x:row r="799">
      <x:c r="A799" s="85"/>
      <x:c r="B799" s="86"/>
    </x:row>
    <x:row r="800">
      <x:c r="A800" s="85"/>
      <x:c r="B800" s="86"/>
    </x:row>
    <x:row r="801">
      <x:c r="A801" s="85"/>
      <x:c r="B801" s="86"/>
    </x:row>
    <x:row r="802">
      <x:c r="A802" s="85"/>
      <x:c r="B802" s="86"/>
    </x:row>
    <x:row r="803">
      <x:c r="A803" s="85"/>
      <x:c r="B803" s="86"/>
    </x:row>
    <x:row r="804">
      <x:c r="A804" s="85"/>
      <x:c r="B804" s="86"/>
    </x:row>
    <x:row r="805">
      <x:c r="A805" s="85"/>
      <x:c r="B805" s="86"/>
    </x:row>
    <x:row r="806">
      <x:c r="A806" s="85"/>
      <x:c r="B806" s="86"/>
    </x:row>
    <x:row r="807">
      <x:c r="A807" s="85"/>
      <x:c r="B807" s="86"/>
    </x:row>
    <x:row r="808">
      <x:c r="A808" s="85"/>
      <x:c r="B808" s="86"/>
    </x:row>
    <x:row r="809">
      <x:c r="A809" s="85"/>
      <x:c r="B809" s="86"/>
    </x:row>
    <x:row r="810">
      <x:c r="A810" s="85"/>
      <x:c r="B810" s="86"/>
    </x:row>
    <x:row r="811">
      <x:c r="A811" s="85"/>
      <x:c r="B811" s="86"/>
    </x:row>
    <x:row r="812">
      <x:c r="A812" s="85"/>
      <x:c r="B812" s="86"/>
    </x:row>
    <x:row r="813">
      <x:c r="A813" s="85"/>
      <x:c r="B813" s="86"/>
    </x:row>
    <x:row r="814">
      <x:c r="A814" s="85"/>
      <x:c r="B814" s="86"/>
    </x:row>
    <x:row r="815">
      <x:c r="A815" s="85"/>
      <x:c r="B815" s="86"/>
    </x:row>
    <x:row r="816">
      <x:c r="A816" s="85"/>
      <x:c r="B816" s="86"/>
    </x:row>
    <x:row r="817">
      <x:c r="A817" s="85"/>
      <x:c r="B817" s="86"/>
    </x:row>
    <x:row r="818">
      <x:c r="A818" s="85"/>
      <x:c r="B818" s="86"/>
    </x:row>
    <x:row r="819">
      <x:c r="A819" s="85"/>
      <x:c r="B819" s="86"/>
    </x:row>
    <x:row r="820">
      <x:c r="A820" s="85"/>
      <x:c r="B820" s="86"/>
    </x:row>
    <x:row r="821">
      <x:c r="A821" s="85"/>
      <x:c r="B821" s="86"/>
    </x:row>
    <x:row r="822">
      <x:c r="A822" s="85"/>
      <x:c r="B822" s="86"/>
    </x:row>
    <x:row r="823">
      <x:c r="A823" s="85"/>
      <x:c r="B823" s="86"/>
    </x:row>
    <x:row r="824">
      <x:c r="A824" s="85"/>
      <x:c r="B824" s="86"/>
    </x:row>
    <x:row r="825">
      <x:c r="A825" s="85"/>
      <x:c r="B825" s="86"/>
    </x:row>
    <x:row r="826">
      <x:c r="A826" s="85"/>
      <x:c r="B826" s="86"/>
    </x:row>
    <x:row r="827">
      <x:c r="A827" s="85"/>
      <x:c r="B827" s="86"/>
    </x:row>
    <x:row r="828">
      <x:c r="A828" s="85"/>
      <x:c r="B828" s="86"/>
    </x:row>
    <x:row r="829">
      <x:c r="A829" s="85"/>
      <x:c r="B829" s="86"/>
    </x:row>
    <x:row r="830">
      <x:c r="A830" s="85"/>
      <x:c r="B830" s="86"/>
    </x:row>
    <x:row r="831">
      <x:c r="A831" s="85"/>
      <x:c r="B831" s="86"/>
    </x:row>
    <x:row r="832">
      <x:c r="A832" s="85"/>
      <x:c r="B832" s="86"/>
    </x:row>
    <x:row r="833">
      <x:c r="A833" s="85"/>
      <x:c r="B833" s="86"/>
    </x:row>
    <x:row r="834">
      <x:c r="A834" s="85"/>
      <x:c r="B834" s="86"/>
    </x:row>
    <x:row r="835">
      <x:c r="A835" s="85"/>
      <x:c r="B835" s="86"/>
    </x:row>
    <x:row r="836">
      <x:c r="A836" s="85"/>
      <x:c r="B836" s="86"/>
    </x:row>
    <x:row r="837">
      <x:c r="A837" s="85"/>
      <x:c r="B837" s="86"/>
    </x:row>
    <x:row r="838">
      <x:c r="A838" s="85"/>
      <x:c r="B838" s="86"/>
    </x:row>
    <x:row r="839">
      <x:c r="A839" s="85"/>
      <x:c r="B839" s="86"/>
    </x:row>
    <x:row r="840">
      <x:c r="A840" s="85"/>
      <x:c r="B840" s="86"/>
    </x:row>
    <x:row r="841">
      <x:c r="A841" s="85"/>
      <x:c r="B841" s="86"/>
    </x:row>
    <x:row r="842">
      <x:c r="A842" s="85"/>
      <x:c r="B842" s="86"/>
    </x:row>
    <x:row r="843">
      <x:c r="A843" s="85"/>
      <x:c r="B843" s="86"/>
    </x:row>
    <x:row r="844">
      <x:c r="A844" s="85"/>
      <x:c r="B844" s="86"/>
    </x:row>
    <x:row r="845">
      <x:c r="A845" s="85"/>
      <x:c r="B845" s="86"/>
    </x:row>
    <x:row r="846">
      <x:c r="A846" s="85"/>
      <x:c r="B846" s="86"/>
    </x:row>
    <x:row r="847">
      <x:c r="A847" s="85"/>
      <x:c r="B847" s="86"/>
    </x:row>
    <x:row r="848">
      <x:c r="A848" s="85"/>
      <x:c r="B848" s="86"/>
    </x:row>
    <x:row r="849">
      <x:c r="A849" s="85"/>
      <x:c r="B849" s="86"/>
    </x:row>
    <x:row r="850">
      <x:c r="A850" s="85"/>
      <x:c r="B850" s="86"/>
    </x:row>
    <x:row r="851">
      <x:c r="A851" s="85"/>
      <x:c r="B851" s="86"/>
    </x:row>
    <x:row r="852">
      <x:c r="A852" s="85"/>
      <x:c r="B852" s="86"/>
    </x:row>
    <x:row r="853">
      <x:c r="A853" s="85"/>
      <x:c r="B853" s="86"/>
    </x:row>
    <x:row r="854">
      <x:c r="A854" s="85"/>
      <x:c r="B854" s="86"/>
    </x:row>
    <x:row r="855">
      <x:c r="A855" s="85"/>
      <x:c r="B855" s="86"/>
    </x:row>
    <x:row r="856">
      <x:c r="A856" s="85"/>
      <x:c r="B856" s="86"/>
    </x:row>
    <x:row r="857">
      <x:c r="A857" s="85"/>
      <x:c r="B857" s="86"/>
    </x:row>
    <x:row r="858">
      <x:c r="A858" s="85"/>
      <x:c r="B858" s="86"/>
    </x:row>
    <x:row r="859">
      <x:c r="A859" s="85"/>
      <x:c r="B859" s="86"/>
    </x:row>
    <x:row r="860">
      <x:c r="A860" s="85"/>
      <x:c r="B860" s="86"/>
    </x:row>
    <x:row r="861">
      <x:c r="A861" s="85"/>
      <x:c r="B861" s="86"/>
    </x:row>
    <x:row r="862">
      <x:c r="A862" s="85"/>
      <x:c r="B862" s="86"/>
    </x:row>
    <x:row r="863">
      <x:c r="A863" s="85"/>
      <x:c r="B863" s="86"/>
    </x:row>
    <x:row r="864">
      <x:c r="A864" s="85"/>
      <x:c r="B864" s="86"/>
    </x:row>
    <x:row r="865">
      <x:c r="A865" s="85"/>
      <x:c r="B865" s="86"/>
    </x:row>
    <x:row r="866">
      <x:c r="A866" s="85"/>
      <x:c r="B866" s="86"/>
    </x:row>
    <x:row r="867">
      <x:c r="A867" s="85"/>
      <x:c r="B867" s="86"/>
    </x:row>
    <x:row r="868">
      <x:c r="A868" s="85"/>
      <x:c r="B868" s="86"/>
    </x:row>
    <x:row r="869">
      <x:c r="A869" s="85"/>
      <x:c r="B869" s="86"/>
    </x:row>
    <x:row r="870">
      <x:c r="A870" s="85"/>
      <x:c r="B870" s="86"/>
    </x:row>
    <x:row r="871">
      <x:c r="A871" s="85"/>
      <x:c r="B871" s="86"/>
    </x:row>
    <x:row r="872">
      <x:c r="A872" s="85"/>
      <x:c r="B872" s="86"/>
    </x:row>
    <x:row r="873">
      <x:c r="A873" s="85"/>
      <x:c r="B873" s="86"/>
    </x:row>
    <x:row r="874">
      <x:c r="A874" s="85"/>
      <x:c r="B874" s="86"/>
    </x:row>
    <x:row r="875">
      <x:c r="A875" s="85"/>
      <x:c r="B875" s="86"/>
    </x:row>
    <x:row r="876">
      <x:c r="A876" s="85"/>
      <x:c r="B876" s="86"/>
    </x:row>
    <x:row r="877">
      <x:c r="A877" s="85"/>
      <x:c r="B877" s="86"/>
    </x:row>
    <x:row r="878">
      <x:c r="A878" s="85"/>
      <x:c r="B878" s="86"/>
    </x:row>
    <x:row r="879">
      <x:c r="A879" s="85"/>
      <x:c r="B879" s="86"/>
    </x:row>
    <x:row r="880">
      <x:c r="A880" s="85"/>
      <x:c r="B880" s="86"/>
    </x:row>
    <x:row r="881">
      <x:c r="A881" s="85"/>
      <x:c r="B881" s="86"/>
    </x:row>
    <x:row r="882">
      <x:c r="A882" s="85"/>
      <x:c r="B882" s="86"/>
    </x:row>
    <x:row r="883">
      <x:c r="A883" s="85"/>
      <x:c r="B883" s="86"/>
    </x:row>
    <x:row r="884">
      <x:c r="A884" s="85"/>
      <x:c r="B884" s="86"/>
    </x:row>
    <x:row r="885">
      <x:c r="A885" s="85"/>
      <x:c r="B885" s="86"/>
    </x:row>
    <x:row r="886">
      <x:c r="A886" s="85"/>
      <x:c r="B886" s="86"/>
    </x:row>
    <x:row r="887">
      <x:c r="A887" s="85"/>
      <x:c r="B887" s="86"/>
    </x:row>
    <x:row r="888">
      <x:c r="A888" s="85"/>
      <x:c r="B888" s="86"/>
    </x:row>
    <x:row r="889">
      <x:c r="A889" s="85"/>
      <x:c r="B889" s="86"/>
    </x:row>
    <x:row r="890">
      <x:c r="A890" s="85"/>
      <x:c r="B890" s="86"/>
    </x:row>
    <x:row r="891">
      <x:c r="A891" s="85"/>
      <x:c r="B891" s="86"/>
    </x:row>
    <x:row r="892">
      <x:c r="A892" s="85"/>
      <x:c r="B892" s="86"/>
    </x:row>
    <x:row r="893">
      <x:c r="A893" s="85"/>
      <x:c r="B893" s="86"/>
    </x:row>
    <x:row r="894">
      <x:c r="A894" s="85"/>
      <x:c r="B894" s="86"/>
    </x:row>
    <x:row r="895">
      <x:c r="A895" s="85"/>
      <x:c r="B895" s="86"/>
    </x:row>
    <x:row r="896">
      <x:c r="A896" s="85"/>
      <x:c r="B896" s="86"/>
    </x:row>
    <x:row r="897">
      <x:c r="A897" s="85"/>
      <x:c r="B897" s="86"/>
    </x:row>
    <x:row r="898">
      <x:c r="A898" s="85"/>
      <x:c r="B898" s="86"/>
    </x:row>
    <x:row r="899">
      <x:c r="A899" s="85"/>
      <x:c r="B899" s="86"/>
    </x:row>
    <x:row r="900">
      <x:c r="A900" s="85"/>
      <x:c r="B900" s="86"/>
    </x:row>
    <x:row r="901">
      <x:c r="A901" s="85"/>
      <x:c r="B901" s="86"/>
    </x:row>
    <x:row r="902">
      <x:c r="A902" s="85"/>
      <x:c r="B902" s="86"/>
    </x:row>
    <x:row r="903">
      <x:c r="A903" s="85"/>
      <x:c r="B903" s="86"/>
    </x:row>
    <x:row r="904">
      <x:c r="A904" s="85"/>
      <x:c r="B904" s="86"/>
    </x:row>
    <x:row r="905">
      <x:c r="A905" s="85"/>
      <x:c r="B905" s="86"/>
    </x:row>
    <x:row r="906">
      <x:c r="A906" s="85"/>
      <x:c r="B906" s="86"/>
    </x:row>
    <x:row r="907">
      <x:c r="A907" s="85"/>
      <x:c r="B907" s="86"/>
    </x:row>
    <x:row r="908">
      <x:c r="A908" s="85"/>
      <x:c r="B908" s="86"/>
    </x:row>
    <x:row r="909">
      <x:c r="A909" s="85"/>
      <x:c r="B909" s="86"/>
    </x:row>
    <x:row r="910">
      <x:c r="A910" s="85"/>
      <x:c r="B910" s="86"/>
    </x:row>
    <x:row r="911">
      <x:c r="A911" s="85"/>
      <x:c r="B911" s="86"/>
    </x:row>
    <x:row r="912">
      <x:c r="A912" s="85"/>
      <x:c r="B912" s="86"/>
    </x:row>
    <x:row r="913">
      <x:c r="A913" s="85"/>
      <x:c r="B913" s="86"/>
    </x:row>
    <x:row r="914">
      <x:c r="A914" s="85"/>
      <x:c r="B914" s="86"/>
    </x:row>
    <x:row r="915">
      <x:c r="A915" s="85"/>
      <x:c r="B915" s="86"/>
    </x:row>
    <x:row r="916">
      <x:c r="A916" s="85"/>
      <x:c r="B916" s="86"/>
    </x:row>
    <x:row r="917">
      <x:c r="A917" s="85"/>
      <x:c r="B917" s="86"/>
    </x:row>
    <x:row r="918">
      <x:c r="A918" s="85"/>
      <x:c r="B918" s="86"/>
    </x:row>
    <x:row r="919">
      <x:c r="A919" s="85"/>
      <x:c r="B919" s="86"/>
    </x:row>
    <x:row r="920">
      <x:c r="A920" s="85"/>
      <x:c r="B920" s="86"/>
    </x:row>
    <x:row r="921">
      <x:c r="A921" s="85"/>
      <x:c r="B921" s="86"/>
    </x:row>
    <x:row r="922">
      <x:c r="A922" s="85"/>
      <x:c r="B922" s="86"/>
    </x:row>
    <x:row r="923">
      <x:c r="A923" s="85"/>
      <x:c r="B923" s="86"/>
    </x:row>
    <x:row r="924">
      <x:c r="A924" s="85"/>
      <x:c r="B924" s="86"/>
    </x:row>
    <x:row r="925">
      <x:c r="A925" s="85"/>
      <x:c r="B925" s="86"/>
    </x:row>
    <x:row r="926">
      <x:c r="A926" s="85"/>
      <x:c r="B926" s="86"/>
    </x:row>
    <x:row r="927">
      <x:c r="A927" s="85"/>
      <x:c r="B927" s="86"/>
    </x:row>
    <x:row r="928">
      <x:c r="A928" s="85"/>
      <x:c r="B928" s="86"/>
    </x:row>
    <x:row r="929">
      <x:c r="A929" s="85"/>
      <x:c r="B929" s="86"/>
    </x:row>
    <x:row r="930">
      <x:c r="A930" s="85"/>
      <x:c r="B930" s="86"/>
    </x:row>
    <x:row r="931">
      <x:c r="A931" s="85"/>
      <x:c r="B931" s="86"/>
    </x:row>
    <x:row r="932">
      <x:c r="A932" s="85"/>
      <x:c r="B932" s="86"/>
    </x:row>
    <x:row r="933">
      <x:c r="A933" s="85"/>
      <x:c r="B933" s="86"/>
    </x:row>
    <x:row r="934">
      <x:c r="A934" s="85"/>
      <x:c r="B934" s="86"/>
    </x:row>
    <x:row r="935">
      <x:c r="A935" s="85"/>
      <x:c r="B935" s="86"/>
    </x:row>
    <x:row r="936">
      <x:c r="A936" s="85"/>
      <x:c r="B936" s="86"/>
    </x:row>
    <x:row r="937">
      <x:c r="A937" s="85"/>
      <x:c r="B937" s="86"/>
    </x:row>
    <x:row r="938">
      <x:c r="A938" s="85"/>
      <x:c r="B938" s="86"/>
    </x:row>
    <x:row r="939">
      <x:c r="A939" s="85"/>
      <x:c r="B939" s="86"/>
    </x:row>
    <x:row r="940">
      <x:c r="A940" s="85"/>
      <x:c r="B940" s="86"/>
    </x:row>
    <x:row r="941">
      <x:c r="A941" s="85"/>
      <x:c r="B941" s="86"/>
    </x:row>
    <x:row r="942">
      <x:c r="A942" s="85"/>
      <x:c r="B942" s="86"/>
    </x:row>
    <x:row r="943">
      <x:c r="A943" s="85"/>
      <x:c r="B943" s="86"/>
    </x:row>
    <x:row r="944">
      <x:c r="A944" s="85"/>
      <x:c r="B944" s="86"/>
    </x:row>
    <x:row r="945">
      <x:c r="A945" s="85"/>
      <x:c r="B945" s="86"/>
    </x:row>
    <x:row r="946">
      <x:c r="A946" s="85"/>
      <x:c r="B946" s="86"/>
    </x:row>
    <x:row r="947">
      <x:c r="A947" s="85"/>
      <x:c r="B947" s="86"/>
    </x:row>
    <x:row r="948">
      <x:c r="A948" s="85"/>
      <x:c r="B948" s="86"/>
    </x:row>
    <x:row r="949">
      <x:c r="A949" s="85"/>
      <x:c r="B949" s="86"/>
    </x:row>
    <x:row r="950">
      <x:c r="A950" s="85"/>
      <x:c r="B950" s="86"/>
    </x:row>
    <x:row r="951">
      <x:c r="A951" s="85"/>
      <x:c r="B951" s="86"/>
    </x:row>
    <x:row r="952">
      <x:c r="A952" s="85"/>
      <x:c r="B952" s="86"/>
    </x:row>
    <x:row r="953">
      <x:c r="A953" s="85"/>
      <x:c r="B953" s="86"/>
    </x:row>
    <x:row r="954">
      <x:c r="A954" s="85"/>
      <x:c r="B954" s="86"/>
    </x:row>
    <x:row r="955">
      <x:c r="A955" s="85"/>
      <x:c r="B955" s="86"/>
    </x:row>
    <x:row r="956">
      <x:c r="A956" s="85"/>
      <x:c r="B956" s="86"/>
    </x:row>
    <x:row r="957">
      <x:c r="A957" s="85"/>
      <x:c r="B957" s="86"/>
    </x:row>
    <x:row r="958">
      <x:c r="A958" s="85"/>
      <x:c r="B958" s="86"/>
    </x:row>
    <x:row r="959">
      <x:c r="A959" s="85"/>
      <x:c r="B959" s="86"/>
    </x:row>
    <x:row r="960">
      <x:c r="A960" s="85"/>
      <x:c r="B960" s="86"/>
    </x:row>
    <x:row r="961">
      <x:c r="A961" s="85"/>
      <x:c r="B961" s="86"/>
    </x:row>
    <x:row r="962">
      <x:c r="A962" s="85"/>
      <x:c r="B962" s="86"/>
    </x:row>
    <x:row r="963">
      <x:c r="A963" s="85"/>
      <x:c r="B963" s="86"/>
    </x:row>
    <x:row r="964">
      <x:c r="A964" s="85"/>
      <x:c r="B964" s="86"/>
    </x:row>
    <x:row r="965">
      <x:c r="A965" s="85"/>
      <x:c r="B965" s="86"/>
    </x:row>
    <x:row r="966">
      <x:c r="A966" s="85"/>
      <x:c r="B966" s="86"/>
    </x:row>
    <x:row r="967">
      <x:c r="A967" s="85"/>
      <x:c r="B967" s="86"/>
    </x:row>
    <x:row r="968">
      <x:c r="A968" s="85"/>
      <x:c r="B968" s="86"/>
    </x:row>
    <x:row r="969">
      <x:c r="A969" s="85"/>
      <x:c r="B969" s="86"/>
    </x:row>
    <x:row r="970">
      <x:c r="A970" s="85"/>
      <x:c r="B970" s="86"/>
    </x:row>
    <x:row r="971">
      <x:c r="A971" s="85"/>
      <x:c r="B971" s="86"/>
    </x:row>
    <x:row r="972">
      <x:c r="A972" s="85"/>
      <x:c r="B972" s="86"/>
    </x:row>
    <x:row r="973">
      <x:c r="A973" s="85"/>
      <x:c r="B973" s="86"/>
    </x:row>
    <x:row r="974">
      <x:c r="A974" s="85"/>
      <x:c r="B974" s="86"/>
    </x:row>
    <x:row r="975">
      <x:c r="A975" s="85"/>
      <x:c r="B975" s="86"/>
    </x:row>
    <x:row r="976">
      <x:c r="A976" s="85"/>
      <x:c r="B976" s="86"/>
    </x:row>
    <x:row r="977">
      <x:c r="A977" s="85"/>
      <x:c r="B977" s="86"/>
    </x:row>
    <x:row r="978">
      <x:c r="A978" s="85"/>
      <x:c r="B978" s="86"/>
    </x:row>
    <x:row r="979">
      <x:c r="A979" s="85"/>
      <x:c r="B979" s="86"/>
    </x:row>
    <x:row r="980">
      <x:c r="A980" s="85"/>
      <x:c r="B980" s="86"/>
    </x:row>
    <x:row r="981">
      <x:c r="A981" s="85"/>
      <x:c r="B981" s="86"/>
    </x:row>
    <x:row r="982">
      <x:c r="A982" s="85"/>
      <x:c r="B982" s="86"/>
    </x:row>
    <x:row r="983">
      <x:c r="A983" s="85"/>
      <x:c r="B983" s="86"/>
    </x:row>
    <x:row r="984">
      <x:c r="A984" s="85"/>
      <x:c r="B984" s="86"/>
    </x:row>
    <x:row r="985">
      <x:c r="A985" s="85"/>
      <x:c r="B985" s="86"/>
    </x:row>
    <x:row r="986">
      <x:c r="A986" s="85"/>
      <x:c r="B986" s="86"/>
    </x:row>
    <x:row r="987">
      <x:c r="A987" s="85"/>
      <x:c r="B987" s="86"/>
    </x:row>
    <x:row r="988">
      <x:c r="A988" s="85"/>
      <x:c r="B988" s="86"/>
    </x:row>
    <x:row r="989">
      <x:c r="A989" s="85"/>
      <x:c r="B989" s="86"/>
    </x:row>
    <x:row r="990">
      <x:c r="A990" s="85"/>
      <x:c r="B990" s="86"/>
    </x:row>
    <x:row r="991">
      <x:c r="A991" s="85"/>
      <x:c r="B991" s="86"/>
    </x:row>
    <x:row r="992">
      <x:c r="A992" s="85"/>
      <x:c r="B992" s="86"/>
    </x:row>
    <x:row r="993">
      <x:c r="A993" s="85"/>
      <x:c r="B993" s="86"/>
    </x:row>
    <x:row r="994">
      <x:c r="A994" s="85"/>
      <x:c r="B994" s="86"/>
    </x:row>
    <x:row r="995">
      <x:c r="A995" s="85"/>
      <x:c r="B995" s="86"/>
    </x:row>
    <x:row r="996">
      <x:c r="A996" s="85"/>
      <x:c r="B996" s="86"/>
    </x:row>
    <x:row r="997">
      <x:c r="A997" s="85"/>
      <x:c r="B997" s="86"/>
    </x:row>
    <x:row r="998">
      <x:c r="A998" s="85"/>
      <x:c r="B998" s="86"/>
    </x:row>
    <x:row r="999">
      <x:c r="A999" s="85"/>
      <x:c r="B999" s="86"/>
    </x:row>
    <x:row r="1000">
      <x:c r="A1000" s="85"/>
      <x:c r="B1000" s="86"/>
    </x:row>
    <x:row r="1001">
      <x:c r="A1001" s="85"/>
      <x:c r="B1001" s="86"/>
    </x:row>
    <x:row r="1002">
      <x:c r="A1002" s="85"/>
      <x:c r="B1002" s="86"/>
    </x:row>
    <x:row r="1003">
      <x:c r="A1003" s="85"/>
      <x:c r="B1003" s="86"/>
    </x:row>
    <x:row r="1004">
      <x:c r="A1004" s="85"/>
      <x:c r="B1004" s="86"/>
    </x:row>
    <x:row r="1005">
      <x:c r="A1005" s="85"/>
      <x:c r="B1005" s="86"/>
    </x:row>
    <x:row r="1006">
      <x:c r="A1006" s="85"/>
      <x:c r="B1006" s="86"/>
    </x:row>
    <x:row r="1007">
      <x:c r="A1007" s="85"/>
      <x:c r="B1007" s="86"/>
    </x:row>
    <x:row r="1008">
      <x:c r="A1008" s="85"/>
      <x:c r="B1008" s="86"/>
    </x:row>
    <x:row r="1009">
      <x:c r="A1009" s="85"/>
      <x:c r="B1009" s="86"/>
    </x:row>
    <x:row r="1010">
      <x:c r="A1010" s="85"/>
      <x:c r="B1010" s="86"/>
    </x:row>
    <x:row r="1011">
      <x:c r="A1011" s="85"/>
      <x:c r="B1011" s="86"/>
    </x:row>
    <x:row r="1012">
      <x:c r="A1012" s="85"/>
      <x:c r="B1012" s="86"/>
    </x:row>
    <x:row r="1013">
      <x:c r="A1013" s="85"/>
      <x:c r="B1013" s="86"/>
    </x:row>
    <x:row r="1014">
      <x:c r="A1014" s="85"/>
      <x:c r="B1014" s="86"/>
    </x:row>
    <x:row r="1015">
      <x:c r="A1015" s="85"/>
      <x:c r="B1015" s="86"/>
    </x:row>
    <x:row r="1016">
      <x:c r="A1016" s="85"/>
      <x:c r="B1016" s="86"/>
    </x:row>
    <x:row r="1017">
      <x:c r="A1017" s="85"/>
      <x:c r="B1017" s="86"/>
    </x:row>
    <x:row r="1018">
      <x:c r="A1018" s="85"/>
      <x:c r="B1018" s="86"/>
    </x:row>
    <x:row r="1019">
      <x:c r="A1019" s="85"/>
      <x:c r="B1019" s="86"/>
    </x:row>
    <x:row r="1020">
      <x:c r="A1020" s="85"/>
      <x:c r="B1020" s="86"/>
    </x:row>
    <x:row r="1021">
      <x:c r="A1021" s="85"/>
      <x:c r="B1021" s="86"/>
    </x:row>
    <x:row r="1022">
      <x:c r="A1022" s="85"/>
      <x:c r="B1022" s="86"/>
    </x:row>
    <x:row r="1023">
      <x:c r="A1023" s="85"/>
      <x:c r="B1023" s="86"/>
    </x:row>
    <x:row r="1024">
      <x:c r="A1024" s="85"/>
      <x:c r="B1024" s="86"/>
    </x:row>
    <x:row r="1025">
      <x:c r="A1025" s="85"/>
      <x:c r="B1025" s="86"/>
    </x:row>
    <x:row r="1026">
      <x:c r="A1026" s="85"/>
      <x:c r="B1026" s="86"/>
    </x:row>
    <x:row r="1027">
      <x:c r="A1027" s="85"/>
      <x:c r="B1027" s="86"/>
    </x:row>
    <x:row r="1028">
      <x:c r="A1028" s="85"/>
      <x:c r="B1028" s="86"/>
    </x:row>
    <x:row r="1029">
      <x:c r="A1029" s="85"/>
      <x:c r="B1029" s="86"/>
    </x:row>
    <x:row r="1030">
      <x:c r="A1030" s="85"/>
      <x:c r="B1030" s="86"/>
    </x:row>
    <x:row r="1031">
      <x:c r="A1031" s="85"/>
      <x:c r="B1031" s="86"/>
    </x:row>
    <x:row r="1032">
      <x:c r="A1032" s="85"/>
      <x:c r="B1032" s="86"/>
    </x:row>
    <x:row r="1033">
      <x:c r="A1033" s="85"/>
      <x:c r="B1033" s="86"/>
    </x:row>
    <x:row r="1034">
      <x:c r="A1034" s="85"/>
      <x:c r="B1034" s="86"/>
    </x:row>
    <x:row r="1035">
      <x:c r="A1035" s="85"/>
      <x:c r="B1035" s="86"/>
    </x:row>
    <x:row r="1036">
      <x:c r="A1036" s="85"/>
      <x:c r="B1036" s="86"/>
    </x:row>
    <x:row r="1037">
      <x:c r="A1037" s="85"/>
      <x:c r="B1037" s="86"/>
    </x:row>
    <x:row r="1038">
      <x:c r="A1038" s="85"/>
      <x:c r="B1038" s="86"/>
    </x:row>
    <x:row r="1039">
      <x:c r="A1039" s="85"/>
      <x:c r="B1039" s="86"/>
    </x:row>
    <x:row r="1040">
      <x:c r="A1040" s="85"/>
      <x:c r="B1040" s="86"/>
    </x:row>
    <x:row r="1041">
      <x:c r="A1041" s="85"/>
      <x:c r="B1041" s="86"/>
    </x:row>
    <x:row r="1042">
      <x:c r="A1042" s="85"/>
      <x:c r="B1042" s="86"/>
    </x:row>
    <x:row r="1043">
      <x:c r="A1043" s="85"/>
      <x:c r="B1043" s="86"/>
    </x:row>
    <x:row r="1044">
      <x:c r="A1044" s="85"/>
      <x:c r="B1044" s="86"/>
    </x:row>
    <x:row r="1045">
      <x:c r="A1045" s="85"/>
      <x:c r="B1045" s="86"/>
    </x:row>
    <x:row r="1046">
      <x:c r="A1046" s="85"/>
      <x:c r="B1046" s="86"/>
    </x:row>
    <x:row r="1047">
      <x:c r="A1047" s="85"/>
      <x:c r="B1047" s="86"/>
    </x:row>
    <x:row r="1048">
      <x:c r="A1048" s="85"/>
      <x:c r="B1048" s="86"/>
    </x:row>
    <x:row r="1049">
      <x:c r="A1049" s="85"/>
      <x:c r="B1049" s="86"/>
    </x:row>
    <x:row r="1050">
      <x:c r="A1050" s="85"/>
      <x:c r="B1050" s="86"/>
    </x:row>
    <x:row r="1051">
      <x:c r="A1051" s="85"/>
      <x:c r="B1051" s="86"/>
    </x:row>
    <x:row r="1052">
      <x:c r="A1052" s="85"/>
      <x:c r="B1052" s="86"/>
    </x:row>
    <x:row r="1053">
      <x:c r="A1053" s="85"/>
      <x:c r="B1053" s="86"/>
    </x:row>
    <x:row r="1054">
      <x:c r="A1054" s="85"/>
      <x:c r="B1054" s="86"/>
    </x:row>
    <x:row r="1055">
      <x:c r="A1055" s="85"/>
      <x:c r="B1055" s="86"/>
    </x:row>
    <x:row r="1056">
      <x:c r="A1056" s="85"/>
      <x:c r="B1056" s="86"/>
    </x:row>
    <x:row r="1057">
      <x:c r="A1057" s="85"/>
      <x:c r="B1057" s="86"/>
    </x:row>
    <x:row r="1058">
      <x:c r="A1058" s="85"/>
      <x:c r="B1058" s="86"/>
    </x:row>
    <x:row r="1059">
      <x:c r="A1059" s="85"/>
      <x:c r="B1059" s="86"/>
    </x:row>
    <x:row r="1060">
      <x:c r="A1060" s="85"/>
      <x:c r="B1060" s="86"/>
    </x:row>
    <x:row r="1061">
      <x:c r="A1061" s="85"/>
      <x:c r="B1061" s="86"/>
    </x:row>
    <x:row r="1062">
      <x:c r="A1062" s="85"/>
      <x:c r="B1062" s="86"/>
    </x:row>
    <x:row r="1063">
      <x:c r="A1063" s="85"/>
      <x:c r="B1063" s="86"/>
    </x:row>
    <x:row r="1064">
      <x:c r="A1064" s="85"/>
      <x:c r="B1064" s="86"/>
    </x:row>
    <x:row r="1065">
      <x:c r="A1065" s="85"/>
      <x:c r="B1065" s="86"/>
    </x:row>
    <x:row r="1066">
      <x:c r="A1066" s="85"/>
      <x:c r="B1066" s="86"/>
    </x:row>
    <x:row r="1067">
      <x:c r="A1067" s="85"/>
      <x:c r="B1067" s="86"/>
    </x:row>
    <x:row r="1068">
      <x:c r="A1068" s="85"/>
      <x:c r="B1068" s="86"/>
    </x:row>
    <x:row r="1069">
      <x:c r="A1069" s="85"/>
      <x:c r="B1069" s="86"/>
    </x:row>
    <x:row r="1070">
      <x:c r="A1070" s="85"/>
      <x:c r="B1070" s="86"/>
    </x:row>
    <x:row r="1071">
      <x:c r="A1071" s="85"/>
      <x:c r="B1071" s="86"/>
    </x:row>
    <x:row r="1072">
      <x:c r="A1072" s="85"/>
      <x:c r="B1072" s="86"/>
    </x:row>
    <x:row r="1073">
      <x:c r="A1073" s="85"/>
      <x:c r="B1073" s="86"/>
    </x:row>
    <x:row r="1074">
      <x:c r="A1074" s="85"/>
      <x:c r="B1074" s="86"/>
    </x:row>
    <x:row r="1075">
      <x:c r="A1075" s="85"/>
      <x:c r="B1075" s="86"/>
    </x:row>
    <x:row r="1076">
      <x:c r="A1076" s="85"/>
      <x:c r="B1076" s="86"/>
    </x:row>
    <x:row r="1077">
      <x:c r="A1077" s="85"/>
      <x:c r="B1077" s="86"/>
    </x:row>
    <x:row r="1078">
      <x:c r="A1078" s="85"/>
      <x:c r="B1078" s="86"/>
    </x:row>
    <x:row r="1079">
      <x:c r="A1079" s="85"/>
      <x:c r="B1079" s="86"/>
    </x:row>
    <x:row r="1080">
      <x:c r="A1080" s="85"/>
      <x:c r="B1080" s="86"/>
    </x:row>
    <x:row r="1081">
      <x:c r="A1081" s="85"/>
      <x:c r="B1081" s="86"/>
    </x:row>
    <x:row r="1082">
      <x:c r="A1082" s="85"/>
      <x:c r="B1082" s="86"/>
    </x:row>
    <x:row r="1083">
      <x:c r="A1083" s="85"/>
      <x:c r="B1083" s="86"/>
    </x:row>
    <x:row r="1084">
      <x:c r="A1084" s="85"/>
      <x:c r="B1084" s="86"/>
    </x:row>
    <x:row r="1085">
      <x:c r="A1085" s="85"/>
      <x:c r="B1085" s="86"/>
    </x:row>
    <x:row r="1086">
      <x:c r="A1086" s="85"/>
      <x:c r="B1086" s="86"/>
    </x:row>
    <x:row r="1087">
      <x:c r="A1087" s="85"/>
      <x:c r="B1087" s="86"/>
    </x:row>
    <x:row r="1088">
      <x:c r="A1088" s="85"/>
      <x:c r="B1088" s="86"/>
    </x:row>
    <x:row r="1089">
      <x:c r="A1089" s="85"/>
      <x:c r="B1089" s="86"/>
    </x:row>
    <x:row r="1090">
      <x:c r="A1090" s="85"/>
      <x:c r="B1090" s="86"/>
    </x:row>
    <x:row r="1091">
      <x:c r="A1091" s="85"/>
      <x:c r="B1091" s="86"/>
    </x:row>
    <x:row r="1092">
      <x:c r="A1092" s="85"/>
      <x:c r="B1092" s="86"/>
    </x:row>
    <x:row r="1093">
      <x:c r="A1093" s="85"/>
      <x:c r="B1093" s="86"/>
    </x:row>
    <x:row r="1094">
      <x:c r="A1094" s="85"/>
      <x:c r="B1094" s="86"/>
    </x:row>
    <x:row r="1095">
      <x:c r="A1095" s="85"/>
      <x:c r="B1095" s="86"/>
    </x:row>
    <x:row r="1096">
      <x:c r="A1096" s="85"/>
      <x:c r="B1096" s="86"/>
    </x:row>
    <x:row r="1097">
      <x:c r="A1097" s="85"/>
      <x:c r="B1097" s="86"/>
    </x:row>
    <x:row r="1098">
      <x:c r="A1098" s="85"/>
      <x:c r="B1098" s="86"/>
    </x:row>
    <x:row r="1099">
      <x:c r="A1099" s="85"/>
      <x:c r="B1099" s="86"/>
    </x:row>
    <x:row r="1100">
      <x:c r="A1100" s="85"/>
      <x:c r="B1100" s="86"/>
    </x:row>
    <x:row r="1101">
      <x:c r="A1101" s="85"/>
      <x:c r="B1101" s="86"/>
    </x:row>
    <x:row r="1102">
      <x:c r="A1102" s="85"/>
      <x:c r="B1102" s="86"/>
    </x:row>
    <x:row r="1103">
      <x:c r="A1103" s="85"/>
      <x:c r="B1103" s="86"/>
    </x:row>
    <x:row r="1104">
      <x:c r="A1104" s="85"/>
      <x:c r="B1104" s="86"/>
    </x:row>
    <x:row r="1105">
      <x:c r="A1105" s="85"/>
      <x:c r="B1105" s="86"/>
    </x:row>
    <x:row r="1106">
      <x:c r="A1106" s="85"/>
      <x:c r="B1106" s="86"/>
    </x:row>
    <x:row r="1107">
      <x:c r="A1107" s="85"/>
      <x:c r="B1107" s="86"/>
    </x:row>
    <x:row r="1108">
      <x:c r="A1108" s="85"/>
      <x:c r="B1108" s="86"/>
    </x:row>
    <x:row r="1109">
      <x:c r="A1109" s="85"/>
      <x:c r="B1109" s="86"/>
    </x:row>
    <x:row r="1110">
      <x:c r="A1110" s="85"/>
      <x:c r="B1110" s="86"/>
    </x:row>
    <x:row r="1111">
      <x:c r="A1111" s="85"/>
      <x:c r="B1111" s="86"/>
    </x:row>
    <x:row r="1112">
      <x:c r="A1112" s="85"/>
      <x:c r="B1112" s="86"/>
    </x:row>
    <x:row r="1113">
      <x:c r="A1113" s="85"/>
      <x:c r="B1113" s="86"/>
    </x:row>
    <x:row r="1114">
      <x:c r="A1114" s="85"/>
      <x:c r="B1114" s="86"/>
    </x:row>
    <x:row r="1115">
      <x:c r="A1115" s="85"/>
      <x:c r="B1115" s="86"/>
    </x:row>
    <x:row r="1116">
      <x:c r="A1116" s="85"/>
      <x:c r="B1116" s="86"/>
    </x:row>
    <x:row r="1117">
      <x:c r="A1117" s="85"/>
      <x:c r="B1117" s="86"/>
    </x:row>
    <x:row r="1118">
      <x:c r="A1118" s="85"/>
      <x:c r="B1118" s="86"/>
    </x:row>
    <x:row r="1119">
      <x:c r="A1119" s="85"/>
      <x:c r="B1119" s="86"/>
    </x:row>
    <x:row r="1120">
      <x:c r="A1120" s="85"/>
      <x:c r="B1120" s="86"/>
    </x:row>
    <x:row r="1121">
      <x:c r="A1121" s="85"/>
      <x:c r="B1121" s="86"/>
    </x:row>
    <x:row r="1122">
      <x:c r="A1122" s="85"/>
      <x:c r="B1122" s="86"/>
    </x:row>
    <x:row r="1123">
      <x:c r="A1123" s="85"/>
      <x:c r="B1123" s="86"/>
    </x:row>
    <x:row r="1124">
      <x:c r="A1124" s="85"/>
      <x:c r="B1124" s="86"/>
    </x:row>
    <x:row r="1125">
      <x:c r="A1125" s="85"/>
      <x:c r="B1125" s="86"/>
    </x:row>
    <x:row r="1126">
      <x:c r="A1126" s="85"/>
      <x:c r="B1126" s="86"/>
    </x:row>
    <x:row r="1127">
      <x:c r="A1127" s="85"/>
      <x:c r="B1127" s="86"/>
    </x:row>
    <x:row r="1128">
      <x:c r="A1128" s="85"/>
      <x:c r="B1128" s="86"/>
    </x:row>
    <x:row r="1129">
      <x:c r="A1129" s="85"/>
      <x:c r="B1129" s="86"/>
    </x:row>
    <x:row r="1130">
      <x:c r="A1130" s="85"/>
      <x:c r="B1130" s="86"/>
    </x:row>
    <x:row r="1131">
      <x:c r="A1131" s="85"/>
      <x:c r="B1131" s="86"/>
    </x:row>
    <x:row r="1132">
      <x:c r="A1132" s="85"/>
      <x:c r="B1132" s="86"/>
    </x:row>
    <x:row r="1133">
      <x:c r="A1133" s="85"/>
      <x:c r="B1133" s="86"/>
    </x:row>
    <x:row r="1134">
      <x:c r="A1134" s="85"/>
      <x:c r="B1134" s="86"/>
    </x:row>
    <x:row r="1135">
      <x:c r="A1135" s="85"/>
      <x:c r="B1135" s="86"/>
    </x:row>
    <x:row r="1136">
      <x:c r="A1136" s="85"/>
      <x:c r="B1136" s="86"/>
    </x:row>
    <x:row r="1137">
      <x:c r="A1137" s="85"/>
      <x:c r="B1137" s="86"/>
    </x:row>
    <x:row r="1138">
      <x:c r="A1138" s="85"/>
      <x:c r="B1138" s="86"/>
    </x:row>
    <x:row r="1139">
      <x:c r="A1139" s="85"/>
      <x:c r="B1139" s="86"/>
    </x:row>
    <x:row r="1140">
      <x:c r="A1140" s="85"/>
      <x:c r="B1140" s="86"/>
    </x:row>
    <x:row r="1141">
      <x:c r="A1141" s="85"/>
      <x:c r="B1141" s="86"/>
    </x:row>
    <x:row r="1142">
      <x:c r="A1142" s="85"/>
      <x:c r="B1142" s="86"/>
    </x:row>
    <x:row r="1143">
      <x:c r="A1143" s="85"/>
      <x:c r="B1143" s="86"/>
    </x:row>
    <x:row r="1144">
      <x:c r="A1144" s="85"/>
      <x:c r="B1144" s="86"/>
    </x:row>
    <x:row r="1145">
      <x:c r="A1145" s="85"/>
      <x:c r="B1145" s="86"/>
    </x:row>
    <x:row r="1146">
      <x:c r="A1146" s="85"/>
      <x:c r="B1146" s="86"/>
    </x:row>
    <x:row r="1147">
      <x:c r="A1147" s="85"/>
      <x:c r="B1147" s="86"/>
    </x:row>
    <x:row r="1148">
      <x:c r="A1148" s="85"/>
      <x:c r="B1148" s="86"/>
    </x:row>
    <x:row r="1149">
      <x:c r="A1149" s="85"/>
      <x:c r="B1149" s="86"/>
    </x:row>
    <x:row r="1150">
      <x:c r="A1150" s="85"/>
      <x:c r="B1150" s="86"/>
    </x:row>
    <x:row r="1151">
      <x:c r="A1151" s="85"/>
      <x:c r="B1151" s="86"/>
    </x:row>
    <x:row r="1152">
      <x:c r="A1152" s="85"/>
      <x:c r="B1152" s="86"/>
    </x:row>
    <x:row r="1153">
      <x:c r="A1153" s="85"/>
      <x:c r="B1153" s="86"/>
    </x:row>
    <x:row r="1154">
      <x:c r="A1154" s="85"/>
      <x:c r="B1154" s="86"/>
    </x:row>
    <x:row r="1155">
      <x:c r="A1155" s="85"/>
      <x:c r="B1155" s="86"/>
    </x:row>
    <x:row r="1156">
      <x:c r="A1156" s="85"/>
      <x:c r="B1156" s="86"/>
    </x:row>
    <x:row r="1157">
      <x:c r="A1157" s="85"/>
      <x:c r="B1157" s="86"/>
    </x:row>
    <x:row r="1158">
      <x:c r="A1158" s="85"/>
      <x:c r="B1158" s="86"/>
    </x:row>
    <x:row r="1159">
      <x:c r="A1159" s="85"/>
      <x:c r="B1159" s="86"/>
    </x:row>
    <x:row r="1160">
      <x:c r="A1160" s="85"/>
      <x:c r="B1160" s="86"/>
    </x:row>
    <x:row r="1161">
      <x:c r="A1161" s="85"/>
      <x:c r="B1161" s="86"/>
    </x:row>
    <x:row r="1162">
      <x:c r="A1162" s="85"/>
      <x:c r="B1162" s="86"/>
    </x:row>
    <x:row r="1163">
      <x:c r="A1163" s="85"/>
      <x:c r="B1163" s="86"/>
    </x:row>
    <x:row r="1164">
      <x:c r="A1164" s="85"/>
      <x:c r="B1164" s="86"/>
    </x:row>
    <x:row r="1165">
      <x:c r="A1165" s="85"/>
      <x:c r="B1165" s="86"/>
    </x:row>
    <x:row r="1166">
      <x:c r="A1166" s="85"/>
      <x:c r="B1166" s="86"/>
    </x:row>
    <x:row r="1167">
      <x:c r="A1167" s="85"/>
      <x:c r="B1167" s="86"/>
    </x:row>
    <x:row r="1168">
      <x:c r="A1168" s="85"/>
      <x:c r="B1168" s="86"/>
    </x:row>
    <x:row r="1169">
      <x:c r="A1169" s="85"/>
      <x:c r="B1169" s="86"/>
    </x:row>
    <x:row r="1170">
      <x:c r="A1170" s="85"/>
      <x:c r="B1170" s="86"/>
    </x:row>
    <x:row r="1171">
      <x:c r="A1171" s="85"/>
      <x:c r="B1171" s="86"/>
    </x:row>
    <x:row r="1172">
      <x:c r="A1172" s="85"/>
      <x:c r="B1172" s="86"/>
    </x:row>
    <x:row r="1173">
      <x:c r="A1173" s="85"/>
      <x:c r="B1173" s="86"/>
    </x:row>
    <x:row r="1174">
      <x:c r="A1174" s="85"/>
      <x:c r="B1174" s="86"/>
    </x:row>
    <x:row r="1175">
      <x:c r="A1175" s="85"/>
      <x:c r="B1175" s="86"/>
    </x:row>
    <x:row r="1176">
      <x:c r="A1176" s="85"/>
      <x:c r="B1176" s="86"/>
    </x:row>
    <x:row r="1177">
      <x:c r="A1177" s="85"/>
      <x:c r="B1177" s="86"/>
    </x:row>
    <x:row r="1178">
      <x:c r="A1178" s="85"/>
      <x:c r="B1178" s="86"/>
    </x:row>
    <x:row r="1179">
      <x:c r="A1179" s="85"/>
      <x:c r="B1179" s="86"/>
    </x:row>
    <x:row r="1180">
      <x:c r="A1180" s="85"/>
      <x:c r="B1180" s="86"/>
    </x:row>
    <x:row r="1181">
      <x:c r="A1181" s="85"/>
      <x:c r="B1181" s="86"/>
    </x:row>
    <x:row r="1182">
      <x:c r="A1182" s="85"/>
      <x:c r="B1182" s="86"/>
    </x:row>
    <x:row r="1183">
      <x:c r="A1183" s="85"/>
      <x:c r="B1183" s="86"/>
    </x:row>
    <x:row r="1184">
      <x:c r="A1184" s="85"/>
      <x:c r="B1184" s="86"/>
    </x:row>
    <x:row r="1185">
      <x:c r="A1185" s="85"/>
      <x:c r="B1185" s="86"/>
    </x:row>
    <x:row r="1186">
      <x:c r="A1186" s="85"/>
      <x:c r="B1186" s="86"/>
    </x:row>
    <x:row r="1187">
      <x:c r="A1187" s="85"/>
      <x:c r="B1187" s="86"/>
    </x:row>
    <x:row r="1188">
      <x:c r="A1188" s="85"/>
      <x:c r="B1188" s="86"/>
    </x:row>
    <x:row r="1189">
      <x:c r="A1189" s="85"/>
      <x:c r="B1189" s="86"/>
    </x:row>
    <x:row r="1190">
      <x:c r="A1190" s="85"/>
      <x:c r="B1190" s="86"/>
    </x:row>
    <x:row r="1191">
      <x:c r="A1191" s="85"/>
      <x:c r="B1191" s="86"/>
    </x:row>
    <x:row r="1192">
      <x:c r="A1192" s="85"/>
      <x:c r="B1192" s="86"/>
    </x:row>
    <x:row r="1193">
      <x:c r="A1193" s="85"/>
      <x:c r="B1193" s="86"/>
    </x:row>
    <x:row r="1194">
      <x:c r="A1194" s="85"/>
      <x:c r="B1194" s="86"/>
    </x:row>
    <x:row r="1195">
      <x:c r="A1195" s="85"/>
      <x:c r="B1195" s="86"/>
    </x:row>
    <x:row r="1196">
      <x:c r="A1196" s="85"/>
      <x:c r="B1196" s="86"/>
    </x:row>
    <x:row r="1197">
      <x:c r="A1197" s="85"/>
      <x:c r="B1197" s="86"/>
    </x:row>
    <x:row r="1198">
      <x:c r="A1198" s="85"/>
      <x:c r="B1198" s="86"/>
    </x:row>
    <x:row r="1199">
      <x:c r="A1199" s="85"/>
      <x:c r="B1199" s="86"/>
    </x:row>
    <x:row r="1200">
      <x:c r="A1200" s="85"/>
      <x:c r="B1200" s="86"/>
    </x:row>
    <x:row r="1201">
      <x:c r="A1201" s="85"/>
      <x:c r="B1201" s="86"/>
    </x:row>
    <x:row r="1202">
      <x:c r="A1202" s="85"/>
      <x:c r="B1202" s="86"/>
    </x:row>
    <x:row r="1203">
      <x:c r="A1203" s="85"/>
      <x:c r="B1203" s="86"/>
    </x:row>
    <x:row r="1204">
      <x:c r="A1204" s="85"/>
      <x:c r="B1204" s="86"/>
    </x:row>
    <x:row r="1205">
      <x:c r="A1205" s="85"/>
      <x:c r="B1205" s="86"/>
    </x:row>
    <x:row r="1206">
      <x:c r="A1206" s="85"/>
      <x:c r="B1206" s="86"/>
    </x:row>
    <x:row r="1207">
      <x:c r="A1207" s="85"/>
      <x:c r="B1207" s="86"/>
    </x:row>
    <x:row r="1208">
      <x:c r="A1208" s="85"/>
      <x:c r="B1208" s="86"/>
    </x:row>
    <x:row r="1209">
      <x:c r="A1209" s="85"/>
      <x:c r="B1209" s="86"/>
    </x:row>
    <x:row r="1210">
      <x:c r="A1210" s="85"/>
      <x:c r="B1210" s="86"/>
    </x:row>
    <x:row r="1211">
      <x:c r="A1211" s="85"/>
      <x:c r="B1211" s="86"/>
    </x:row>
    <x:row r="1212">
      <x:c r="A1212" s="85"/>
      <x:c r="B1212" s="86"/>
    </x:row>
    <x:row r="1213">
      <x:c r="A1213" s="85"/>
      <x:c r="B1213" s="86"/>
    </x:row>
    <x:row r="1214">
      <x:c r="A1214" s="85"/>
      <x:c r="B1214" s="86"/>
    </x:row>
    <x:row r="1215">
      <x:c r="A1215" s="85"/>
      <x:c r="B1215" s="86"/>
    </x:row>
    <x:row r="1216">
      <x:c r="A1216" s="85"/>
      <x:c r="B1216" s="86"/>
    </x:row>
    <x:row r="1217">
      <x:c r="A1217" s="85"/>
      <x:c r="B1217" s="86"/>
    </x:row>
    <x:row r="1218">
      <x:c r="A1218" s="85"/>
      <x:c r="B1218" s="86"/>
    </x:row>
    <x:row r="1219">
      <x:c r="A1219" s="85"/>
      <x:c r="B1219" s="86"/>
    </x:row>
    <x:row r="1220">
      <x:c r="A1220" s="85"/>
      <x:c r="B1220" s="86"/>
    </x:row>
    <x:row r="1221">
      <x:c r="A1221" s="85"/>
      <x:c r="B1221" s="86"/>
    </x:row>
    <x:row r="1222">
      <x:c r="A1222" s="85"/>
      <x:c r="B1222" s="86"/>
    </x:row>
    <x:row r="1223">
      <x:c r="A1223" s="85"/>
      <x:c r="B1223" s="86"/>
    </x:row>
    <x:row r="1224">
      <x:c r="A1224" s="85"/>
      <x:c r="B1224" s="86"/>
    </x:row>
    <x:row r="1225">
      <x:c r="A1225" s="85"/>
      <x:c r="B1225" s="86"/>
    </x:row>
    <x:row r="1226">
      <x:c r="A1226" s="85"/>
      <x:c r="B1226" s="86"/>
    </x:row>
    <x:row r="1227">
      <x:c r="A1227" s="85"/>
      <x:c r="B1227" s="86"/>
    </x:row>
    <x:row r="1228">
      <x:c r="A1228" s="85"/>
      <x:c r="B1228" s="86"/>
    </x:row>
    <x:row r="1229">
      <x:c r="A1229" s="85"/>
      <x:c r="B1229" s="86"/>
    </x:row>
    <x:row r="1230">
      <x:c r="A1230" s="85"/>
      <x:c r="B1230" s="86"/>
    </x:row>
    <x:row r="1231">
      <x:c r="A1231" s="85"/>
      <x:c r="B1231" s="86"/>
    </x:row>
    <x:row r="1232">
      <x:c r="A1232" s="85"/>
      <x:c r="B1232" s="86"/>
    </x:row>
    <x:row r="1233">
      <x:c r="A1233" s="85"/>
      <x:c r="B1233" s="86"/>
    </x:row>
    <x:row r="1234">
      <x:c r="A1234" s="85"/>
      <x:c r="B1234" s="86"/>
    </x:row>
    <x:row r="1235">
      <x:c r="A1235" s="85"/>
      <x:c r="B1235" s="86"/>
    </x:row>
    <x:row r="1236">
      <x:c r="A1236" s="85"/>
      <x:c r="B1236" s="86"/>
    </x:row>
    <x:row r="1237">
      <x:c r="A1237" s="85"/>
      <x:c r="B1237" s="86"/>
    </x:row>
    <x:row r="1238">
      <x:c r="A1238" s="85"/>
      <x:c r="B1238" s="86"/>
    </x:row>
    <x:row r="1239">
      <x:c r="A1239" s="85"/>
      <x:c r="B1239" s="86"/>
    </x:row>
    <x:row r="1240">
      <x:c r="A1240" s="85"/>
      <x:c r="B1240" s="86"/>
    </x:row>
    <x:row r="1241">
      <x:c r="A1241" s="85"/>
      <x:c r="B1241" s="86"/>
    </x:row>
    <x:row r="1242">
      <x:c r="A1242" s="85"/>
      <x:c r="B1242" s="86"/>
    </x:row>
    <x:row r="1243">
      <x:c r="A1243" s="85"/>
      <x:c r="B1243" s="86"/>
    </x:row>
    <x:row r="1244">
      <x:c r="A1244" s="85"/>
      <x:c r="B1244" s="86"/>
    </x:row>
    <x:row r="1245">
      <x:c r="A1245" s="85"/>
      <x:c r="B1245" s="86"/>
    </x:row>
    <x:row r="1246">
      <x:c r="A1246" s="85"/>
      <x:c r="B1246" s="86"/>
    </x:row>
    <x:row r="1247">
      <x:c r="A1247" s="85"/>
      <x:c r="B1247" s="86"/>
    </x:row>
    <x:row r="1248">
      <x:c r="A1248" s="85"/>
      <x:c r="B1248" s="86"/>
    </x:row>
    <x:row r="1249">
      <x:c r="A1249" s="85"/>
      <x:c r="B1249" s="86"/>
    </x:row>
    <x:row r="1250">
      <x:c r="A1250" s="85"/>
      <x:c r="B1250" s="86"/>
    </x:row>
    <x:row r="1251">
      <x:c r="A1251" s="85"/>
      <x:c r="B1251" s="86"/>
    </x:row>
    <x:row r="1252">
      <x:c r="A1252" s="85"/>
      <x:c r="B1252" s="86"/>
    </x:row>
    <x:row r="1253">
      <x:c r="A1253" s="85"/>
      <x:c r="B1253" s="86"/>
    </x:row>
    <x:row r="1254">
      <x:c r="A1254" s="85"/>
      <x:c r="B1254" s="86"/>
    </x:row>
    <x:row r="1255">
      <x:c r="A1255" s="85"/>
      <x:c r="B1255" s="86"/>
    </x:row>
    <x:row r="1256">
      <x:c r="A1256" s="85"/>
      <x:c r="B1256" s="86"/>
    </x:row>
    <x:row r="1257">
      <x:c r="A1257" s="85"/>
      <x:c r="B1257" s="86"/>
    </x:row>
    <x:row r="1258">
      <x:c r="A1258" s="85"/>
      <x:c r="B1258" s="86"/>
    </x:row>
    <x:row r="1259">
      <x:c r="A1259" s="85"/>
      <x:c r="B1259" s="86"/>
    </x:row>
    <x:row r="1260">
      <x:c r="A1260" s="85"/>
      <x:c r="B1260" s="86"/>
    </x:row>
    <x:row r="1261">
      <x:c r="A1261" s="85"/>
      <x:c r="B1261" s="86"/>
    </x:row>
    <x:row r="1262">
      <x:c r="A1262" s="85"/>
      <x:c r="B1262" s="86"/>
    </x:row>
    <x:row r="1263">
      <x:c r="A1263" s="85"/>
      <x:c r="B1263" s="86"/>
    </x:row>
    <x:row r="1264">
      <x:c r="A1264" s="85"/>
      <x:c r="B1264" s="86"/>
    </x:row>
    <x:row r="1265">
      <x:c r="A1265" s="85"/>
      <x:c r="B1265" s="86"/>
    </x:row>
    <x:row r="1266">
      <x:c r="A1266" s="85"/>
      <x:c r="B1266" s="86"/>
    </x:row>
    <x:row r="1267">
      <x:c r="A1267" s="85"/>
      <x:c r="B1267" s="86"/>
    </x:row>
    <x:row r="1268">
      <x:c r="A1268" s="85"/>
      <x:c r="B1268" s="86"/>
    </x:row>
    <x:row r="1269">
      <x:c r="A1269" s="85"/>
      <x:c r="B1269" s="86"/>
    </x:row>
    <x:row r="1270">
      <x:c r="A1270" s="85"/>
      <x:c r="B1270" s="86"/>
    </x:row>
    <x:row r="1271">
      <x:c r="A1271" s="85"/>
      <x:c r="B1271" s="86"/>
    </x:row>
    <x:row r="1272">
      <x:c r="A1272" s="85"/>
      <x:c r="B1272" s="86"/>
    </x:row>
    <x:row r="1273">
      <x:c r="A1273" s="85"/>
      <x:c r="B1273" s="86"/>
    </x:row>
    <x:row r="1274">
      <x:c r="A1274" s="85"/>
      <x:c r="B1274" s="86"/>
    </x:row>
    <x:row r="1275">
      <x:c r="A1275" s="85"/>
      <x:c r="B1275" s="86"/>
    </x:row>
    <x:row r="1276">
      <x:c r="A1276" s="85"/>
      <x:c r="B1276" s="86"/>
    </x:row>
    <x:row r="1277">
      <x:c r="A1277" s="85"/>
      <x:c r="B1277" s="86"/>
    </x:row>
    <x:row r="1278">
      <x:c r="A1278" s="85"/>
      <x:c r="B1278" s="86"/>
    </x:row>
    <x:row r="1279">
      <x:c r="A1279" s="85"/>
      <x:c r="B1279" s="86"/>
    </x:row>
    <x:row r="1280">
      <x:c r="A1280" s="85"/>
      <x:c r="B1280" s="86"/>
    </x:row>
    <x:row r="1281">
      <x:c r="A1281" s="85"/>
      <x:c r="B1281" s="86"/>
    </x:row>
    <x:row r="1282">
      <x:c r="A1282" s="85"/>
      <x:c r="B1282" s="86"/>
    </x:row>
    <x:row r="1283">
      <x:c r="A1283" s="85"/>
      <x:c r="B1283" s="86"/>
    </x:row>
    <x:row r="1284">
      <x:c r="A1284" s="85"/>
      <x:c r="B1284" s="86"/>
    </x:row>
    <x:row r="1285">
      <x:c r="A1285" s="85"/>
      <x:c r="B1285" s="86"/>
    </x:row>
    <x:row r="1286">
      <x:c r="A1286" s="85"/>
      <x:c r="B1286" s="86"/>
    </x:row>
    <x:row r="1287">
      <x:c r="A1287" s="85"/>
      <x:c r="B1287" s="86"/>
    </x:row>
    <x:row r="1288">
      <x:c r="A1288" s="85"/>
      <x:c r="B1288" s="86"/>
    </x:row>
    <x:row r="1289">
      <x:c r="A1289" s="85"/>
      <x:c r="B1289" s="86"/>
    </x:row>
    <x:row r="1290">
      <x:c r="A1290" s="85"/>
      <x:c r="B1290" s="86"/>
    </x:row>
    <x:row r="1291">
      <x:c r="A1291" s="85"/>
      <x:c r="B1291" s="86"/>
    </x:row>
    <x:row r="1292">
      <x:c r="A1292" s="85"/>
      <x:c r="B1292" s="86"/>
    </x:row>
    <x:row r="1293">
      <x:c r="A1293" s="85"/>
      <x:c r="B1293" s="86"/>
    </x:row>
    <x:row r="1294">
      <x:c r="A1294" s="85"/>
      <x:c r="B1294" s="86"/>
    </x:row>
    <x:row r="1295">
      <x:c r="A1295" s="85"/>
      <x:c r="B1295" s="86"/>
    </x:row>
    <x:row r="1296">
      <x:c r="A1296" s="85"/>
      <x:c r="B1296" s="86"/>
    </x:row>
    <x:row r="1297">
      <x:c r="A1297" s="85"/>
      <x:c r="B1297" s="86"/>
    </x:row>
    <x:row r="1298">
      <x:c r="A1298" s="85"/>
      <x:c r="B1298" s="86"/>
    </x:row>
    <x:row r="1299">
      <x:c r="A1299" s="85"/>
      <x:c r="B1299" s="86"/>
    </x:row>
    <x:row r="1300">
      <x:c r="A1300" s="85"/>
      <x:c r="B1300" s="86"/>
    </x:row>
    <x:row r="1301">
      <x:c r="A1301" s="85"/>
      <x:c r="B1301" s="86"/>
    </x:row>
    <x:row r="1302">
      <x:c r="A1302" s="85"/>
      <x:c r="B1302" s="86"/>
    </x:row>
    <x:row r="1303">
      <x:c r="A1303" s="85"/>
      <x:c r="B1303" s="86"/>
    </x:row>
    <x:row r="1304">
      <x:c r="A1304" s="85"/>
      <x:c r="B1304" s="86"/>
    </x:row>
    <x:row r="1305">
      <x:c r="A1305" s="85"/>
      <x:c r="B1305" s="86"/>
    </x:row>
    <x:row r="1306">
      <x:c r="A1306" s="85"/>
      <x:c r="B1306" s="86"/>
    </x:row>
    <x:row r="1307">
      <x:c r="A1307" s="85"/>
      <x:c r="B1307" s="86"/>
    </x:row>
    <x:row r="1308">
      <x:c r="A1308" s="85"/>
      <x:c r="B1308" s="86"/>
    </x:row>
    <x:row r="1309">
      <x:c r="A1309" s="85"/>
      <x:c r="B1309" s="86"/>
    </x:row>
    <x:row r="1310">
      <x:c r="A1310" s="85"/>
      <x:c r="B1310" s="86"/>
    </x:row>
    <x:row r="1311">
      <x:c r="A1311" s="85"/>
      <x:c r="B1311" s="86"/>
    </x:row>
    <x:row r="1312">
      <x:c r="A1312" s="85"/>
      <x:c r="B1312" s="86"/>
    </x:row>
    <x:row r="1313">
      <x:c r="A1313" s="85"/>
      <x:c r="B1313" s="86"/>
    </x:row>
    <x:row r="1314">
      <x:c r="A1314" s="85"/>
      <x:c r="B1314" s="86"/>
    </x:row>
    <x:row r="1315">
      <x:c r="A1315" s="85"/>
      <x:c r="B1315" s="86"/>
    </x:row>
    <x:row r="1316">
      <x:c r="A1316" s="85"/>
      <x:c r="B1316" s="86"/>
    </x:row>
    <x:row r="1317">
      <x:c r="A1317" s="85"/>
      <x:c r="B1317" s="86"/>
    </x:row>
    <x:row r="1318">
      <x:c r="A1318" s="85"/>
      <x:c r="B1318" s="86"/>
    </x:row>
    <x:row r="1319">
      <x:c r="A1319" s="85"/>
      <x:c r="B1319" s="86"/>
    </x:row>
    <x:row r="1320">
      <x:c r="A1320" s="85"/>
      <x:c r="B1320" s="86"/>
    </x:row>
    <x:row r="1321">
      <x:c r="A1321" s="85"/>
      <x:c r="B1321" s="86"/>
    </x:row>
    <x:row r="1322">
      <x:c r="A1322" s="85"/>
      <x:c r="B1322" s="86"/>
    </x:row>
    <x:row r="1323">
      <x:c r="A1323" s="85"/>
      <x:c r="B1323" s="86"/>
    </x:row>
    <x:row r="1324">
      <x:c r="A1324" s="85"/>
      <x:c r="B1324" s="86"/>
    </x:row>
    <x:row r="1325">
      <x:c r="A1325" s="85"/>
      <x:c r="B1325" s="86"/>
    </x:row>
    <x:row r="1326">
      <x:c r="A1326" s="85"/>
      <x:c r="B1326" s="86"/>
    </x:row>
    <x:row r="1327">
      <x:c r="A1327" s="85"/>
      <x:c r="B1327" s="86"/>
    </x:row>
    <x:row r="1328">
      <x:c r="A1328" s="85"/>
      <x:c r="B1328" s="86"/>
    </x:row>
    <x:row r="1329">
      <x:c r="A1329" s="85"/>
      <x:c r="B1329" s="86"/>
    </x:row>
    <x:row r="1330">
      <x:c r="A1330" s="85"/>
      <x:c r="B1330" s="86"/>
    </x:row>
    <x:row r="1331">
      <x:c r="A1331" s="85"/>
      <x:c r="B1331" s="86"/>
    </x:row>
    <x:row r="1332">
      <x:c r="A1332" s="85"/>
      <x:c r="B1332" s="86"/>
    </x:row>
    <x:row r="1333">
      <x:c r="A1333" s="85"/>
      <x:c r="B1333" s="86"/>
    </x:row>
    <x:row r="1334">
      <x:c r="A1334" s="85"/>
      <x:c r="B1334" s="86"/>
    </x:row>
    <x:row r="1335">
      <x:c r="A1335" s="85"/>
      <x:c r="B1335" s="86"/>
    </x:row>
    <x:row r="1336">
      <x:c r="A1336" s="85"/>
      <x:c r="B1336" s="86"/>
    </x:row>
    <x:row r="1337">
      <x:c r="A1337" s="85"/>
      <x:c r="B1337" s="86"/>
    </x:row>
    <x:row r="1338">
      <x:c r="A1338" s="85"/>
      <x:c r="B1338" s="86"/>
    </x:row>
    <x:row r="1339">
      <x:c r="A1339" s="85"/>
      <x:c r="B1339" s="86"/>
    </x:row>
    <x:row r="1340">
      <x:c r="A1340" s="85"/>
      <x:c r="B1340" s="86"/>
    </x:row>
    <x:row r="1341">
      <x:c r="A1341" s="85"/>
      <x:c r="B1341" s="86"/>
    </x:row>
    <x:row r="1342">
      <x:c r="A1342" s="85"/>
      <x:c r="B1342" s="86"/>
    </x:row>
    <x:row r="1343">
      <x:c r="A1343" s="85"/>
      <x:c r="B1343" s="86"/>
    </x:row>
    <x:row r="1344">
      <x:c r="A1344" s="85"/>
      <x:c r="B1344" s="86"/>
    </x:row>
    <x:row r="1345">
      <x:c r="A1345" s="85"/>
      <x:c r="B1345" s="86"/>
    </x:row>
    <x:row r="1346">
      <x:c r="A1346" s="85"/>
      <x:c r="B1346" s="86"/>
    </x:row>
    <x:row r="1347">
      <x:c r="A1347" s="85"/>
      <x:c r="B1347" s="86"/>
    </x:row>
    <x:row r="1348">
      <x:c r="A1348" s="85"/>
      <x:c r="B1348" s="86"/>
    </x:row>
    <x:row r="1349">
      <x:c r="A1349" s="85"/>
      <x:c r="B1349" s="86"/>
    </x:row>
    <x:row r="1350">
      <x:c r="A1350" s="85"/>
      <x:c r="B1350" s="86"/>
    </x:row>
    <x:row r="1351">
      <x:c r="A1351" s="85"/>
      <x:c r="B1351" s="86"/>
    </x:row>
    <x:row r="1352">
      <x:c r="A1352" s="85"/>
      <x:c r="B1352" s="86"/>
    </x:row>
    <x:row r="1353">
      <x:c r="A1353" s="85"/>
      <x:c r="B1353" s="86"/>
    </x:row>
    <x:row r="1354">
      <x:c r="A1354" s="85"/>
      <x:c r="B1354" s="86"/>
    </x:row>
    <x:row r="1355">
      <x:c r="A1355" s="85"/>
      <x:c r="B1355" s="86"/>
    </x:row>
    <x:row r="1356">
      <x:c r="A1356" s="85"/>
      <x:c r="B1356" s="86"/>
    </x:row>
    <x:row r="1357">
      <x:c r="A1357" s="85"/>
      <x:c r="B1357" s="86"/>
    </x:row>
    <x:row r="1358">
      <x:c r="A1358" s="85"/>
      <x:c r="B1358" s="86"/>
    </x:row>
    <x:row r="1359">
      <x:c r="A1359" s="85"/>
      <x:c r="B1359" s="86"/>
    </x:row>
    <x:row r="1360">
      <x:c r="A1360" s="85"/>
      <x:c r="B1360" s="86"/>
    </x:row>
    <x:row r="1361">
      <x:c r="A1361" s="85"/>
      <x:c r="B1361" s="86"/>
    </x:row>
    <x:row r="1362">
      <x:c r="A1362" s="85"/>
      <x:c r="B1362" s="86"/>
    </x:row>
    <x:row r="1363">
      <x:c r="A1363" s="85"/>
      <x:c r="B1363" s="86"/>
    </x:row>
    <x:row r="1364">
      <x:c r="A1364" s="85"/>
      <x:c r="B1364" s="86"/>
    </x:row>
    <x:row r="1365">
      <x:c r="A1365" s="85"/>
      <x:c r="B1365" s="86"/>
    </x:row>
    <x:row r="1366">
      <x:c r="A1366" s="85"/>
      <x:c r="B1366" s="86"/>
    </x:row>
    <x:row r="1367">
      <x:c r="A1367" s="85"/>
      <x:c r="B1367" s="86"/>
    </x:row>
    <x:row r="1368">
      <x:c r="A1368" s="85"/>
      <x:c r="B1368" s="86"/>
    </x:row>
    <x:row r="1369">
      <x:c r="A1369" s="85"/>
      <x:c r="B1369" s="86"/>
    </x:row>
    <x:row r="1370">
      <x:c r="A1370" s="85"/>
      <x:c r="B1370" s="86"/>
    </x:row>
    <x:row r="1371">
      <x:c r="A1371" s="85"/>
      <x:c r="B1371" s="86"/>
    </x:row>
    <x:row r="1372">
      <x:c r="A1372" s="85"/>
      <x:c r="B1372" s="86"/>
    </x:row>
    <x:row r="1373">
      <x:c r="A1373" s="85"/>
      <x:c r="B1373" s="86"/>
    </x:row>
    <x:row r="1374">
      <x:c r="A1374" s="85"/>
      <x:c r="B1374" s="86"/>
    </x:row>
    <x:row r="1375">
      <x:c r="A1375" s="85"/>
      <x:c r="B1375" s="86"/>
    </x:row>
    <x:row r="1376">
      <x:c r="A1376" s="85"/>
      <x:c r="B1376" s="86"/>
    </x:row>
    <x:row r="1377">
      <x:c r="A1377" s="85"/>
      <x:c r="B1377" s="86"/>
    </x:row>
    <x:row r="1378">
      <x:c r="A1378" s="85"/>
      <x:c r="B1378" s="86"/>
    </x:row>
    <x:row r="1379">
      <x:c r="A1379" s="85"/>
      <x:c r="B1379" s="86"/>
    </x:row>
    <x:row r="1380">
      <x:c r="A1380" s="85"/>
      <x:c r="B1380" s="86"/>
    </x:row>
    <x:row r="1381">
      <x:c r="A1381" s="85"/>
      <x:c r="B1381" s="86"/>
    </x:row>
    <x:row r="1382">
      <x:c r="A1382" s="85"/>
      <x:c r="B1382" s="86"/>
    </x:row>
    <x:row r="1383">
      <x:c r="A1383" s="85"/>
      <x:c r="B1383" s="86"/>
    </x:row>
    <x:row r="1384">
      <x:c r="A1384" s="85"/>
      <x:c r="B1384" s="86"/>
    </x:row>
    <x:row r="1385">
      <x:c r="A1385" s="85"/>
      <x:c r="B1385" s="86"/>
    </x:row>
    <x:row r="1386">
      <x:c r="A1386" s="85"/>
      <x:c r="B1386" s="86"/>
    </x:row>
    <x:row r="1387">
      <x:c r="A1387" s="85"/>
      <x:c r="B1387" s="86"/>
    </x:row>
    <x:row r="1388">
      <x:c r="A1388" s="85"/>
      <x:c r="B1388" s="86"/>
    </x:row>
    <x:row r="1389">
      <x:c r="A1389" s="85"/>
      <x:c r="B1389" s="86"/>
    </x:row>
    <x:row r="1390">
      <x:c r="A1390" s="85"/>
      <x:c r="B1390" s="86"/>
    </x:row>
    <x:row r="1391">
      <x:c r="A1391" s="85"/>
      <x:c r="B1391" s="86"/>
    </x:row>
    <x:row r="1392">
      <x:c r="A1392" s="85"/>
      <x:c r="B1392" s="86"/>
    </x:row>
    <x:row r="1393">
      <x:c r="A1393" s="85"/>
      <x:c r="B1393" s="86"/>
    </x:row>
    <x:row r="1394">
      <x:c r="A1394" s="85"/>
      <x:c r="B1394" s="86"/>
    </x:row>
    <x:row r="1395">
      <x:c r="A1395" s="85"/>
      <x:c r="B1395" s="86"/>
    </x:row>
    <x:row r="1396">
      <x:c r="A1396" s="85"/>
      <x:c r="B1396" s="86"/>
    </x:row>
    <x:row r="1397">
      <x:c r="A1397" s="85"/>
      <x:c r="B1397" s="86"/>
    </x:row>
    <x:row r="1398">
      <x:c r="A1398" s="85"/>
      <x:c r="B1398" s="86"/>
    </x:row>
    <x:row r="1399">
      <x:c r="A1399" s="85"/>
      <x:c r="B1399" s="86"/>
    </x:row>
    <x:row r="1400">
      <x:c r="A1400" s="85"/>
      <x:c r="B1400" s="86"/>
    </x:row>
    <x:row r="1401">
      <x:c r="A1401" s="85"/>
      <x:c r="B1401" s="86"/>
    </x:row>
    <x:row r="1402">
      <x:c r="A1402" s="85"/>
      <x:c r="B1402" s="86"/>
    </x:row>
    <x:row r="1403">
      <x:c r="A1403" s="85"/>
      <x:c r="B1403" s="86"/>
    </x:row>
    <x:row r="1404">
      <x:c r="A1404" s="85"/>
      <x:c r="B1404" s="86"/>
    </x:row>
    <x:row r="1405">
      <x:c r="A1405" s="85"/>
      <x:c r="B1405" s="86"/>
    </x:row>
    <x:row r="1406">
      <x:c r="A1406" s="85"/>
      <x:c r="B1406" s="86"/>
    </x:row>
    <x:row r="1407">
      <x:c r="A1407" s="85"/>
      <x:c r="B1407" s="86"/>
    </x:row>
    <x:row r="1408">
      <x:c r="A1408" s="85"/>
      <x:c r="B1408" s="86"/>
    </x:row>
    <x:row r="1409">
      <x:c r="A1409" s="85"/>
      <x:c r="B1409" s="86"/>
    </x:row>
    <x:row r="1410">
      <x:c r="A1410" s="85"/>
      <x:c r="B1410" s="86"/>
    </x:row>
    <x:row r="1411">
      <x:c r="A1411" s="85"/>
      <x:c r="B1411" s="86"/>
    </x:row>
    <x:row r="1412">
      <x:c r="A1412" s="85"/>
      <x:c r="B1412" s="86"/>
    </x:row>
    <x:row r="1413">
      <x:c r="A1413" s="85"/>
      <x:c r="B1413" s="86"/>
    </x:row>
    <x:row r="1414">
      <x:c r="A1414" s="85"/>
      <x:c r="B1414" s="86"/>
    </x:row>
    <x:row r="1415">
      <x:c r="A1415" s="85"/>
      <x:c r="B1415" s="86"/>
    </x:row>
    <x:row r="1416">
      <x:c r="A1416" s="85"/>
      <x:c r="B1416" s="86"/>
    </x:row>
    <x:row r="1417">
      <x:c r="A1417" s="85"/>
      <x:c r="B1417" s="86"/>
    </x:row>
    <x:row r="1418">
      <x:c r="A1418" s="85"/>
      <x:c r="B1418" s="86"/>
    </x:row>
    <x:row r="1419">
      <x:c r="A1419" s="85"/>
      <x:c r="B1419" s="86"/>
    </x:row>
    <x:row r="1420">
      <x:c r="A1420" s="85"/>
      <x:c r="B1420" s="86"/>
    </x:row>
    <x:row r="1421">
      <x:c r="A1421" s="85"/>
      <x:c r="B1421" s="86"/>
    </x:row>
    <x:row r="1422">
      <x:c r="A1422" s="85"/>
      <x:c r="B1422" s="86"/>
    </x:row>
    <x:row r="1423">
      <x:c r="A1423" s="85"/>
      <x:c r="B1423" s="86"/>
    </x:row>
    <x:row r="1424">
      <x:c r="A1424" s="85"/>
      <x:c r="B1424" s="86"/>
    </x:row>
    <x:row r="1425">
      <x:c r="A1425" s="85"/>
      <x:c r="B1425" s="86"/>
    </x:row>
    <x:row r="1426">
      <x:c r="A1426" s="85"/>
      <x:c r="B1426" s="86"/>
    </x:row>
    <x:row r="1427">
      <x:c r="A1427" s="85"/>
      <x:c r="B1427" s="86"/>
    </x:row>
    <x:row r="1428">
      <x:c r="A1428" s="85"/>
      <x:c r="B1428" s="86"/>
    </x:row>
    <x:row r="1429">
      <x:c r="A1429" s="85"/>
      <x:c r="B1429" s="86"/>
    </x:row>
    <x:row r="1430">
      <x:c r="A1430" s="85"/>
      <x:c r="B1430" s="86"/>
    </x:row>
    <x:row r="1431">
      <x:c r="A1431" s="85"/>
      <x:c r="B1431" s="86"/>
    </x:row>
    <x:row r="1432">
      <x:c r="A1432" s="85"/>
      <x:c r="B1432" s="86"/>
    </x:row>
    <x:row r="1433">
      <x:c r="A1433" s="85"/>
      <x:c r="B1433" s="86"/>
    </x:row>
    <x:row r="1434">
      <x:c r="A1434" s="85"/>
      <x:c r="B1434" s="86"/>
    </x:row>
    <x:row r="1435">
      <x:c r="A1435" s="85"/>
      <x:c r="B1435" s="86"/>
    </x:row>
    <x:row r="1436">
      <x:c r="A1436" s="85"/>
      <x:c r="B1436" s="86"/>
    </x:row>
    <x:row r="1437">
      <x:c r="A1437" s="85"/>
      <x:c r="B1437" s="86"/>
    </x:row>
    <x:row r="1438">
      <x:c r="A1438" s="85"/>
      <x:c r="B1438" s="86"/>
    </x:row>
    <x:row r="1439">
      <x:c r="A1439" s="85"/>
      <x:c r="B1439" s="86"/>
    </x:row>
    <x:row r="1440">
      <x:c r="A1440" s="85"/>
      <x:c r="B1440" s="86"/>
    </x:row>
    <x:row r="1441">
      <x:c r="A1441" s="85"/>
      <x:c r="B1441" s="86"/>
    </x:row>
    <x:row r="1442">
      <x:c r="A1442" s="85"/>
      <x:c r="B1442" s="86"/>
    </x:row>
    <x:row r="1443">
      <x:c r="A1443" s="85"/>
      <x:c r="B1443" s="86"/>
    </x:row>
    <x:row r="1444">
      <x:c r="A1444" s="85"/>
      <x:c r="B1444" s="86"/>
    </x:row>
    <x:row r="1445">
      <x:c r="A1445" s="85"/>
      <x:c r="B1445" s="86"/>
    </x:row>
    <x:row r="1446">
      <x:c r="A1446" s="85"/>
      <x:c r="B1446" s="86"/>
    </x:row>
    <x:row r="1447">
      <x:c r="A1447" s="85"/>
      <x:c r="B1447" s="86"/>
    </x:row>
    <x:row r="1448">
      <x:c r="A1448" s="85"/>
      <x:c r="B1448" s="86"/>
    </x:row>
    <x:row r="1449">
      <x:c r="A1449" s="85"/>
      <x:c r="B1449" s="86"/>
    </x:row>
    <x:row r="1450">
      <x:c r="A1450" s="85"/>
      <x:c r="B1450" s="86"/>
    </x:row>
    <x:row r="1451">
      <x:c r="A1451" s="85"/>
      <x:c r="B1451" s="86"/>
    </x:row>
    <x:row r="1452">
      <x:c r="A1452" s="85"/>
      <x:c r="B1452" s="86"/>
    </x:row>
    <x:row r="1453">
      <x:c r="A1453" s="85"/>
      <x:c r="B1453" s="86"/>
    </x:row>
    <x:row r="1454">
      <x:c r="A1454" s="85"/>
      <x:c r="B1454" s="86"/>
    </x:row>
    <x:row r="1455">
      <x:c r="A1455" s="85"/>
      <x:c r="B1455" s="86"/>
    </x:row>
    <x:row r="1456">
      <x:c r="A1456" s="85"/>
      <x:c r="B1456" s="86"/>
    </x:row>
    <x:row r="1457">
      <x:c r="A1457" s="85"/>
      <x:c r="B1457" s="86"/>
    </x:row>
    <x:row r="1458">
      <x:c r="A1458" s="85"/>
      <x:c r="B1458" s="86"/>
    </x:row>
    <x:row r="1459">
      <x:c r="A1459" s="85"/>
      <x:c r="B1459" s="86"/>
    </x:row>
    <x:row r="1460">
      <x:c r="A1460" s="85"/>
      <x:c r="B1460" s="86"/>
    </x:row>
    <x:row r="1461">
      <x:c r="A1461" s="85"/>
      <x:c r="B1461" s="86"/>
    </x:row>
    <x:row r="1462">
      <x:c r="A1462" s="85"/>
      <x:c r="B1462" s="86"/>
    </x:row>
    <x:row r="1463">
      <x:c r="A1463" s="85"/>
      <x:c r="B1463" s="86"/>
    </x:row>
    <x:row r="1464">
      <x:c r="A1464" s="85"/>
      <x:c r="B1464" s="86"/>
    </x:row>
    <x:row r="1465">
      <x:c r="A1465" s="85"/>
      <x:c r="B1465" s="86"/>
    </x:row>
    <x:row r="1466">
      <x:c r="A1466" s="85"/>
      <x:c r="B1466" s="86"/>
    </x:row>
    <x:row r="1467">
      <x:c r="A1467" s="85"/>
      <x:c r="B1467" s="86"/>
    </x:row>
    <x:row r="1468">
      <x:c r="A1468" s="85"/>
      <x:c r="B1468" s="86"/>
    </x:row>
    <x:row r="1469">
      <x:c r="A1469" s="85"/>
      <x:c r="B1469" s="86"/>
    </x:row>
    <x:row r="1470">
      <x:c r="A1470" s="85"/>
      <x:c r="B1470" s="86"/>
    </x:row>
    <x:row r="1471">
      <x:c r="A1471" s="85"/>
      <x:c r="B1471" s="86"/>
    </x:row>
    <x:row r="1472">
      <x:c r="A1472" s="85"/>
      <x:c r="B1472" s="86"/>
    </x:row>
    <x:row r="1473">
      <x:c r="A1473" s="85"/>
      <x:c r="B1473" s="86"/>
    </x:row>
    <x:row r="1474">
      <x:c r="A1474" s="85"/>
      <x:c r="B1474" s="86"/>
    </x:row>
    <x:row r="1475">
      <x:c r="A1475" s="85"/>
      <x:c r="B1475" s="86"/>
    </x:row>
    <x:row r="1476">
      <x:c r="A1476" s="85"/>
      <x:c r="B1476" s="86"/>
    </x:row>
    <x:row r="1477">
      <x:c r="A1477" s="85"/>
      <x:c r="B1477" s="86"/>
    </x:row>
    <x:row r="1478">
      <x:c r="A1478" s="85"/>
      <x:c r="B1478" s="86"/>
    </x:row>
    <x:row r="1479">
      <x:c r="A1479" s="85"/>
      <x:c r="B1479" s="86"/>
    </x:row>
    <x:row r="1480">
      <x:c r="A1480" s="85"/>
      <x:c r="B1480" s="86"/>
    </x:row>
    <x:row r="1481">
      <x:c r="A1481" s="85"/>
      <x:c r="B1481" s="86"/>
    </x:row>
    <x:row r="1482">
      <x:c r="A1482" s="85"/>
      <x:c r="B1482" s="86"/>
    </x:row>
    <x:row r="1483">
      <x:c r="A1483" s="85"/>
      <x:c r="B1483" s="86"/>
    </x:row>
    <x:row r="1484">
      <x:c r="A1484" s="85"/>
      <x:c r="B1484" s="86"/>
    </x:row>
    <x:row r="1485">
      <x:c r="A1485" s="85"/>
      <x:c r="B1485" s="86"/>
    </x:row>
    <x:row r="1486">
      <x:c r="A1486" s="85"/>
      <x:c r="B1486" s="86"/>
    </x:row>
    <x:row r="1487">
      <x:c r="A1487" s="85"/>
      <x:c r="B1487" s="86"/>
    </x:row>
    <x:row r="1488">
      <x:c r="A1488" s="85"/>
      <x:c r="B1488" s="86"/>
    </x:row>
    <x:row r="1489">
      <x:c r="A1489" s="85"/>
      <x:c r="B1489" s="86"/>
    </x:row>
    <x:row r="1490">
      <x:c r="A1490" s="85"/>
      <x:c r="B1490" s="86"/>
    </x:row>
    <x:row r="1491">
      <x:c r="A1491" s="85"/>
      <x:c r="B1491" s="86"/>
    </x:row>
    <x:row r="1492">
      <x:c r="A1492" s="85"/>
      <x:c r="B1492" s="86"/>
    </x:row>
    <x:row r="1493">
      <x:c r="A1493" s="85"/>
      <x:c r="B1493" s="86"/>
    </x:row>
    <x:row r="1494">
      <x:c r="A1494" s="85"/>
      <x:c r="B1494" s="86"/>
    </x:row>
    <x:row r="1495">
      <x:c r="A1495" s="85"/>
      <x:c r="B1495" s="86"/>
    </x:row>
    <x:row r="1496">
      <x:c r="A1496" s="85"/>
      <x:c r="B1496" s="86"/>
    </x:row>
    <x:row r="1497">
      <x:c r="A1497" s="85"/>
      <x:c r="B1497" s="86"/>
    </x:row>
    <x:row r="1498">
      <x:c r="A1498" s="85"/>
      <x:c r="B1498" s="86"/>
    </x:row>
    <x:row r="1499">
      <x:c r="A1499" s="85"/>
      <x:c r="B1499" s="86"/>
    </x:row>
    <x:row r="1500">
      <x:c r="A1500" s="85"/>
      <x:c r="B1500" s="86"/>
    </x:row>
    <x:row r="1501">
      <x:c r="A1501" s="85"/>
      <x:c r="B1501" s="86"/>
    </x:row>
    <x:row r="1502">
      <x:c r="A1502" s="85"/>
      <x:c r="B1502" s="86"/>
    </x:row>
    <x:row r="1503">
      <x:c r="A1503" s="85"/>
      <x:c r="B1503" s="86"/>
    </x:row>
    <x:row r="1504">
      <x:c r="A1504" s="85"/>
      <x:c r="B1504" s="86"/>
    </x:row>
    <x:row r="1505">
      <x:c r="A1505" s="85"/>
      <x:c r="B1505" s="86"/>
    </x:row>
    <x:row r="1506">
      <x:c r="A1506" s="85"/>
      <x:c r="B1506" s="86"/>
    </x:row>
    <x:row r="1507">
      <x:c r="A1507" s="85"/>
      <x:c r="B1507" s="86"/>
    </x:row>
    <x:row r="1508">
      <x:c r="A1508" s="85"/>
      <x:c r="B1508" s="86"/>
    </x:row>
    <x:row r="1509">
      <x:c r="A1509" s="85"/>
      <x:c r="B1509" s="86"/>
    </x:row>
    <x:row r="1510">
      <x:c r="A1510" s="85"/>
      <x:c r="B1510" s="86"/>
    </x:row>
    <x:row r="1511">
      <x:c r="A1511" s="85"/>
      <x:c r="B1511" s="86"/>
    </x:row>
    <x:row r="1512">
      <x:c r="A1512" s="85"/>
      <x:c r="B1512" s="86"/>
    </x:row>
    <x:row r="1513">
      <x:c r="A1513" s="85"/>
      <x:c r="B1513" s="86"/>
    </x:row>
    <x:row r="1514">
      <x:c r="A1514" s="85"/>
      <x:c r="B1514" s="86"/>
    </x:row>
    <x:row r="1515">
      <x:c r="A1515" s="85"/>
      <x:c r="B1515" s="86"/>
    </x:row>
    <x:row r="1516">
      <x:c r="A1516" s="85"/>
      <x:c r="B1516" s="86"/>
    </x:row>
    <x:row r="1517">
      <x:c r="A1517" s="85"/>
      <x:c r="B1517" s="86"/>
    </x:row>
    <x:row r="1518">
      <x:c r="A1518" s="85"/>
      <x:c r="B1518" s="86"/>
    </x:row>
    <x:row r="1519">
      <x:c r="A1519" s="85"/>
      <x:c r="B1519" s="86"/>
    </x:row>
    <x:row r="1520">
      <x:c r="A1520" s="85"/>
      <x:c r="B1520" s="86"/>
    </x:row>
    <x:row r="1521">
      <x:c r="A1521" s="85"/>
      <x:c r="B1521" s="86"/>
    </x:row>
    <x:row r="1522">
      <x:c r="A1522" s="85"/>
      <x:c r="B1522" s="86"/>
    </x:row>
    <x:row r="1523">
      <x:c r="A1523" s="85"/>
      <x:c r="B1523" s="86"/>
    </x:row>
    <x:row r="1524">
      <x:c r="A1524" s="85"/>
      <x:c r="B1524" s="86"/>
    </x:row>
    <x:row r="1525">
      <x:c r="A1525" s="85"/>
      <x:c r="B1525" s="86"/>
    </x:row>
    <x:row r="1526">
      <x:c r="A1526" s="85"/>
      <x:c r="B1526" s="86"/>
    </x:row>
    <x:row r="1527">
      <x:c r="A1527" s="85"/>
      <x:c r="B1527" s="86"/>
    </x:row>
    <x:row r="1528">
      <x:c r="A1528" s="85"/>
      <x:c r="B1528" s="86"/>
    </x:row>
    <x:row r="1529">
      <x:c r="A1529" s="85"/>
      <x:c r="B1529" s="86"/>
    </x:row>
    <x:row r="1530">
      <x:c r="A1530" s="85"/>
      <x:c r="B1530" s="86"/>
    </x:row>
    <x:row r="1531">
      <x:c r="A1531" s="85"/>
      <x:c r="B1531" s="86"/>
    </x:row>
    <x:row r="1532">
      <x:c r="A1532" s="85"/>
      <x:c r="B1532" s="86"/>
    </x:row>
    <x:row r="1533">
      <x:c r="A1533" s="85"/>
      <x:c r="B1533" s="86"/>
    </x:row>
    <x:row r="1534">
      <x:c r="A1534" s="85"/>
      <x:c r="B1534" s="86"/>
    </x:row>
    <x:row r="1535">
      <x:c r="A1535" s="85"/>
      <x:c r="B1535" s="86"/>
    </x:row>
    <x:row r="1536">
      <x:c r="A1536" s="85"/>
      <x:c r="B1536" s="86"/>
    </x:row>
    <x:row r="1537">
      <x:c r="A1537" s="85"/>
      <x:c r="B1537" s="86"/>
    </x:row>
    <x:row r="1538">
      <x:c r="A1538" s="85"/>
      <x:c r="B1538" s="86"/>
    </x:row>
    <x:row r="1539">
      <x:c r="A1539" s="85"/>
      <x:c r="B1539" s="86"/>
    </x:row>
    <x:row r="1540">
      <x:c r="A1540" s="85"/>
      <x:c r="B1540" s="86"/>
    </x:row>
    <x:row r="1541">
      <x:c r="A1541" s="85"/>
      <x:c r="B1541" s="86"/>
    </x:row>
    <x:row r="1542">
      <x:c r="A1542" s="85"/>
      <x:c r="B1542" s="86"/>
    </x:row>
    <x:row r="1543">
      <x:c r="A1543" s="85"/>
      <x:c r="B1543" s="86"/>
    </x:row>
    <x:row r="1544">
      <x:c r="A1544" s="85"/>
      <x:c r="B1544" s="86"/>
    </x:row>
    <x:row r="1545">
      <x:c r="A1545" s="85"/>
      <x:c r="B1545" s="86"/>
    </x:row>
    <x:row r="1546">
      <x:c r="A1546" s="85"/>
      <x:c r="B1546" s="86"/>
    </x:row>
    <x:row r="1547">
      <x:c r="A1547" s="85"/>
      <x:c r="B1547" s="86"/>
    </x:row>
    <x:row r="1548">
      <x:c r="A1548" s="85"/>
      <x:c r="B1548" s="86"/>
    </x:row>
    <x:row r="1549">
      <x:c r="A1549" s="85"/>
      <x:c r="B1549" s="86"/>
    </x:row>
    <x:row r="1550">
      <x:c r="A1550" s="85"/>
      <x:c r="B1550" s="86"/>
    </x:row>
    <x:row r="1551">
      <x:c r="A1551" s="85"/>
      <x:c r="B1551" s="86"/>
    </x:row>
    <x:row r="1552">
      <x:c r="A1552" s="85"/>
      <x:c r="B1552" s="86"/>
    </x:row>
    <x:row r="1553">
      <x:c r="A1553" s="85"/>
      <x:c r="B1553" s="86"/>
    </x:row>
    <x:row r="1554">
      <x:c r="A1554" s="85"/>
      <x:c r="B1554" s="86"/>
    </x:row>
    <x:row r="1555">
      <x:c r="A1555" s="85"/>
      <x:c r="B1555" s="86"/>
    </x:row>
    <x:row r="1556">
      <x:c r="A1556" s="85"/>
      <x:c r="B1556" s="86"/>
    </x:row>
    <x:row r="1557">
      <x:c r="A1557" s="85"/>
      <x:c r="B1557" s="86"/>
    </x:row>
    <x:row r="1558">
      <x:c r="A1558" s="85"/>
      <x:c r="B1558" s="86"/>
    </x:row>
    <x:row r="1559">
      <x:c r="A1559" s="85"/>
      <x:c r="B1559" s="86"/>
    </x:row>
    <x:row r="1560">
      <x:c r="A1560" s="85"/>
      <x:c r="B1560" s="86"/>
    </x:row>
    <x:row r="1561">
      <x:c r="A1561" s="85"/>
      <x:c r="B1561" s="86"/>
    </x:row>
    <x:row r="1562">
      <x:c r="A1562" s="85"/>
      <x:c r="B1562" s="86"/>
    </x:row>
    <x:row r="1563">
      <x:c r="A1563" s="85"/>
      <x:c r="B1563" s="86"/>
    </x:row>
    <x:row r="1564">
      <x:c r="A1564" s="85"/>
      <x:c r="B1564" s="86"/>
    </x:row>
    <x:row r="1565">
      <x:c r="A1565" s="85"/>
      <x:c r="B1565" s="86"/>
    </x:row>
    <x:row r="1566">
      <x:c r="A1566" s="85"/>
      <x:c r="B1566" s="86"/>
    </x:row>
    <x:row r="1567">
      <x:c r="A1567" s="85"/>
      <x:c r="B1567" s="86"/>
    </x:row>
    <x:row r="1568">
      <x:c r="A1568" s="85"/>
      <x:c r="B1568" s="86"/>
    </x:row>
    <x:row r="1569">
      <x:c r="A1569" s="85"/>
      <x:c r="B1569" s="86"/>
    </x:row>
    <x:row r="1570">
      <x:c r="A1570" s="85"/>
      <x:c r="B1570" s="86"/>
    </x:row>
    <x:row r="1571">
      <x:c r="A1571" s="85"/>
      <x:c r="B1571" s="86"/>
    </x:row>
    <x:row r="1572">
      <x:c r="A1572" s="85"/>
      <x:c r="B1572" s="86"/>
    </x:row>
    <x:row r="1573">
      <x:c r="A1573" s="85"/>
      <x:c r="B1573" s="86"/>
    </x:row>
    <x:row r="1574">
      <x:c r="A1574" s="85"/>
      <x:c r="B1574" s="86"/>
    </x:row>
    <x:row r="1575">
      <x:c r="A1575" s="85"/>
      <x:c r="B1575" s="86"/>
    </x:row>
    <x:row r="1576">
      <x:c r="A1576" s="85"/>
      <x:c r="B1576" s="86"/>
    </x:row>
    <x:row r="1577">
      <x:c r="A1577" s="85"/>
      <x:c r="B1577" s="86"/>
    </x:row>
    <x:row r="1578">
      <x:c r="A1578" s="85"/>
      <x:c r="B1578" s="86"/>
    </x:row>
    <x:row r="1579">
      <x:c r="A1579" s="85"/>
      <x:c r="B1579" s="86"/>
    </x:row>
    <x:row r="1580">
      <x:c r="A1580" s="85"/>
      <x:c r="B1580" s="86"/>
    </x:row>
    <x:row r="1581">
      <x:c r="A1581" s="85"/>
      <x:c r="B1581" s="86"/>
    </x:row>
    <x:row r="1582">
      <x:c r="A1582" s="85"/>
      <x:c r="B1582" s="86"/>
    </x:row>
    <x:row r="1583">
      <x:c r="A1583" s="85"/>
      <x:c r="B1583" s="86"/>
    </x:row>
    <x:row r="1584">
      <x:c r="A1584" s="85"/>
      <x:c r="B1584" s="86"/>
    </x:row>
    <x:row r="1585">
      <x:c r="A1585" s="85"/>
      <x:c r="B1585" s="86"/>
    </x:row>
    <x:row r="1586">
      <x:c r="A1586" s="85"/>
      <x:c r="B1586" s="86"/>
    </x:row>
    <x:row r="1587">
      <x:c r="A1587" s="85"/>
      <x:c r="B1587" s="86"/>
    </x:row>
    <x:row r="1588">
      <x:c r="A1588" s="85"/>
      <x:c r="B1588" s="86"/>
    </x:row>
    <x:row r="1589">
      <x:c r="A1589" s="85"/>
      <x:c r="B1589" s="86"/>
    </x:row>
    <x:row r="1590">
      <x:c r="A1590" s="85"/>
      <x:c r="B1590" s="86"/>
    </x:row>
    <x:row r="1591">
      <x:c r="A1591" s="85"/>
      <x:c r="B1591" s="86"/>
    </x:row>
    <x:row r="1592">
      <x:c r="A1592" s="85"/>
      <x:c r="B1592" s="86"/>
    </x:row>
    <x:row r="1593">
      <x:c r="A1593" s="85"/>
      <x:c r="B1593" s="86"/>
    </x:row>
    <x:row r="1594">
      <x:c r="A1594" s="85"/>
      <x:c r="B1594" s="86"/>
    </x:row>
    <x:row r="1595">
      <x:c r="A1595" s="85"/>
      <x:c r="B1595" s="86"/>
    </x:row>
    <x:row r="1596">
      <x:c r="A1596" s="85"/>
      <x:c r="B1596" s="86"/>
    </x:row>
    <x:row r="1597">
      <x:c r="A1597" s="85"/>
      <x:c r="B1597" s="86"/>
    </x:row>
    <x:row r="1598">
      <x:c r="A1598" s="85"/>
      <x:c r="B1598" s="86"/>
    </x:row>
    <x:row r="1599">
      <x:c r="A1599" s="85"/>
      <x:c r="B1599" s="86"/>
    </x:row>
    <x:row r="1600">
      <x:c r="A1600" s="85"/>
      <x:c r="B1600" s="86"/>
    </x:row>
    <x:row r="1601">
      <x:c r="A1601" s="85"/>
      <x:c r="B1601" s="86"/>
    </x:row>
    <x:row r="1602">
      <x:c r="A1602" s="85"/>
      <x:c r="B1602" s="86"/>
    </x:row>
    <x:row r="1603">
      <x:c r="A1603" s="85"/>
      <x:c r="B1603" s="86"/>
    </x:row>
    <x:row r="1604">
      <x:c r="A1604" s="85"/>
      <x:c r="B1604" s="86"/>
    </x:row>
    <x:row r="1605">
      <x:c r="A1605" s="85"/>
      <x:c r="B1605" s="86"/>
    </x:row>
    <x:row r="1606">
      <x:c r="A1606" s="85"/>
      <x:c r="B1606" s="86"/>
    </x:row>
    <x:row r="1607">
      <x:c r="A1607" s="85"/>
      <x:c r="B1607" s="86"/>
    </x:row>
    <x:row r="1608">
      <x:c r="A1608" s="85"/>
      <x:c r="B1608" s="86"/>
    </x:row>
    <x:row r="1609">
      <x:c r="A1609" s="85"/>
      <x:c r="B1609" s="86"/>
    </x:row>
    <x:row r="1610">
      <x:c r="A1610" s="85"/>
      <x:c r="B1610" s="86"/>
    </x:row>
    <x:row r="1611">
      <x:c r="A1611" s="85"/>
      <x:c r="B1611" s="86"/>
    </x:row>
    <x:row r="1612">
      <x:c r="A1612" s="85"/>
      <x:c r="B1612" s="86"/>
    </x:row>
    <x:row r="1613">
      <x:c r="A1613" s="85"/>
      <x:c r="B1613" s="86"/>
    </x:row>
    <x:row r="1614">
      <x:c r="A1614" s="85"/>
      <x:c r="B1614" s="86"/>
    </x:row>
    <x:row r="1615">
      <x:c r="A1615" s="85"/>
      <x:c r="B1615" s="86"/>
    </x:row>
    <x:row r="1616">
      <x:c r="A1616" s="85"/>
      <x:c r="B1616" s="86"/>
    </x:row>
    <x:row r="1617">
      <x:c r="A1617" s="85"/>
      <x:c r="B1617" s="86"/>
    </x:row>
    <x:row r="1618">
      <x:c r="A1618" s="85"/>
      <x:c r="B1618" s="86"/>
    </x:row>
    <x:row r="1619">
      <x:c r="A1619" s="85"/>
      <x:c r="B1619" s="86"/>
    </x:row>
    <x:row r="1620">
      <x:c r="A1620" s="85"/>
      <x:c r="B1620" s="86"/>
    </x:row>
    <x:row r="1621">
      <x:c r="A1621" s="85"/>
      <x:c r="B1621" s="86"/>
    </x:row>
    <x:row r="1622">
      <x:c r="A1622" s="85"/>
      <x:c r="B1622" s="86"/>
    </x:row>
    <x:row r="1623">
      <x:c r="A1623" s="85"/>
      <x:c r="B1623" s="86"/>
    </x:row>
    <x:row r="1624">
      <x:c r="A1624" s="85"/>
      <x:c r="B1624" s="86"/>
    </x:row>
    <x:row r="1625">
      <x:c r="A1625" s="85"/>
      <x:c r="B1625" s="86"/>
    </x:row>
    <x:row r="1626">
      <x:c r="A1626" s="85"/>
      <x:c r="B1626" s="86"/>
    </x:row>
    <x:row r="1627">
      <x:c r="A1627" s="85"/>
      <x:c r="B1627" s="86"/>
    </x:row>
    <x:row r="1628">
      <x:c r="A1628" s="85"/>
      <x:c r="B1628" s="86"/>
    </x:row>
    <x:row r="1629">
      <x:c r="A1629" s="85"/>
      <x:c r="B1629" s="86"/>
    </x:row>
    <x:row r="1630">
      <x:c r="A1630" s="85"/>
      <x:c r="B1630" s="86"/>
    </x:row>
    <x:row r="1631">
      <x:c r="A1631" s="85"/>
      <x:c r="B1631" s="86"/>
    </x:row>
    <x:row r="1632">
      <x:c r="A1632" s="85"/>
      <x:c r="B1632" s="86"/>
    </x:row>
    <x:row r="1633">
      <x:c r="A1633" s="85"/>
      <x:c r="B1633" s="86"/>
    </x:row>
    <x:row r="1634">
      <x:c r="A1634" s="85"/>
      <x:c r="B1634" s="86"/>
    </x:row>
    <x:row r="1635">
      <x:c r="A1635" s="85"/>
      <x:c r="B1635" s="86"/>
    </x:row>
    <x:row r="1636">
      <x:c r="A1636" s="85"/>
      <x:c r="B1636" s="86"/>
    </x:row>
    <x:row r="1637">
      <x:c r="A1637" s="85"/>
      <x:c r="B1637" s="86"/>
    </x:row>
    <x:row r="1638">
      <x:c r="A1638" s="85"/>
      <x:c r="B1638" s="86"/>
    </x:row>
    <x:row r="1639">
      <x:c r="A1639" s="85"/>
      <x:c r="B1639" s="86"/>
    </x:row>
    <x:row r="1640">
      <x:c r="A1640" s="85"/>
      <x:c r="B1640" s="86"/>
    </x:row>
    <x:row r="1641">
      <x:c r="A1641" s="85"/>
      <x:c r="B1641" s="86"/>
    </x:row>
    <x:row r="1642">
      <x:c r="A1642" s="85"/>
      <x:c r="B1642" s="86"/>
    </x:row>
    <x:row r="1643">
      <x:c r="A1643" s="85"/>
      <x:c r="B1643" s="86"/>
    </x:row>
    <x:row r="1644">
      <x:c r="A1644" s="85"/>
      <x:c r="B1644" s="86"/>
    </x:row>
    <x:row r="1645">
      <x:c r="A1645" s="85"/>
      <x:c r="B1645" s="86"/>
    </x:row>
    <x:row r="1646">
      <x:c r="A1646" s="85"/>
      <x:c r="B1646" s="86"/>
    </x:row>
    <x:row r="1647">
      <x:c r="A1647" s="85"/>
      <x:c r="B1647" s="86"/>
    </x:row>
    <x:row r="1648">
      <x:c r="A1648" s="85"/>
      <x:c r="B1648" s="86"/>
    </x:row>
    <x:row r="1649">
      <x:c r="A1649" s="85"/>
      <x:c r="B1649" s="86"/>
    </x:row>
    <x:row r="1650">
      <x:c r="A1650" s="85"/>
      <x:c r="B1650" s="86"/>
    </x:row>
    <x:row r="1651">
      <x:c r="A1651" s="85"/>
      <x:c r="B1651" s="86"/>
    </x:row>
    <x:row r="1652">
      <x:c r="A1652" s="85"/>
      <x:c r="B1652" s="86"/>
    </x:row>
    <x:row r="1653">
      <x:c r="A1653" s="85"/>
      <x:c r="B1653" s="86"/>
    </x:row>
    <x:row r="1654">
      <x:c r="A1654" s="85"/>
      <x:c r="B1654" s="86"/>
    </x:row>
    <x:row r="1655">
      <x:c r="A1655" s="85"/>
      <x:c r="B1655" s="86"/>
    </x:row>
    <x:row r="1656">
      <x:c r="A1656" s="85"/>
      <x:c r="B1656" s="86"/>
    </x:row>
    <x:row r="1657">
      <x:c r="A1657" s="85"/>
      <x:c r="B1657" s="86"/>
    </x:row>
    <x:row r="1658">
      <x:c r="A1658" s="85"/>
      <x:c r="B1658" s="86"/>
    </x:row>
    <x:row r="1659">
      <x:c r="A1659" s="85"/>
      <x:c r="B1659" s="86"/>
    </x:row>
    <x:row r="1660">
      <x:c r="A1660" s="85"/>
      <x:c r="B1660" s="86"/>
    </x:row>
    <x:row r="1661">
      <x:c r="A1661" s="85"/>
      <x:c r="B1661" s="86"/>
    </x:row>
    <x:row r="1662">
      <x:c r="A1662" s="85"/>
      <x:c r="B1662" s="86"/>
    </x:row>
    <x:row r="1663">
      <x:c r="A1663" s="85"/>
      <x:c r="B1663" s="86"/>
    </x:row>
    <x:row r="1664">
      <x:c r="A1664" s="85"/>
      <x:c r="B1664" s="86"/>
    </x:row>
    <x:row r="1665">
      <x:c r="A1665" s="85"/>
      <x:c r="B1665" s="86"/>
    </x:row>
    <x:row r="1666">
      <x:c r="A1666" s="85"/>
      <x:c r="B1666" s="86"/>
    </x:row>
    <x:row r="1667">
      <x:c r="A1667" s="85"/>
      <x:c r="B1667" s="86"/>
    </x:row>
    <x:row r="1668">
      <x:c r="A1668" s="85"/>
      <x:c r="B1668" s="86"/>
    </x:row>
    <x:row r="1669">
      <x:c r="A1669" s="85"/>
      <x:c r="B1669" s="86"/>
    </x:row>
    <x:row r="1670">
      <x:c r="A1670" s="85"/>
      <x:c r="B1670" s="86"/>
    </x:row>
    <x:row r="1671">
      <x:c r="A1671" s="85"/>
      <x:c r="B1671" s="86"/>
    </x:row>
    <x:row r="1672">
      <x:c r="A1672" s="85"/>
      <x:c r="B1672" s="86"/>
    </x:row>
    <x:row r="1673">
      <x:c r="A1673" s="85"/>
      <x:c r="B1673" s="86"/>
    </x:row>
    <x:row r="1674">
      <x:c r="A1674" s="85"/>
      <x:c r="B1674" s="86"/>
    </x:row>
    <x:row r="1675">
      <x:c r="A1675" s="85"/>
      <x:c r="B1675" s="86"/>
    </x:row>
    <x:row r="1676">
      <x:c r="A1676" s="85"/>
      <x:c r="B1676" s="86"/>
    </x:row>
    <x:row r="1677">
      <x:c r="A1677" s="85"/>
      <x:c r="B1677" s="86"/>
    </x:row>
    <x:row r="1678">
      <x:c r="A1678" s="85"/>
      <x:c r="B1678" s="86"/>
    </x:row>
    <x:row r="1679">
      <x:c r="A1679" s="85"/>
      <x:c r="B1679" s="86"/>
    </x:row>
    <x:row r="1680">
      <x:c r="A1680" s="85"/>
      <x:c r="B1680" s="86"/>
    </x:row>
    <x:row r="1681">
      <x:c r="A1681" s="85"/>
      <x:c r="B1681" s="86"/>
    </x:row>
    <x:row r="1682">
      <x:c r="A1682" s="85"/>
      <x:c r="B1682" s="86"/>
    </x:row>
    <x:row r="1683">
      <x:c r="A1683" s="85"/>
      <x:c r="B1683" s="86"/>
    </x:row>
    <x:row r="1684">
      <x:c r="A1684" s="85"/>
      <x:c r="B1684" s="86"/>
    </x:row>
    <x:row r="1685">
      <x:c r="A1685" s="85"/>
      <x:c r="B1685" s="86"/>
    </x:row>
    <x:row r="1686">
      <x:c r="A1686" s="85"/>
      <x:c r="B1686" s="86"/>
    </x:row>
    <x:row r="1687">
      <x:c r="A1687" s="85"/>
      <x:c r="B1687" s="86"/>
    </x:row>
    <x:row r="1688">
      <x:c r="A1688" s="85"/>
      <x:c r="B1688" s="86"/>
    </x:row>
    <x:row r="1689">
      <x:c r="A1689" s="85"/>
      <x:c r="B1689" s="86"/>
    </x:row>
    <x:row r="1690">
      <x:c r="A1690" s="85"/>
      <x:c r="B1690" s="86"/>
    </x:row>
    <x:row r="1691">
      <x:c r="A1691" s="85"/>
      <x:c r="B1691" s="86"/>
    </x:row>
    <x:row r="1692">
      <x:c r="A1692" s="85"/>
      <x:c r="B1692" s="86"/>
    </x:row>
    <x:row r="1693">
      <x:c r="A1693" s="85"/>
      <x:c r="B1693" s="86"/>
    </x:row>
    <x:row r="1694">
      <x:c r="A1694" s="85"/>
      <x:c r="B1694" s="86"/>
    </x:row>
    <x:row r="1695">
      <x:c r="A1695" s="85"/>
      <x:c r="B1695" s="86"/>
    </x:row>
    <x:row r="1696">
      <x:c r="A1696" s="85"/>
      <x:c r="B1696" s="86"/>
    </x:row>
    <x:row r="1697">
      <x:c r="A1697" s="85"/>
      <x:c r="B1697" s="86"/>
    </x:row>
    <x:row r="1698">
      <x:c r="A1698" s="85"/>
      <x:c r="B1698" s="86"/>
    </x:row>
    <x:row r="1699">
      <x:c r="A1699" s="85"/>
      <x:c r="B1699" s="86"/>
    </x:row>
    <x:row r="1700">
      <x:c r="A1700" s="85"/>
      <x:c r="B1700" s="86"/>
    </x:row>
    <x:row r="1701">
      <x:c r="A1701" s="85"/>
      <x:c r="B1701" s="86"/>
    </x:row>
    <x:row r="1702">
      <x:c r="A1702" s="85"/>
      <x:c r="B1702" s="86"/>
    </x:row>
    <x:row r="1703">
      <x:c r="A1703" s="85"/>
      <x:c r="B1703" s="86"/>
    </x:row>
    <x:row r="1704">
      <x:c r="A1704" s="85"/>
      <x:c r="B1704" s="86"/>
    </x:row>
    <x:row r="1705">
      <x:c r="A1705" s="85"/>
      <x:c r="B1705" s="86"/>
    </x:row>
    <x:row r="1706">
      <x:c r="A1706" s="85"/>
      <x:c r="B1706" s="86"/>
    </x:row>
    <x:row r="1707">
      <x:c r="A1707" s="85"/>
      <x:c r="B1707" s="86"/>
    </x:row>
    <x:row r="1708">
      <x:c r="A1708" s="85"/>
      <x:c r="B1708" s="86"/>
    </x:row>
    <x:row r="1709">
      <x:c r="A1709" s="85"/>
      <x:c r="B1709" s="86"/>
    </x:row>
    <x:row r="1710">
      <x:c r="A1710" s="85"/>
      <x:c r="B1710" s="86"/>
    </x:row>
    <x:row r="1711">
      <x:c r="A1711" s="85"/>
      <x:c r="B1711" s="86"/>
    </x:row>
    <x:row r="1712">
      <x:c r="A1712" s="85"/>
      <x:c r="B1712" s="86"/>
    </x:row>
    <x:row r="1713">
      <x:c r="A1713" s="85"/>
      <x:c r="B1713" s="86"/>
    </x:row>
    <x:row r="1714">
      <x:c r="A1714" s="85"/>
      <x:c r="B1714" s="86"/>
    </x:row>
    <x:row r="1715">
      <x:c r="A1715" s="85"/>
      <x:c r="B1715" s="86"/>
    </x:row>
    <x:row r="1716">
      <x:c r="A1716" s="85"/>
      <x:c r="B1716" s="86"/>
    </x:row>
    <x:row r="1717">
      <x:c r="A1717" s="85"/>
      <x:c r="B1717" s="86"/>
    </x:row>
    <x:row r="1718">
      <x:c r="A1718" s="85"/>
      <x:c r="B1718" s="86"/>
    </x:row>
    <x:row r="1719">
      <x:c r="A1719" s="85"/>
      <x:c r="B1719" s="86"/>
    </x:row>
    <x:row r="1720">
      <x:c r="A1720" s="85"/>
      <x:c r="B1720" s="86"/>
    </x:row>
    <x:row r="1721">
      <x:c r="A1721" s="85"/>
      <x:c r="B1721" s="86"/>
    </x:row>
    <x:row r="1722">
      <x:c r="A1722" s="85"/>
      <x:c r="B1722" s="86"/>
    </x:row>
    <x:row r="1723">
      <x:c r="A1723" s="85"/>
      <x:c r="B1723" s="86"/>
    </x:row>
    <x:row r="1724">
      <x:c r="A1724" s="85"/>
      <x:c r="B1724" s="86"/>
    </x:row>
    <x:row r="1725">
      <x:c r="A1725" s="85"/>
      <x:c r="B1725" s="86"/>
    </x:row>
    <x:row r="1726">
      <x:c r="A1726" s="85"/>
      <x:c r="B1726" s="86"/>
    </x:row>
    <x:row r="1727">
      <x:c r="A1727" s="85"/>
      <x:c r="B1727" s="86"/>
    </x:row>
    <x:row r="1728">
      <x:c r="A1728" s="85"/>
      <x:c r="B1728" s="86"/>
    </x:row>
    <x:row r="1729">
      <x:c r="A1729" s="85"/>
      <x:c r="B1729" s="86"/>
    </x:row>
    <x:row r="1730">
      <x:c r="A1730" s="85"/>
      <x:c r="B1730" s="86"/>
    </x:row>
    <x:row r="1731">
      <x:c r="A1731" s="85"/>
      <x:c r="B1731" s="86"/>
    </x:row>
    <x:row r="1732">
      <x:c r="A1732" s="85"/>
      <x:c r="B1732" s="86"/>
    </x:row>
    <x:row r="1733">
      <x:c r="A1733" s="85"/>
      <x:c r="B1733" s="86"/>
    </x:row>
    <x:row r="1734">
      <x:c r="A1734" s="85"/>
      <x:c r="B1734" s="86"/>
    </x:row>
    <x:row r="1735">
      <x:c r="A1735" s="85"/>
      <x:c r="B1735" s="86"/>
    </x:row>
    <x:row r="1736">
      <x:c r="A1736" s="85"/>
      <x:c r="B1736" s="86"/>
    </x:row>
    <x:row r="1737">
      <x:c r="A1737" s="85"/>
      <x:c r="B1737" s="86"/>
    </x:row>
    <x:row r="1738">
      <x:c r="A1738" s="85"/>
      <x:c r="B1738" s="86"/>
    </x:row>
    <x:row r="1739">
      <x:c r="A1739" s="85"/>
      <x:c r="B1739" s="86"/>
    </x:row>
    <x:row r="1740">
      <x:c r="A1740" s="85"/>
      <x:c r="B1740" s="86"/>
    </x:row>
    <x:row r="1741">
      <x:c r="A1741" s="85"/>
      <x:c r="B1741" s="86"/>
    </x:row>
    <x:row r="1742">
      <x:c r="A1742" s="85"/>
      <x:c r="B1742" s="86"/>
    </x:row>
    <x:row r="1743">
      <x:c r="A1743" s="85"/>
      <x:c r="B1743" s="86"/>
    </x:row>
    <x:row r="1744">
      <x:c r="A1744" s="85"/>
      <x:c r="B1744" s="86"/>
    </x:row>
    <x:row r="1745">
      <x:c r="A1745" s="85"/>
      <x:c r="B1745" s="86"/>
    </x:row>
    <x:row r="1746">
      <x:c r="A1746" s="85"/>
      <x:c r="B1746" s="86"/>
    </x:row>
    <x:row r="1747">
      <x:c r="A1747" s="85"/>
      <x:c r="B1747" s="86"/>
    </x:row>
    <x:row r="1748">
      <x:c r="A1748" s="85"/>
      <x:c r="B1748" s="86"/>
    </x:row>
    <x:row r="1749">
      <x:c r="A1749" s="85"/>
      <x:c r="B1749" s="86"/>
    </x:row>
    <x:row r="1750">
      <x:c r="A1750" s="85"/>
      <x:c r="B1750" s="86"/>
    </x:row>
    <x:row r="1751">
      <x:c r="A1751" s="85"/>
      <x:c r="B1751" s="86"/>
    </x:row>
    <x:row r="1752">
      <x:c r="A1752" s="85"/>
      <x:c r="B1752" s="86"/>
    </x:row>
    <x:row r="1753">
      <x:c r="A1753" s="85"/>
      <x:c r="B1753" s="86"/>
    </x:row>
    <x:row r="1754">
      <x:c r="A1754" s="85"/>
      <x:c r="B1754" s="86"/>
    </x:row>
    <x:row r="1755">
      <x:c r="A1755" s="85"/>
      <x:c r="B1755" s="86"/>
    </x:row>
    <x:row r="1756">
      <x:c r="A1756" s="85"/>
      <x:c r="B1756" s="86"/>
    </x:row>
    <x:row r="1757">
      <x:c r="A1757" s="85"/>
      <x:c r="B1757" s="86"/>
    </x:row>
    <x:row r="1758">
      <x:c r="A1758" s="85"/>
      <x:c r="B1758" s="86"/>
    </x:row>
    <x:row r="1759">
      <x:c r="A1759" s="85"/>
      <x:c r="B1759" s="86"/>
    </x:row>
    <x:row r="1760">
      <x:c r="A1760" s="85"/>
      <x:c r="B1760" s="86"/>
    </x:row>
    <x:row r="1761">
      <x:c r="A1761" s="85"/>
      <x:c r="B1761" s="86"/>
    </x:row>
    <x:row r="1762">
      <x:c r="A1762" s="85"/>
      <x:c r="B1762" s="86"/>
    </x:row>
    <x:row r="1763">
      <x:c r="A1763" s="85"/>
      <x:c r="B1763" s="86"/>
    </x:row>
    <x:row r="1764">
      <x:c r="A1764" s="85"/>
      <x:c r="B1764" s="86"/>
    </x:row>
    <x:row r="1765">
      <x:c r="A1765" s="85"/>
      <x:c r="B1765" s="86"/>
    </x:row>
    <x:row r="1766">
      <x:c r="A1766" s="85"/>
      <x:c r="B1766" s="86"/>
    </x:row>
    <x:row r="1767">
      <x:c r="A1767" s="85"/>
      <x:c r="B1767" s="86"/>
    </x:row>
    <x:row r="1768">
      <x:c r="A1768" s="85"/>
      <x:c r="B1768" s="86"/>
    </x:row>
    <x:row r="1769">
      <x:c r="A1769" s="85"/>
      <x:c r="B1769" s="86"/>
    </x:row>
    <x:row r="1770">
      <x:c r="A1770" s="85"/>
      <x:c r="B1770" s="86"/>
    </x:row>
    <x:row r="1771">
      <x:c r="A1771" s="85"/>
      <x:c r="B1771" s="86"/>
    </x:row>
    <x:row r="1772">
      <x:c r="A1772" s="85"/>
      <x:c r="B1772" s="86"/>
    </x:row>
    <x:row r="1773">
      <x:c r="A1773" s="85"/>
      <x:c r="B1773" s="86"/>
    </x:row>
    <x:row r="1774">
      <x:c r="A1774" s="85"/>
      <x:c r="B1774" s="86"/>
    </x:row>
    <x:row r="1775">
      <x:c r="A1775" s="85"/>
      <x:c r="B1775" s="86"/>
    </x:row>
    <x:row r="1776">
      <x:c r="A1776" s="85"/>
      <x:c r="B1776" s="86"/>
    </x:row>
    <x:row r="1777">
      <x:c r="A1777" s="85"/>
      <x:c r="B1777" s="86"/>
    </x:row>
    <x:row r="1778">
      <x:c r="A1778" s="85"/>
      <x:c r="B1778" s="86"/>
    </x:row>
    <x:row r="1779">
      <x:c r="A1779" s="85"/>
      <x:c r="B1779" s="86"/>
    </x:row>
    <x:row r="1780">
      <x:c r="A1780" s="85"/>
      <x:c r="B1780" s="86"/>
    </x:row>
    <x:row r="1781">
      <x:c r="A1781" s="85"/>
      <x:c r="B1781" s="86"/>
    </x:row>
    <x:row r="1782">
      <x:c r="A1782" s="85"/>
      <x:c r="B1782" s="86"/>
    </x:row>
    <x:row r="1783">
      <x:c r="A1783" s="85"/>
      <x:c r="B1783" s="86"/>
    </x:row>
    <x:row r="1784">
      <x:c r="A1784" s="85"/>
      <x:c r="B1784" s="86"/>
    </x:row>
    <x:row r="1785">
      <x:c r="A1785" s="85"/>
      <x:c r="B1785" s="86"/>
    </x:row>
    <x:row r="1786">
      <x:c r="A1786" s="85"/>
      <x:c r="B1786" s="86"/>
    </x:row>
    <x:row r="1787">
      <x:c r="A1787" s="85"/>
      <x:c r="B1787" s="86"/>
    </x:row>
    <x:row r="1788">
      <x:c r="A1788" s="85"/>
      <x:c r="B1788" s="86"/>
    </x:row>
    <x:row r="1789">
      <x:c r="A1789" s="85"/>
      <x:c r="B1789" s="86"/>
    </x:row>
    <x:row r="1790">
      <x:c r="A1790" s="85"/>
      <x:c r="B1790" s="86"/>
    </x:row>
    <x:row r="1791">
      <x:c r="A1791" s="85"/>
      <x:c r="B1791" s="86"/>
    </x:row>
    <x:row r="1792">
      <x:c r="A1792" s="85"/>
      <x:c r="B1792" s="86"/>
    </x:row>
    <x:row r="1793">
      <x:c r="A1793" s="85"/>
      <x:c r="B1793" s="86"/>
    </x:row>
    <x:row r="1794">
      <x:c r="A1794" s="85"/>
      <x:c r="B1794" s="86"/>
    </x:row>
    <x:row r="1795">
      <x:c r="A1795" s="85"/>
      <x:c r="B1795" s="86"/>
    </x:row>
    <x:row r="1796">
      <x:c r="A1796" s="85"/>
      <x:c r="B1796" s="86"/>
    </x:row>
    <x:row r="1797">
      <x:c r="A1797" s="85"/>
      <x:c r="B1797" s="86"/>
    </x:row>
    <x:row r="1798">
      <x:c r="A1798" s="85"/>
      <x:c r="B1798" s="86"/>
    </x:row>
    <x:row r="1799">
      <x:c r="A1799" s="85"/>
      <x:c r="B1799" s="86"/>
    </x:row>
    <x:row r="1800">
      <x:c r="A1800" s="85"/>
      <x:c r="B1800" s="86"/>
    </x:row>
    <x:row r="1801">
      <x:c r="A1801" s="85"/>
      <x:c r="B1801" s="86"/>
    </x:row>
    <x:row r="1802">
      <x:c r="A1802" s="85"/>
      <x:c r="B1802" s="86"/>
    </x:row>
    <x:row r="1803">
      <x:c r="A1803" s="85"/>
      <x:c r="B1803" s="86"/>
    </x:row>
    <x:row r="1804">
      <x:c r="A1804" s="85"/>
      <x:c r="B1804" s="86"/>
    </x:row>
    <x:row r="1805">
      <x:c r="A1805" s="85"/>
      <x:c r="B1805" s="86"/>
    </x:row>
    <x:row r="1806">
      <x:c r="A1806" s="85"/>
      <x:c r="B1806" s="86"/>
    </x:row>
    <x:row r="1807">
      <x:c r="A1807" s="85"/>
      <x:c r="B1807" s="86"/>
    </x:row>
    <x:row r="1808">
      <x:c r="A1808" s="85"/>
      <x:c r="B1808" s="86"/>
    </x:row>
    <x:row r="1809">
      <x:c r="A1809" s="85"/>
      <x:c r="B1809" s="86"/>
    </x:row>
    <x:row r="1810">
      <x:c r="A1810" s="85"/>
      <x:c r="B1810" s="86"/>
    </x:row>
    <x:row r="1811">
      <x:c r="A1811" s="85"/>
      <x:c r="B1811" s="86"/>
    </x:row>
    <x:row r="1812">
      <x:c r="A1812" s="85"/>
      <x:c r="B1812" s="86"/>
    </x:row>
    <x:row r="1813">
      <x:c r="A1813" s="85"/>
      <x:c r="B1813" s="86"/>
    </x:row>
    <x:row r="1814">
      <x:c r="A1814" s="85"/>
      <x:c r="B1814" s="86"/>
    </x:row>
    <x:row r="1815">
      <x:c r="A1815" s="85"/>
      <x:c r="B1815" s="86"/>
    </x:row>
    <x:row r="1816">
      <x:c r="A1816" s="85"/>
      <x:c r="B1816" s="86"/>
    </x:row>
    <x:row r="1817">
      <x:c r="A1817" s="85"/>
      <x:c r="B1817" s="86"/>
    </x:row>
    <x:row r="1818">
      <x:c r="A1818" s="85"/>
      <x:c r="B1818" s="86"/>
    </x:row>
    <x:row r="1819">
      <x:c r="A1819" s="85"/>
      <x:c r="B1819" s="86"/>
    </x:row>
    <x:row r="1820">
      <x:c r="A1820" s="85"/>
      <x:c r="B1820" s="86"/>
    </x:row>
    <x:row r="1821">
      <x:c r="A1821" s="85"/>
      <x:c r="B1821" s="86"/>
    </x:row>
    <x:row r="1822">
      <x:c r="A1822" s="85"/>
      <x:c r="B1822" s="86"/>
    </x:row>
    <x:row r="1823">
      <x:c r="A1823" s="85"/>
      <x:c r="B1823" s="86"/>
    </x:row>
    <x:row r="1824">
      <x:c r="A1824" s="85"/>
      <x:c r="B1824" s="86"/>
    </x:row>
    <x:row r="1825">
      <x:c r="A1825" s="85"/>
      <x:c r="B1825" s="86"/>
    </x:row>
    <x:row r="1826">
      <x:c r="A1826" s="85"/>
      <x:c r="B1826" s="86"/>
    </x:row>
    <x:row r="1827">
      <x:c r="A1827" s="85"/>
      <x:c r="B1827" s="86"/>
    </x:row>
    <x:row r="1828">
      <x:c r="A1828" s="85"/>
      <x:c r="B1828" s="86"/>
    </x:row>
    <x:row r="1829">
      <x:c r="A1829" s="85"/>
      <x:c r="B1829" s="86"/>
    </x:row>
    <x:row r="1830">
      <x:c r="A1830" s="85"/>
      <x:c r="B1830" s="86"/>
    </x:row>
    <x:row r="1831">
      <x:c r="A1831" s="85"/>
      <x:c r="B1831" s="86"/>
    </x:row>
    <x:row r="1832">
      <x:c r="A1832" s="85"/>
      <x:c r="B1832" s="86"/>
    </x:row>
    <x:row r="1833">
      <x:c r="A1833" s="85"/>
      <x:c r="B1833" s="86"/>
    </x:row>
    <x:row r="1834">
      <x:c r="A1834" s="85"/>
      <x:c r="B1834" s="86"/>
    </x:row>
    <x:row r="1835">
      <x:c r="A1835" s="85"/>
      <x:c r="B1835" s="86"/>
    </x:row>
    <x:row r="1836">
      <x:c r="A1836" s="85"/>
      <x:c r="B1836" s="86"/>
    </x:row>
    <x:row r="1837">
      <x:c r="A1837" s="85"/>
      <x:c r="B1837" s="86"/>
    </x:row>
    <x:row r="1838">
      <x:c r="A1838" s="85"/>
      <x:c r="B1838" s="86"/>
    </x:row>
    <x:row r="1839">
      <x:c r="A1839" s="85"/>
      <x:c r="B1839" s="86"/>
    </x:row>
    <x:row r="1840">
      <x:c r="A1840" s="85"/>
      <x:c r="B1840" s="86"/>
    </x:row>
    <x:row r="1841">
      <x:c r="A1841" s="85"/>
      <x:c r="B1841" s="86"/>
    </x:row>
    <x:row r="1842">
      <x:c r="A1842" s="85"/>
      <x:c r="B1842" s="86"/>
    </x:row>
    <x:row r="1843">
      <x:c r="A1843" s="85"/>
      <x:c r="B1843" s="86"/>
    </x:row>
    <x:row r="1844">
      <x:c r="A1844" s="85"/>
      <x:c r="B1844" s="86"/>
    </x:row>
    <x:row r="1845">
      <x:c r="A1845" s="85"/>
      <x:c r="B1845" s="86"/>
    </x:row>
    <x:row r="1846">
      <x:c r="A1846" s="85"/>
      <x:c r="B1846" s="86"/>
    </x:row>
    <x:row r="1847">
      <x:c r="A1847" s="85"/>
      <x:c r="B1847" s="86"/>
    </x:row>
    <x:row r="1848">
      <x:c r="A1848" s="85"/>
      <x:c r="B1848" s="86"/>
    </x:row>
    <x:row r="1849">
      <x:c r="A1849" s="85"/>
      <x:c r="B1849" s="86"/>
    </x:row>
    <x:row r="1850">
      <x:c r="A1850" s="85"/>
      <x:c r="B1850" s="86"/>
    </x:row>
    <x:row r="1851">
      <x:c r="A1851" s="85"/>
      <x:c r="B1851" s="86"/>
    </x:row>
    <x:row r="1852">
      <x:c r="A1852" s="85"/>
      <x:c r="B1852" s="86"/>
    </x:row>
    <x:row r="1853">
      <x:c r="A1853" s="85"/>
      <x:c r="B1853" s="86"/>
    </x:row>
    <x:row r="1854">
      <x:c r="A1854" s="85"/>
      <x:c r="B1854" s="86"/>
    </x:row>
    <x:row r="1855">
      <x:c r="A1855" s="85"/>
      <x:c r="B1855" s="86"/>
    </x:row>
    <x:row r="1856">
      <x:c r="A1856" s="85"/>
      <x:c r="B1856" s="86"/>
    </x:row>
    <x:row r="1857">
      <x:c r="A1857" s="85"/>
      <x:c r="B1857" s="86"/>
    </x:row>
    <x:row r="1858">
      <x:c r="A1858" s="85"/>
      <x:c r="B1858" s="86"/>
    </x:row>
    <x:row r="1859">
      <x:c r="A1859" s="85"/>
      <x:c r="B1859" s="86"/>
    </x:row>
    <x:row r="1860">
      <x:c r="A1860" s="85"/>
      <x:c r="B1860" s="86"/>
    </x:row>
    <x:row r="1861">
      <x:c r="A1861" s="85"/>
      <x:c r="B1861" s="86"/>
    </x:row>
    <x:row r="1862">
      <x:c r="A1862" s="85"/>
      <x:c r="B1862" s="86"/>
    </x:row>
    <x:row r="1863">
      <x:c r="A1863" s="85"/>
      <x:c r="B1863" s="86"/>
    </x:row>
    <x:row r="1864">
      <x:c r="A1864" s="85"/>
      <x:c r="B1864" s="86"/>
    </x:row>
    <x:row r="1865">
      <x:c r="A1865" s="85"/>
      <x:c r="B1865" s="86"/>
    </x:row>
    <x:row r="1866">
      <x:c r="A1866" s="85"/>
      <x:c r="B1866" s="86"/>
    </x:row>
    <x:row r="1867">
      <x:c r="A1867" s="85"/>
      <x:c r="B1867" s="86"/>
    </x:row>
    <x:row r="1868">
      <x:c r="A1868" s="85"/>
      <x:c r="B1868" s="86"/>
    </x:row>
    <x:row r="1869">
      <x:c r="A1869" s="85"/>
      <x:c r="B1869" s="86"/>
    </x:row>
    <x:row r="1870">
      <x:c r="A1870" s="85"/>
      <x:c r="B1870" s="86"/>
    </x:row>
    <x:row r="1871">
      <x:c r="A1871" s="85"/>
      <x:c r="B1871" s="86"/>
    </x:row>
    <x:row r="1872">
      <x:c r="A1872" s="85"/>
      <x:c r="B1872" s="86"/>
    </x:row>
    <x:row r="1873">
      <x:c r="A1873" s="85"/>
      <x:c r="B1873" s="86"/>
    </x:row>
    <x:row r="1874">
      <x:c r="A1874" s="85"/>
      <x:c r="B1874" s="86"/>
    </x:row>
    <x:row r="1875">
      <x:c r="A1875" s="85"/>
      <x:c r="B1875" s="86"/>
    </x:row>
    <x:row r="1876">
      <x:c r="A1876" s="85"/>
      <x:c r="B1876" s="86"/>
    </x:row>
    <x:row r="1877">
      <x:c r="A1877" s="85"/>
      <x:c r="B1877" s="86"/>
    </x:row>
    <x:row r="1878">
      <x:c r="A1878" s="85"/>
      <x:c r="B1878" s="86"/>
    </x:row>
    <x:row r="1879">
      <x:c r="A1879" s="85"/>
      <x:c r="B1879" s="86"/>
    </x:row>
    <x:row r="1880">
      <x:c r="A1880" s="85"/>
      <x:c r="B1880" s="86"/>
    </x:row>
    <x:row r="1881">
      <x:c r="A1881" s="85"/>
      <x:c r="B1881" s="86"/>
    </x:row>
    <x:row r="1882">
      <x:c r="A1882" s="85"/>
      <x:c r="B1882" s="86"/>
    </x:row>
    <x:row r="1883">
      <x:c r="A1883" s="85"/>
      <x:c r="B1883" s="86"/>
    </x:row>
    <x:row r="1884">
      <x:c r="A1884" s="85"/>
      <x:c r="B1884" s="86"/>
    </x:row>
    <x:row r="1885">
      <x:c r="A1885" s="85"/>
      <x:c r="B1885" s="86"/>
    </x:row>
    <x:row r="1886">
      <x:c r="A1886" s="85"/>
      <x:c r="B1886" s="86"/>
    </x:row>
    <x:row r="1887">
      <x:c r="A1887" s="85"/>
      <x:c r="B1887" s="86"/>
    </x:row>
    <x:row r="1888">
      <x:c r="A1888" s="85"/>
      <x:c r="B1888" s="86"/>
    </x:row>
    <x:row r="1889">
      <x:c r="A1889" s="85"/>
      <x:c r="B1889" s="86"/>
    </x:row>
    <x:row r="1890">
      <x:c r="A1890" s="85"/>
      <x:c r="B1890" s="86"/>
    </x:row>
    <x:row r="1891">
      <x:c r="A1891" s="85"/>
      <x:c r="B1891" s="86"/>
    </x:row>
    <x:row r="1892">
      <x:c r="A1892" s="85"/>
      <x:c r="B1892" s="86"/>
    </x:row>
    <x:row r="1893">
      <x:c r="A1893" s="85"/>
      <x:c r="B1893" s="86"/>
    </x:row>
    <x:row r="1894">
      <x:c r="A1894" s="85"/>
      <x:c r="B1894" s="86"/>
    </x:row>
    <x:row r="1895">
      <x:c r="A1895" s="85"/>
      <x:c r="B1895" s="86"/>
    </x:row>
    <x:row r="1896">
      <x:c r="A1896" s="85"/>
      <x:c r="B1896" s="86"/>
    </x:row>
    <x:row r="1897">
      <x:c r="A1897" s="85"/>
      <x:c r="B1897" s="86"/>
    </x:row>
    <x:row r="1898">
      <x:c r="A1898" s="85"/>
      <x:c r="B1898" s="86"/>
    </x:row>
    <x:row r="1899">
      <x:c r="A1899" s="85"/>
      <x:c r="B1899" s="86"/>
    </x:row>
    <x:row r="1900">
      <x:c r="A1900" s="85"/>
      <x:c r="B1900" s="86"/>
    </x:row>
    <x:row r="1901">
      <x:c r="A1901" s="85"/>
      <x:c r="B1901" s="86"/>
    </x:row>
    <x:row r="1902">
      <x:c r="A1902" s="85"/>
      <x:c r="B1902" s="86"/>
    </x:row>
    <x:row r="1903">
      <x:c r="A1903" s="85"/>
      <x:c r="B1903" s="86"/>
    </x:row>
    <x:row r="1904">
      <x:c r="A1904" s="85"/>
      <x:c r="B1904" s="86"/>
    </x:row>
    <x:row r="1905">
      <x:c r="A1905" s="85"/>
      <x:c r="B1905" s="86"/>
    </x:row>
    <x:row r="1906">
      <x:c r="A1906" s="85"/>
      <x:c r="B1906" s="86"/>
    </x:row>
    <x:row r="1907">
      <x:c r="A1907" s="85"/>
      <x:c r="B1907" s="86"/>
    </x:row>
    <x:row r="1908">
      <x:c r="A1908" s="85"/>
      <x:c r="B1908" s="86"/>
    </x:row>
    <x:row r="1909">
      <x:c r="A1909" s="85"/>
      <x:c r="B1909" s="86"/>
    </x:row>
    <x:row r="1910">
      <x:c r="A1910" s="85"/>
      <x:c r="B1910" s="86"/>
    </x:row>
    <x:row r="1911">
      <x:c r="A1911" s="85"/>
      <x:c r="B1911" s="86"/>
    </x:row>
    <x:row r="1912">
      <x:c r="A1912" s="85"/>
      <x:c r="B1912" s="86"/>
    </x:row>
    <x:row r="1913">
      <x:c r="A1913" s="85"/>
      <x:c r="B1913" s="86"/>
    </x:row>
    <x:row r="1914">
      <x:c r="A1914" s="85"/>
      <x:c r="B1914" s="86"/>
    </x:row>
    <x:row r="1915">
      <x:c r="A1915" s="85"/>
      <x:c r="B1915" s="86"/>
    </x:row>
    <x:row r="1916">
      <x:c r="A1916" s="85"/>
      <x:c r="B1916" s="86"/>
    </x:row>
    <x:row r="1917">
      <x:c r="A1917" s="85"/>
      <x:c r="B1917" s="86"/>
    </x:row>
    <x:row r="1918">
      <x:c r="A1918" s="85"/>
      <x:c r="B1918" s="86"/>
    </x:row>
    <x:row r="1919">
      <x:c r="A1919" s="85"/>
      <x:c r="B1919" s="86"/>
    </x:row>
    <x:row r="1920">
      <x:c r="A1920" s="85"/>
      <x:c r="B1920" s="86"/>
    </x:row>
    <x:row r="1921">
      <x:c r="A1921" s="85"/>
      <x:c r="B1921" s="86"/>
    </x:row>
    <x:row r="1922">
      <x:c r="A1922" s="85"/>
      <x:c r="B1922" s="86"/>
    </x:row>
    <x:row r="1923">
      <x:c r="A1923" s="85"/>
      <x:c r="B1923" s="86"/>
    </x:row>
    <x:row r="1924">
      <x:c r="A1924" s="85"/>
      <x:c r="B1924" s="86"/>
    </x:row>
    <x:row r="1925">
      <x:c r="A1925" s="85"/>
      <x:c r="B1925" s="86"/>
    </x:row>
    <x:row r="1926">
      <x:c r="A1926" s="85"/>
      <x:c r="B1926" s="86"/>
    </x:row>
    <x:row r="1927">
      <x:c r="A1927" s="85"/>
      <x:c r="B1927" s="86"/>
    </x:row>
    <x:row r="1928">
      <x:c r="A1928" s="85"/>
      <x:c r="B1928" s="86"/>
    </x:row>
    <x:row r="1929">
      <x:c r="A1929" s="85"/>
      <x:c r="B1929" s="86"/>
    </x:row>
    <x:row r="1930">
      <x:c r="A1930" s="85"/>
      <x:c r="B1930" s="86"/>
    </x:row>
    <x:row r="1931">
      <x:c r="A1931" s="85"/>
      <x:c r="B1931" s="86"/>
    </x:row>
    <x:row r="1932">
      <x:c r="A1932" s="85"/>
      <x:c r="B1932" s="86"/>
    </x:row>
    <x:row r="1933">
      <x:c r="A1933" s="85"/>
      <x:c r="B1933" s="86"/>
    </x:row>
    <x:row r="1934">
      <x:c r="A1934" s="85"/>
      <x:c r="B1934" s="86"/>
    </x:row>
    <x:row r="1935">
      <x:c r="A1935" s="85"/>
      <x:c r="B1935" s="86"/>
    </x:row>
    <x:row r="1936">
      <x:c r="A1936" s="85"/>
      <x:c r="B1936" s="86"/>
    </x:row>
    <x:row r="1937">
      <x:c r="A1937" s="85"/>
      <x:c r="B1937" s="86"/>
    </x:row>
    <x:row r="1938">
      <x:c r="A1938" s="85"/>
      <x:c r="B1938" s="86"/>
    </x:row>
    <x:row r="1939">
      <x:c r="A1939" s="85"/>
      <x:c r="B1939" s="86"/>
    </x:row>
    <x:row r="1940">
      <x:c r="A1940" s="85"/>
      <x:c r="B1940" s="86"/>
    </x:row>
    <x:row r="1941">
      <x:c r="A1941" s="85"/>
      <x:c r="B1941" s="86"/>
    </x:row>
    <x:row r="1942">
      <x:c r="A1942" s="85"/>
      <x:c r="B1942" s="86"/>
    </x:row>
    <x:row r="1943">
      <x:c r="A1943" s="85"/>
      <x:c r="B1943" s="86"/>
    </x:row>
    <x:row r="1944">
      <x:c r="A1944" s="85"/>
      <x:c r="B1944" s="86"/>
    </x:row>
    <x:row r="1945">
      <x:c r="A1945" s="85"/>
      <x:c r="B1945" s="86"/>
    </x:row>
    <x:row r="1946">
      <x:c r="A1946" s="85"/>
      <x:c r="B1946" s="86"/>
    </x:row>
    <x:row r="1947">
      <x:c r="A1947" s="85"/>
      <x:c r="B1947" s="86"/>
    </x:row>
    <x:row r="1948">
      <x:c r="A1948" s="85"/>
      <x:c r="B1948" s="86"/>
    </x:row>
    <x:row r="1949">
      <x:c r="A1949" s="85"/>
      <x:c r="B1949" s="86"/>
    </x:row>
    <x:row r="1950">
      <x:c r="A1950" s="85"/>
      <x:c r="B1950" s="86"/>
    </x:row>
    <x:row r="1951">
      <x:c r="A1951" s="85"/>
      <x:c r="B1951" s="86"/>
    </x:row>
    <x:row r="1952">
      <x:c r="A1952" s="85"/>
      <x:c r="B1952" s="86"/>
    </x:row>
    <x:row r="1953">
      <x:c r="A1953" s="85"/>
      <x:c r="B1953" s="86"/>
    </x:row>
    <x:row r="1954">
      <x:c r="A1954" s="85"/>
      <x:c r="B1954" s="86"/>
    </x:row>
    <x:row r="1955">
      <x:c r="A1955" s="85"/>
      <x:c r="B1955" s="86"/>
    </x:row>
    <x:row r="1956">
      <x:c r="A1956" s="85"/>
      <x:c r="B1956" s="86"/>
    </x:row>
    <x:row r="1957">
      <x:c r="A1957" s="85"/>
      <x:c r="B1957" s="86"/>
    </x:row>
    <x:row r="1958">
      <x:c r="A1958" s="85"/>
      <x:c r="B1958" s="86"/>
    </x:row>
    <x:row r="1959">
      <x:c r="A1959" s="85"/>
      <x:c r="B1959" s="86"/>
    </x:row>
    <x:row r="1960">
      <x:c r="A1960" s="85"/>
      <x:c r="B1960" s="86"/>
    </x:row>
    <x:row r="1961">
      <x:c r="A1961" s="85"/>
      <x:c r="B1961" s="86"/>
    </x:row>
    <x:row r="1962">
      <x:c r="A1962" s="85"/>
      <x:c r="B1962" s="86"/>
    </x:row>
    <x:row r="1963">
      <x:c r="A1963" s="85"/>
      <x:c r="B1963" s="86"/>
    </x:row>
    <x:row r="1964">
      <x:c r="A1964" s="85"/>
      <x:c r="B1964" s="86"/>
    </x:row>
    <x:row r="1965">
      <x:c r="A1965" s="85"/>
      <x:c r="B1965" s="86"/>
    </x:row>
    <x:row r="1966">
      <x:c r="A1966" s="85"/>
      <x:c r="B1966" s="86"/>
    </x:row>
    <x:row r="1967">
      <x:c r="A1967" s="85"/>
      <x:c r="B1967" s="86"/>
    </x:row>
    <x:row r="1968">
      <x:c r="A1968" s="85"/>
      <x:c r="B1968" s="86"/>
    </x:row>
    <x:row r="1969">
      <x:c r="A1969" s="85"/>
      <x:c r="B1969" s="86"/>
    </x:row>
    <x:row r="1970">
      <x:c r="A1970" s="85"/>
      <x:c r="B1970" s="86"/>
    </x:row>
    <x:row r="1971">
      <x:c r="A1971" s="85"/>
      <x:c r="B1971" s="86"/>
    </x:row>
    <x:row r="1972">
      <x:c r="A1972" s="85"/>
      <x:c r="B1972" s="86"/>
    </x:row>
    <x:row r="1973">
      <x:c r="A1973" s="85"/>
      <x:c r="B1973" s="86"/>
    </x:row>
    <x:row r="1974">
      <x:c r="A1974" s="85"/>
      <x:c r="B1974" s="86"/>
    </x:row>
    <x:row r="1975">
      <x:c r="A1975" s="85"/>
      <x:c r="B1975" s="86"/>
    </x:row>
    <x:row r="1976">
      <x:c r="A1976" s="85"/>
      <x:c r="B1976" s="86"/>
    </x:row>
    <x:row r="1977">
      <x:c r="A1977" s="85"/>
      <x:c r="B1977" s="86"/>
    </x:row>
    <x:row r="1978">
      <x:c r="A1978" s="85"/>
      <x:c r="B1978" s="86"/>
    </x:row>
    <x:row r="1979">
      <x:c r="A1979" s="85"/>
      <x:c r="B1979" s="86"/>
    </x:row>
    <x:row r="1980">
      <x:c r="A1980" s="85"/>
      <x:c r="B1980" s="86"/>
    </x:row>
    <x:row r="1981">
      <x:c r="A1981" s="85"/>
      <x:c r="B1981" s="86"/>
    </x:row>
    <x:row r="1982">
      <x:c r="A1982" s="85"/>
      <x:c r="B1982" s="86"/>
    </x:row>
    <x:row r="1983">
      <x:c r="A1983" s="85"/>
      <x:c r="B1983" s="86"/>
    </x:row>
    <x:row r="1984">
      <x:c r="A1984" s="85"/>
      <x:c r="B1984" s="86"/>
    </x:row>
    <x:row r="1985">
      <x:c r="A1985" s="85"/>
      <x:c r="B1985" s="86"/>
    </x:row>
    <x:row r="1986">
      <x:c r="A1986" s="85"/>
      <x:c r="B1986" s="86"/>
    </x:row>
    <x:row r="1987">
      <x:c r="A1987" s="85"/>
      <x:c r="B1987" s="86"/>
    </x:row>
    <x:row r="1988">
      <x:c r="A1988" s="85"/>
      <x:c r="B1988" s="86"/>
    </x:row>
    <x:row r="1989">
      <x:c r="A1989" s="85"/>
      <x:c r="B1989" s="86"/>
    </x:row>
    <x:row r="1990">
      <x:c r="A1990" s="85"/>
      <x:c r="B1990" s="86"/>
    </x:row>
    <x:row r="1991">
      <x:c r="A1991" s="85"/>
      <x:c r="B1991" s="86"/>
    </x:row>
    <x:row r="1992">
      <x:c r="A1992" s="85"/>
      <x:c r="B1992" s="86"/>
    </x:row>
    <x:row r="1993">
      <x:c r="A1993" s="85"/>
      <x:c r="B1993" s="86"/>
    </x:row>
    <x:row r="1994">
      <x:c r="A1994" s="85"/>
      <x:c r="B1994" s="86"/>
    </x:row>
    <x:row r="1995">
      <x:c r="A1995" s="85"/>
      <x:c r="B1995" s="86"/>
    </x:row>
    <x:row r="1996">
      <x:c r="A1996" s="85"/>
      <x:c r="B1996" s="86"/>
    </x:row>
    <x:row r="1997">
      <x:c r="A1997" s="85"/>
      <x:c r="B1997" s="86"/>
    </x:row>
    <x:row r="1998">
      <x:c r="A1998" s="85"/>
      <x:c r="B1998" s="86"/>
    </x:row>
    <x:row r="1999">
      <x:c r="A1999" s="85"/>
      <x:c r="B1999" s="86"/>
    </x:row>
    <x:row r="2000">
      <x:c r="A2000" s="85"/>
      <x:c r="B2000" s="86"/>
    </x:row>
    <x:row r="2001">
      <x:c r="A2001" s="85"/>
      <x:c r="B2001" s="86"/>
    </x:row>
    <x:row r="2002">
      <x:c r="A2002" s="85"/>
      <x:c r="B2002" s="86"/>
    </x:row>
    <x:row r="2003">
      <x:c r="A2003" s="85"/>
      <x:c r="B2003" s="86"/>
    </x:row>
    <x:row r="2004">
      <x:c r="A2004" s="85"/>
      <x:c r="B2004" s="86"/>
    </x:row>
    <x:row r="2005">
      <x:c r="A2005" s="85"/>
      <x:c r="B2005" s="86"/>
    </x:row>
    <x:row r="2006">
      <x:c r="A2006" s="85"/>
      <x:c r="B2006" s="86"/>
    </x:row>
    <x:row r="2007">
      <x:c r="A2007" s="85"/>
      <x:c r="B2007" s="86"/>
    </x:row>
    <x:row r="2008">
      <x:c r="A2008" s="85"/>
      <x:c r="B2008" s="86"/>
    </x:row>
    <x:row r="2009">
      <x:c r="A2009" s="85"/>
      <x:c r="B2009" s="86"/>
    </x:row>
    <x:row r="2010">
      <x:c r="A2010" s="85"/>
      <x:c r="B2010" s="86"/>
    </x:row>
    <x:row r="2011">
      <x:c r="A2011" s="85"/>
      <x:c r="B2011" s="86"/>
    </x:row>
    <x:row r="2012">
      <x:c r="A2012" s="85"/>
      <x:c r="B2012" s="86"/>
    </x:row>
    <x:row r="2013">
      <x:c r="A2013" s="85"/>
      <x:c r="B2013" s="86"/>
    </x:row>
    <x:row r="2014">
      <x:c r="A2014" s="85"/>
      <x:c r="B2014" s="86"/>
    </x:row>
    <x:row r="2015">
      <x:c r="A2015" s="85"/>
      <x:c r="B2015" s="86"/>
    </x:row>
    <x:row r="2016">
      <x:c r="A2016" s="85"/>
      <x:c r="B2016" s="86"/>
    </x:row>
    <x:row r="2017">
      <x:c r="A2017" s="85"/>
      <x:c r="B2017" s="86"/>
    </x:row>
    <x:row r="2018">
      <x:c r="A2018" s="85"/>
      <x:c r="B2018" s="86"/>
    </x:row>
    <x:row r="2019">
      <x:c r="A2019" s="85"/>
      <x:c r="B2019" s="86"/>
    </x:row>
    <x:row r="2020">
      <x:c r="A2020" s="85"/>
      <x:c r="B2020" s="86"/>
    </x:row>
    <x:row r="2021">
      <x:c r="A2021" s="85"/>
      <x:c r="B2021" s="86"/>
    </x:row>
    <x:row r="2022">
      <x:c r="A2022" s="85"/>
      <x:c r="B2022" s="86"/>
    </x:row>
    <x:row r="2023">
      <x:c r="A2023" s="85"/>
      <x:c r="B2023" s="86"/>
    </x:row>
    <x:row r="2024">
      <x:c r="A2024" s="85"/>
      <x:c r="B2024" s="86"/>
    </x:row>
    <x:row r="2025">
      <x:c r="A2025" s="85"/>
      <x:c r="B2025" s="86"/>
    </x:row>
    <x:row r="2026">
      <x:c r="A2026" s="85"/>
      <x:c r="B2026" s="86"/>
    </x:row>
    <x:row r="2027">
      <x:c r="A2027" s="85"/>
      <x:c r="B2027" s="86"/>
    </x:row>
    <x:row r="2028">
      <x:c r="A2028" s="85"/>
      <x:c r="B2028" s="86"/>
    </x:row>
    <x:row r="2029">
      <x:c r="A2029" s="85"/>
      <x:c r="B2029" s="86"/>
    </x:row>
    <x:row r="2030">
      <x:c r="A2030" s="85"/>
      <x:c r="B2030" s="86"/>
    </x:row>
    <x:row r="2031">
      <x:c r="A2031" s="85"/>
      <x:c r="B2031" s="86"/>
    </x:row>
    <x:row r="2032">
      <x:c r="A2032" s="85"/>
      <x:c r="B2032" s="86"/>
    </x:row>
    <x:row r="2033">
      <x:c r="A2033" s="85"/>
      <x:c r="B2033" s="86"/>
    </x:row>
    <x:row r="2034">
      <x:c r="A2034" s="85"/>
      <x:c r="B2034" s="86"/>
    </x:row>
    <x:row r="2035">
      <x:c r="A2035" s="85"/>
      <x:c r="B2035" s="86"/>
    </x:row>
    <x:row r="2036">
      <x:c r="A2036" s="85"/>
      <x:c r="B2036" s="86"/>
    </x:row>
    <x:row r="2037">
      <x:c r="A2037" s="85"/>
      <x:c r="B2037" s="86"/>
    </x:row>
    <x:row r="2038">
      <x:c r="A2038" s="85"/>
      <x:c r="B2038" s="86"/>
    </x:row>
    <x:row r="2039">
      <x:c r="A2039" s="85"/>
      <x:c r="B2039" s="86"/>
    </x:row>
    <x:row r="2040">
      <x:c r="A2040" s="85"/>
      <x:c r="B2040" s="86"/>
    </x:row>
    <x:row r="2041">
      <x:c r="A2041" s="85"/>
      <x:c r="B2041" s="86"/>
    </x:row>
    <x:row r="2042">
      <x:c r="A2042" s="85"/>
      <x:c r="B2042" s="86"/>
    </x:row>
    <x:row r="2043">
      <x:c r="A2043" s="85"/>
      <x:c r="B2043" s="86"/>
    </x:row>
    <x:row r="2044">
      <x:c r="A2044" s="85"/>
      <x:c r="B2044" s="86"/>
    </x:row>
    <x:row r="2045">
      <x:c r="A2045" s="85"/>
      <x:c r="B2045" s="86"/>
    </x:row>
    <x:row r="2046">
      <x:c r="A2046" s="85"/>
      <x:c r="B2046" s="86"/>
    </x:row>
    <x:row r="2047">
      <x:c r="A2047" s="85"/>
      <x:c r="B2047" s="86"/>
    </x:row>
    <x:row r="2048">
      <x:c r="A2048" s="85"/>
      <x:c r="B2048" s="86"/>
    </x:row>
    <x:row r="2049">
      <x:c r="A2049" s="85"/>
      <x:c r="B2049" s="86"/>
    </x:row>
    <x:row r="2050">
      <x:c r="A2050" s="85"/>
      <x:c r="B2050" s="86"/>
    </x:row>
    <x:row r="2051">
      <x:c r="A2051" s="85"/>
      <x:c r="B2051" s="86"/>
    </x:row>
    <x:row r="2052">
      <x:c r="A2052" s="85"/>
      <x:c r="B2052" s="86"/>
    </x:row>
    <x:row r="2053">
      <x:c r="A2053" s="85"/>
      <x:c r="B2053" s="86"/>
    </x:row>
    <x:row r="2054">
      <x:c r="A2054" s="85"/>
      <x:c r="B2054" s="86"/>
    </x:row>
    <x:row r="2055">
      <x:c r="A2055" s="85"/>
      <x:c r="B2055" s="86"/>
    </x:row>
    <x:row r="2056">
      <x:c r="A2056" s="85"/>
      <x:c r="B2056" s="86"/>
    </x:row>
    <x:row r="2057">
      <x:c r="A2057" s="85"/>
      <x:c r="B2057" s="86"/>
    </x:row>
    <x:row r="2058">
      <x:c r="A2058" s="85"/>
      <x:c r="B2058" s="86"/>
    </x:row>
    <x:row r="2059">
      <x:c r="A2059" s="85"/>
      <x:c r="B2059" s="86"/>
    </x:row>
    <x:row r="2060">
      <x:c r="A2060" s="85"/>
      <x:c r="B2060" s="86"/>
    </x:row>
    <x:row r="2061">
      <x:c r="A2061" s="85"/>
      <x:c r="B2061" s="86"/>
    </x:row>
    <x:row r="2062">
      <x:c r="A2062" s="85"/>
      <x:c r="B2062" s="86"/>
    </x:row>
    <x:row r="2063">
      <x:c r="A2063" s="85"/>
      <x:c r="B2063" s="86"/>
    </x:row>
    <x:row r="2064">
      <x:c r="A2064" s="85"/>
      <x:c r="B2064" s="86"/>
    </x:row>
    <x:row r="2065">
      <x:c r="A2065" s="85"/>
      <x:c r="B2065" s="86"/>
    </x:row>
    <x:row r="2066">
      <x:c r="A2066" s="85"/>
      <x:c r="B2066" s="86"/>
    </x:row>
    <x:row r="2067">
      <x:c r="A2067" s="85"/>
      <x:c r="B2067" s="86"/>
    </x:row>
    <x:row r="2068">
      <x:c r="A2068" s="85"/>
      <x:c r="B2068" s="86"/>
    </x:row>
    <x:row r="2069">
      <x:c r="A2069" s="85"/>
      <x:c r="B2069" s="86"/>
    </x:row>
    <x:row r="2070">
      <x:c r="A2070" s="85"/>
      <x:c r="B2070" s="86"/>
    </x:row>
    <x:row r="2071">
      <x:c r="A2071" s="85"/>
      <x:c r="B2071" s="86"/>
    </x:row>
    <x:row r="2072">
      <x:c r="A2072" s="85"/>
      <x:c r="B2072" s="86"/>
    </x:row>
    <x:row r="2073">
      <x:c r="A2073" s="85"/>
      <x:c r="B2073" s="86"/>
    </x:row>
    <x:row r="2074">
      <x:c r="A2074" s="85"/>
      <x:c r="B2074" s="86"/>
    </x:row>
    <x:row r="2075">
      <x:c r="A2075" s="85"/>
      <x:c r="B2075" s="86"/>
    </x:row>
    <x:row r="2076">
      <x:c r="A2076" s="85"/>
      <x:c r="B2076" s="86"/>
    </x:row>
    <x:row r="2077">
      <x:c r="A2077" s="85"/>
      <x:c r="B2077" s="86"/>
    </x:row>
    <x:row r="2078">
      <x:c r="A2078" s="85"/>
      <x:c r="B2078" s="86"/>
    </x:row>
    <x:row r="2079">
      <x:c r="A2079" s="85"/>
      <x:c r="B2079" s="86"/>
    </x:row>
    <x:row r="2080">
      <x:c r="A2080" s="85"/>
      <x:c r="B2080" s="86"/>
    </x:row>
    <x:row r="2081">
      <x:c r="A2081" s="85"/>
      <x:c r="B2081" s="86"/>
    </x:row>
    <x:row r="2082">
      <x:c r="A2082" s="85"/>
      <x:c r="B2082" s="86"/>
    </x:row>
    <x:row r="2083">
      <x:c r="A2083" s="85"/>
      <x:c r="B2083" s="86"/>
    </x:row>
    <x:row r="2084">
      <x:c r="A2084" s="85"/>
      <x:c r="B2084" s="86"/>
    </x:row>
    <x:row r="2085">
      <x:c r="A2085" s="85"/>
      <x:c r="B2085" s="86"/>
    </x:row>
    <x:row r="2086">
      <x:c r="A2086" s="85"/>
      <x:c r="B2086" s="86"/>
    </x:row>
    <x:row r="2087">
      <x:c r="A2087" s="85"/>
      <x:c r="B2087" s="86"/>
    </x:row>
    <x:row r="2088">
      <x:c r="A2088" s="85"/>
      <x:c r="B2088" s="86"/>
    </x:row>
    <x:row r="2089">
      <x:c r="A2089" s="85"/>
      <x:c r="B2089" s="86"/>
    </x:row>
    <x:row r="2090">
      <x:c r="A2090" s="85"/>
      <x:c r="B2090" s="86"/>
    </x:row>
    <x:row r="2091">
      <x:c r="A2091" s="85"/>
      <x:c r="B2091" s="86"/>
    </x:row>
    <x:row r="2092">
      <x:c r="A2092" s="85"/>
      <x:c r="B2092" s="86"/>
    </x:row>
    <x:row r="2093">
      <x:c r="A2093" s="85"/>
      <x:c r="B2093" s="86"/>
    </x:row>
    <x:row r="2094">
      <x:c r="A2094" s="85"/>
      <x:c r="B2094" s="86"/>
    </x:row>
    <x:row r="2095">
      <x:c r="A2095" s="85"/>
      <x:c r="B2095" s="86"/>
    </x:row>
    <x:row r="2096">
      <x:c r="A2096" s="85"/>
      <x:c r="B2096" s="86"/>
    </x:row>
    <x:row r="2097">
      <x:c r="A2097" s="85"/>
      <x:c r="B2097" s="86"/>
    </x:row>
    <x:row r="2098">
      <x:c r="A2098" s="85"/>
      <x:c r="B2098" s="86"/>
    </x:row>
    <x:row r="2099">
      <x:c r="A2099" s="85"/>
      <x:c r="B2099" s="86"/>
    </x:row>
    <x:row r="2100">
      <x:c r="A2100" s="85"/>
      <x:c r="B2100" s="86"/>
    </x:row>
    <x:row r="2101">
      <x:c r="A2101" s="85"/>
      <x:c r="B2101" s="86"/>
    </x:row>
    <x:row r="2102">
      <x:c r="A2102" s="85"/>
      <x:c r="B2102" s="86"/>
    </x:row>
    <x:row r="2103">
      <x:c r="A2103" s="85"/>
      <x:c r="B2103" s="86"/>
    </x:row>
    <x:row r="2104">
      <x:c r="A2104" s="85"/>
      <x:c r="B2104" s="86"/>
    </x:row>
    <x:row r="2105">
      <x:c r="A2105" s="85"/>
      <x:c r="B2105" s="86"/>
    </x:row>
    <x:row r="2106">
      <x:c r="A2106" s="85"/>
      <x:c r="B2106" s="86"/>
    </x:row>
    <x:row r="2107">
      <x:c r="A2107" s="85"/>
      <x:c r="B2107" s="86"/>
    </x:row>
    <x:row r="2108">
      <x:c r="A2108" s="85"/>
      <x:c r="B2108" s="86"/>
    </x:row>
    <x:row r="2109">
      <x:c r="A2109" s="85"/>
      <x:c r="B2109" s="86"/>
    </x:row>
    <x:row r="2110">
      <x:c r="A2110" s="85"/>
      <x:c r="B2110" s="86"/>
    </x:row>
    <x:row r="2111">
      <x:c r="A2111" s="85"/>
      <x:c r="B2111" s="86"/>
    </x:row>
    <x:row r="2112">
      <x:c r="A2112" s="85"/>
      <x:c r="B2112" s="86"/>
    </x:row>
    <x:row r="2113">
      <x:c r="A2113" s="85"/>
      <x:c r="B2113" s="86"/>
    </x:row>
    <x:row r="2114">
      <x:c r="A2114" s="85"/>
      <x:c r="B2114" s="86"/>
    </x:row>
    <x:row r="2115">
      <x:c r="A2115" s="85"/>
      <x:c r="B2115" s="86"/>
    </x:row>
    <x:row r="2116">
      <x:c r="A2116" s="85"/>
      <x:c r="B2116" s="86"/>
    </x:row>
    <x:row r="2117">
      <x:c r="A2117" s="85"/>
      <x:c r="B2117" s="86"/>
    </x:row>
    <x:row r="2118">
      <x:c r="A2118" s="85"/>
      <x:c r="B2118" s="86"/>
    </x:row>
    <x:row r="2119">
      <x:c r="A2119" s="85"/>
      <x:c r="B2119" s="86"/>
    </x:row>
    <x:row r="2120">
      <x:c r="A2120" s="85"/>
      <x:c r="B2120" s="86"/>
    </x:row>
    <x:row r="2121">
      <x:c r="A2121" s="85"/>
      <x:c r="B2121" s="86"/>
    </x:row>
    <x:row r="2122">
      <x:c r="A2122" s="85"/>
      <x:c r="B2122" s="86"/>
    </x:row>
    <x:row r="2123">
      <x:c r="A2123" s="85"/>
      <x:c r="B2123" s="86"/>
    </x:row>
    <x:row r="2124">
      <x:c r="A2124" s="85"/>
      <x:c r="B2124" s="86"/>
    </x:row>
    <x:row r="2125">
      <x:c r="A2125" s="85"/>
      <x:c r="B2125" s="86"/>
    </x:row>
    <x:row r="2126">
      <x:c r="A2126" s="85"/>
      <x:c r="B2126" s="86"/>
    </x:row>
    <x:row r="2127">
      <x:c r="A2127" s="85"/>
      <x:c r="B2127" s="86"/>
    </x:row>
    <x:row r="2128">
      <x:c r="A2128" s="85"/>
      <x:c r="B2128" s="86"/>
    </x:row>
    <x:row r="2129">
      <x:c r="A2129" s="85"/>
      <x:c r="B2129" s="86"/>
    </x:row>
    <x:row r="2130">
      <x:c r="A2130" s="85"/>
      <x:c r="B2130" s="86"/>
    </x:row>
    <x:row r="2131">
      <x:c r="A2131" s="85"/>
      <x:c r="B2131" s="86"/>
    </x:row>
    <x:row r="2132">
      <x:c r="A2132" s="85"/>
      <x:c r="B2132" s="86"/>
    </x:row>
    <x:row r="2133">
      <x:c r="A2133" s="85"/>
      <x:c r="B2133" s="86"/>
    </x:row>
    <x:row r="2134">
      <x:c r="A2134" s="85"/>
      <x:c r="B2134" s="86"/>
    </x:row>
    <x:row r="2135">
      <x:c r="A2135" s="85"/>
      <x:c r="B2135" s="86"/>
    </x:row>
    <x:row r="2136">
      <x:c r="A2136" s="85"/>
      <x:c r="B2136" s="86"/>
    </x:row>
    <x:row r="2137">
      <x:c r="A2137" s="85"/>
      <x:c r="B2137" s="86"/>
    </x:row>
    <x:row r="2138">
      <x:c r="A2138" s="85"/>
      <x:c r="B2138" s="86"/>
    </x:row>
    <x:row r="2139">
      <x:c r="A2139" s="85"/>
      <x:c r="B2139" s="86"/>
    </x:row>
    <x:row r="2140">
      <x:c r="A2140" s="85"/>
      <x:c r="B2140" s="86"/>
    </x:row>
    <x:row r="2141">
      <x:c r="A2141" s="85"/>
      <x:c r="B2141" s="86"/>
    </x:row>
    <x:row r="2142">
      <x:c r="A2142" s="85"/>
      <x:c r="B2142" s="86"/>
    </x:row>
    <x:row r="2143">
      <x:c r="A2143" s="85"/>
      <x:c r="B2143" s="86"/>
    </x:row>
    <x:row r="2144">
      <x:c r="A2144" s="85"/>
      <x:c r="B2144" s="86"/>
    </x:row>
    <x:row r="2145">
      <x:c r="A2145" s="85"/>
      <x:c r="B2145" s="86"/>
    </x:row>
    <x:row r="2146">
      <x:c r="A2146" s="85"/>
      <x:c r="B2146" s="86"/>
    </x:row>
    <x:row r="2147">
      <x:c r="A2147" s="85"/>
      <x:c r="B2147" s="86"/>
    </x:row>
    <x:row r="2148">
      <x:c r="A2148" s="85"/>
      <x:c r="B2148" s="86"/>
    </x:row>
    <x:row r="2149">
      <x:c r="A2149" s="85"/>
      <x:c r="B2149" s="86"/>
    </x:row>
    <x:row r="2150">
      <x:c r="A2150" s="85"/>
      <x:c r="B2150" s="86"/>
    </x:row>
    <x:row r="2151">
      <x:c r="A2151" s="85"/>
      <x:c r="B2151" s="86"/>
    </x:row>
    <x:row r="2152">
      <x:c r="A2152" s="85"/>
      <x:c r="B2152" s="86"/>
    </x:row>
    <x:row r="2153">
      <x:c r="A2153" s="85"/>
      <x:c r="B2153" s="86"/>
    </x:row>
    <x:row r="2154">
      <x:c r="A2154" s="85"/>
      <x:c r="B2154" s="86"/>
    </x:row>
    <x:row r="2155">
      <x:c r="A2155" s="85"/>
      <x:c r="B2155" s="86"/>
    </x:row>
    <x:row r="2156">
      <x:c r="A2156" s="85"/>
      <x:c r="B2156" s="86"/>
    </x:row>
    <x:row r="2157">
      <x:c r="A2157" s="85"/>
      <x:c r="B2157" s="86"/>
    </x:row>
    <x:row r="2158">
      <x:c r="A2158" s="85"/>
      <x:c r="B2158" s="86"/>
    </x:row>
    <x:row r="2159">
      <x:c r="A2159" s="85"/>
      <x:c r="B2159" s="86"/>
    </x:row>
    <x:row r="2160">
      <x:c r="A2160" s="85"/>
      <x:c r="B2160" s="86"/>
    </x:row>
    <x:row r="2161">
      <x:c r="A2161" s="85"/>
      <x:c r="B2161" s="86"/>
    </x:row>
    <x:row r="2162">
      <x:c r="A2162" s="85"/>
      <x:c r="B2162" s="86"/>
    </x:row>
    <x:row r="2163">
      <x:c r="A2163" s="85"/>
      <x:c r="B2163" s="86"/>
    </x:row>
    <x:row r="2164">
      <x:c r="A2164" s="85"/>
      <x:c r="B2164" s="86"/>
    </x:row>
    <x:row r="2165">
      <x:c r="A2165" s="85"/>
      <x:c r="B2165" s="86"/>
    </x:row>
    <x:row r="2166">
      <x:c r="A2166" s="85"/>
      <x:c r="B2166" s="86"/>
    </x:row>
    <x:row r="2167">
      <x:c r="A2167" s="85"/>
      <x:c r="B2167" s="86"/>
    </x:row>
    <x:row r="2168">
      <x:c r="A2168" s="85"/>
      <x:c r="B2168" s="86"/>
    </x:row>
    <x:row r="2169">
      <x:c r="A2169" s="85"/>
      <x:c r="B2169" s="86"/>
    </x:row>
    <x:row r="2170">
      <x:c r="A2170" s="85"/>
      <x:c r="B2170" s="86"/>
    </x:row>
    <x:row r="2171">
      <x:c r="A2171" s="85"/>
      <x:c r="B2171" s="86"/>
    </x:row>
    <x:row r="2172">
      <x:c r="A2172" s="85"/>
      <x:c r="B2172" s="86"/>
    </x:row>
    <x:row r="2173">
      <x:c r="A2173" s="85"/>
      <x:c r="B2173" s="86"/>
    </x:row>
    <x:row r="2174">
      <x:c r="A2174" s="85"/>
      <x:c r="B2174" s="86"/>
    </x:row>
    <x:row r="2175">
      <x:c r="A2175" s="85"/>
      <x:c r="B2175" s="86"/>
    </x:row>
    <x:row r="2176">
      <x:c r="A2176" s="85"/>
      <x:c r="B2176" s="86"/>
    </x:row>
    <x:row r="2177">
      <x:c r="A2177" s="85"/>
      <x:c r="B2177" s="86"/>
    </x:row>
    <x:row r="2178">
      <x:c r="A2178" s="85"/>
      <x:c r="B2178" s="86"/>
    </x:row>
    <x:row r="2179">
      <x:c r="A2179" s="85"/>
      <x:c r="B2179" s="86"/>
    </x:row>
    <x:row r="2180">
      <x:c r="A2180" s="85"/>
      <x:c r="B2180" s="86"/>
    </x:row>
    <x:row r="2181">
      <x:c r="A2181" s="85"/>
      <x:c r="B2181" s="86"/>
    </x:row>
    <x:row r="2182">
      <x:c r="A2182" s="85"/>
      <x:c r="B2182" s="86"/>
    </x:row>
    <x:row r="2183">
      <x:c r="A2183" s="85"/>
      <x:c r="B2183" s="86"/>
    </x:row>
    <x:row r="2184">
      <x:c r="A2184" s="85"/>
      <x:c r="B2184" s="86"/>
    </x:row>
    <x:row r="2185">
      <x:c r="A2185" s="85"/>
      <x:c r="B2185" s="86"/>
    </x:row>
    <x:row r="2186">
      <x:c r="A2186" s="85"/>
      <x:c r="B2186" s="86"/>
    </x:row>
    <x:row r="2187">
      <x:c r="A2187" s="85"/>
      <x:c r="B2187" s="86"/>
    </x:row>
    <x:row r="2188">
      <x:c r="A2188" s="85"/>
      <x:c r="B2188" s="86"/>
    </x:row>
    <x:row r="2189">
      <x:c r="A2189" s="85"/>
      <x:c r="B2189" s="86"/>
    </x:row>
    <x:row r="2190">
      <x:c r="A2190" s="85"/>
      <x:c r="B2190" s="86"/>
    </x:row>
    <x:row r="2191">
      <x:c r="A2191" s="85"/>
      <x:c r="B2191" s="86"/>
    </x:row>
    <x:row r="2192">
      <x:c r="A2192" s="85"/>
      <x:c r="B2192" s="86"/>
    </x:row>
    <x:row r="2193">
      <x:c r="A2193" s="85"/>
      <x:c r="B2193" s="86"/>
    </x:row>
    <x:row r="2194">
      <x:c r="A2194" s="85"/>
      <x:c r="B2194" s="86"/>
    </x:row>
    <x:row r="2195">
      <x:c r="A2195" s="85"/>
      <x:c r="B2195" s="86"/>
    </x:row>
    <x:row r="2196">
      <x:c r="A2196" s="85"/>
      <x:c r="B2196" s="86"/>
    </x:row>
    <x:row r="2197">
      <x:c r="A2197" s="85"/>
      <x:c r="B2197" s="86"/>
    </x:row>
    <x:row r="2198">
      <x:c r="A2198" s="85"/>
      <x:c r="B2198" s="86"/>
    </x:row>
    <x:row r="2199">
      <x:c r="A2199" s="85"/>
      <x:c r="B2199" s="86"/>
    </x:row>
    <x:row r="2200">
      <x:c r="A2200" s="85"/>
      <x:c r="B2200" s="86"/>
    </x:row>
    <x:row r="2201">
      <x:c r="A2201" s="85"/>
      <x:c r="B2201" s="86"/>
    </x:row>
    <x:row r="2202">
      <x:c r="A2202" s="85"/>
      <x:c r="B2202" s="86"/>
    </x:row>
    <x:row r="2203">
      <x:c r="A2203" s="85"/>
      <x:c r="B2203" s="86"/>
    </x:row>
    <x:row r="2204">
      <x:c r="A2204" s="85"/>
      <x:c r="B2204" s="86"/>
    </x:row>
    <x:row r="2205">
      <x:c r="A2205" s="85"/>
      <x:c r="B2205" s="86"/>
    </x:row>
    <x:row r="2206">
      <x:c r="A2206" s="85"/>
      <x:c r="B2206" s="86"/>
    </x:row>
    <x:row r="2207">
      <x:c r="A2207" s="85"/>
      <x:c r="B2207" s="86"/>
    </x:row>
    <x:row r="2208">
      <x:c r="A2208" s="85"/>
      <x:c r="B2208" s="86"/>
    </x:row>
    <x:row r="2209">
      <x:c r="A2209" s="85"/>
      <x:c r="B2209" s="86"/>
    </x:row>
    <x:row r="2210">
      <x:c r="A2210" s="85"/>
      <x:c r="B2210" s="86"/>
    </x:row>
    <x:row r="2211">
      <x:c r="A2211" s="85"/>
      <x:c r="B2211" s="86"/>
    </x:row>
    <x:row r="2212">
      <x:c r="A2212" s="85"/>
      <x:c r="B2212" s="86"/>
    </x:row>
    <x:row r="2213">
      <x:c r="A2213" s="85"/>
      <x:c r="B2213" s="86"/>
    </x:row>
    <x:row r="2214">
      <x:c r="A2214" s="85"/>
      <x:c r="B2214" s="86"/>
    </x:row>
    <x:row r="2215">
      <x:c r="A2215" s="85"/>
      <x:c r="B2215" s="86"/>
    </x:row>
    <x:row r="2216">
      <x:c r="A2216" s="85"/>
      <x:c r="B2216" s="86"/>
    </x:row>
    <x:row r="2217">
      <x:c r="A2217" s="85"/>
      <x:c r="B2217" s="86"/>
    </x:row>
    <x:row r="2218">
      <x:c r="A2218" s="85"/>
      <x:c r="B2218" s="86"/>
    </x:row>
    <x:row r="2219">
      <x:c r="A2219" s="85"/>
      <x:c r="B2219" s="86"/>
    </x:row>
    <x:row r="2220">
      <x:c r="A2220" s="85"/>
      <x:c r="B2220" s="86"/>
    </x:row>
    <x:row r="2221">
      <x:c r="A2221" s="85"/>
      <x:c r="B2221" s="86"/>
    </x:row>
    <x:row r="2222">
      <x:c r="A2222" s="85"/>
      <x:c r="B2222" s="86"/>
    </x:row>
    <x:row r="2223">
      <x:c r="A2223" s="85"/>
      <x:c r="B2223" s="86"/>
    </x:row>
    <x:row r="2224">
      <x:c r="A2224" s="85"/>
      <x:c r="B2224" s="86"/>
    </x:row>
    <x:row r="2225">
      <x:c r="A2225" s="85"/>
      <x:c r="B2225" s="86"/>
    </x:row>
    <x:row r="2226">
      <x:c r="A2226" s="85"/>
      <x:c r="B2226" s="86"/>
    </x:row>
    <x:row r="2227">
      <x:c r="A2227" s="85"/>
      <x:c r="B2227" s="86"/>
    </x:row>
    <x:row r="2228">
      <x:c r="A2228" s="85"/>
      <x:c r="B2228" s="86"/>
    </x:row>
    <x:row r="2229">
      <x:c r="A2229" s="85"/>
      <x:c r="B2229" s="86"/>
    </x:row>
    <x:row r="2230">
      <x:c r="A2230" s="85"/>
      <x:c r="B2230" s="86"/>
    </x:row>
    <x:row r="2231">
      <x:c r="A2231" s="85"/>
      <x:c r="B2231" s="86"/>
    </x:row>
    <x:row r="2232">
      <x:c r="A2232" s="85"/>
      <x:c r="B2232" s="86"/>
    </x:row>
    <x:row r="2233">
      <x:c r="A2233" s="85"/>
      <x:c r="B2233" s="86"/>
    </x:row>
    <x:row r="2234">
      <x:c r="A2234" s="85"/>
      <x:c r="B2234" s="86"/>
    </x:row>
    <x:row r="2235">
      <x:c r="A2235" s="85"/>
      <x:c r="B2235" s="86"/>
    </x:row>
    <x:row r="2236">
      <x:c r="A2236" s="85"/>
      <x:c r="B2236" s="86"/>
    </x:row>
    <x:row r="2237">
      <x:c r="A2237" s="85"/>
      <x:c r="B2237" s="86"/>
    </x:row>
    <x:row r="2238">
      <x:c r="A2238" s="85"/>
      <x:c r="B2238" s="86"/>
    </x:row>
    <x:row r="2239">
      <x:c r="A2239" s="85"/>
      <x:c r="B2239" s="86"/>
    </x:row>
    <x:row r="2240">
      <x:c r="A2240" s="85"/>
      <x:c r="B2240" s="86"/>
    </x:row>
    <x:row r="2241">
      <x:c r="A2241" s="85"/>
      <x:c r="B2241" s="86"/>
    </x:row>
    <x:row r="2242">
      <x:c r="A2242" s="85"/>
      <x:c r="B2242" s="86"/>
    </x:row>
    <x:row r="2243">
      <x:c r="A2243" s="85"/>
      <x:c r="B2243" s="86"/>
    </x:row>
    <x:row r="2244">
      <x:c r="A2244" s="85"/>
      <x:c r="B2244" s="86"/>
    </x:row>
    <x:row r="2245">
      <x:c r="A2245" s="85"/>
      <x:c r="B2245" s="86"/>
    </x:row>
    <x:row r="2246">
      <x:c r="A2246" s="85"/>
      <x:c r="B2246" s="86"/>
    </x:row>
    <x:row r="2247">
      <x:c r="A2247" s="85"/>
      <x:c r="B2247" s="86"/>
    </x:row>
    <x:row r="2248">
      <x:c r="A2248" s="85"/>
      <x:c r="B2248" s="86"/>
    </x:row>
    <x:row r="2249">
      <x:c r="A2249" s="85"/>
      <x:c r="B2249" s="86"/>
    </x:row>
    <x:row r="2250">
      <x:c r="A2250" s="85"/>
      <x:c r="B2250" s="86"/>
    </x:row>
    <x:row r="2251">
      <x:c r="A2251" s="85"/>
      <x:c r="B2251" s="86"/>
    </x:row>
    <x:row r="2252">
      <x:c r="A2252" s="85"/>
      <x:c r="B2252" s="86"/>
    </x:row>
    <x:row r="2253">
      <x:c r="A2253" s="85"/>
      <x:c r="B2253" s="86"/>
    </x:row>
    <x:row r="2254">
      <x:c r="A2254" s="85"/>
      <x:c r="B2254" s="86"/>
    </x:row>
    <x:row r="2255">
      <x:c r="A2255" s="85"/>
      <x:c r="B2255" s="86"/>
    </x:row>
    <x:row r="2256">
      <x:c r="A2256" s="85"/>
      <x:c r="B2256" s="86"/>
    </x:row>
    <x:row r="2257">
      <x:c r="A2257" s="85"/>
      <x:c r="B2257" s="86"/>
    </x:row>
    <x:row r="2258">
      <x:c r="A2258" s="85"/>
      <x:c r="B2258" s="86"/>
    </x:row>
    <x:row r="2259">
      <x:c r="A2259" s="85"/>
      <x:c r="B2259" s="86"/>
    </x:row>
    <x:row r="2260">
      <x:c r="A2260" s="85"/>
      <x:c r="B2260" s="86"/>
    </x:row>
    <x:row r="2261">
      <x:c r="A2261" s="85"/>
      <x:c r="B2261" s="86"/>
    </x:row>
    <x:row r="2262">
      <x:c r="A2262" s="85"/>
      <x:c r="B2262" s="86"/>
    </x:row>
    <x:row r="2263">
      <x:c r="A2263" s="85"/>
      <x:c r="B2263" s="86"/>
    </x:row>
    <x:row r="2264">
      <x:c r="A2264" s="85"/>
      <x:c r="B2264" s="86"/>
    </x:row>
    <x:row r="2265">
      <x:c r="A2265" s="85"/>
      <x:c r="B2265" s="86"/>
    </x:row>
    <x:row r="2266">
      <x:c r="A2266" s="85"/>
      <x:c r="B2266" s="86"/>
    </x:row>
    <x:row r="2267">
      <x:c r="A2267" s="85"/>
      <x:c r="B2267" s="86"/>
    </x:row>
    <x:row r="2268">
      <x:c r="A2268" s="85"/>
      <x:c r="B2268" s="86"/>
    </x:row>
    <x:row r="2269">
      <x:c r="A2269" s="85"/>
      <x:c r="B2269" s="86"/>
    </x:row>
    <x:row r="2270">
      <x:c r="A2270" s="85"/>
      <x:c r="B2270" s="86"/>
    </x:row>
    <x:row r="2271">
      <x:c r="A2271" s="85"/>
      <x:c r="B2271" s="86"/>
    </x:row>
    <x:row r="2272">
      <x:c r="A2272" s="85"/>
      <x:c r="B2272" s="86"/>
    </x:row>
    <x:row r="2273">
      <x:c r="A2273" s="85"/>
      <x:c r="B2273" s="86"/>
    </x:row>
    <x:row r="2274">
      <x:c r="A2274" s="85"/>
      <x:c r="B2274" s="86"/>
    </x:row>
    <x:row r="2275">
      <x:c r="A2275" s="85"/>
      <x:c r="B2275" s="86"/>
    </x:row>
    <x:row r="2276">
      <x:c r="A2276" s="85"/>
      <x:c r="B2276" s="86"/>
    </x:row>
    <x:row r="2277">
      <x:c r="A2277" s="85"/>
      <x:c r="B2277" s="86"/>
    </x:row>
    <x:row r="2278">
      <x:c r="A2278" s="85"/>
      <x:c r="B2278" s="86"/>
    </x:row>
    <x:row r="2279">
      <x:c r="A2279" s="85"/>
      <x:c r="B2279" s="86"/>
    </x:row>
    <x:row r="2280">
      <x:c r="A2280" s="85"/>
      <x:c r="B2280" s="86"/>
    </x:row>
    <x:row r="2281">
      <x:c r="A2281" s="85"/>
      <x:c r="B2281" s="86"/>
    </x:row>
    <x:row r="2282">
      <x:c r="A2282" s="85"/>
      <x:c r="B2282" s="86"/>
    </x:row>
    <x:row r="2283">
      <x:c r="A2283" s="85"/>
      <x:c r="B2283" s="86"/>
    </x:row>
    <x:row r="2284">
      <x:c r="A2284" s="85"/>
      <x:c r="B2284" s="86"/>
    </x:row>
    <x:row r="2285">
      <x:c r="A2285" s="85"/>
      <x:c r="B2285" s="86"/>
    </x:row>
    <x:row r="2286">
      <x:c r="A2286" s="85"/>
      <x:c r="B2286" s="86"/>
    </x:row>
    <x:row r="2287">
      <x:c r="A2287" s="85"/>
      <x:c r="B2287" s="86"/>
    </x:row>
    <x:row r="2288">
      <x:c r="A2288" s="85"/>
      <x:c r="B2288" s="86"/>
    </x:row>
    <x:row r="2289">
      <x:c r="A2289" s="85"/>
      <x:c r="B2289" s="86"/>
    </x:row>
    <x:row r="2290">
      <x:c r="A2290" s="85"/>
      <x:c r="B2290" s="86"/>
    </x:row>
    <x:row r="2291">
      <x:c r="A2291" s="85"/>
      <x:c r="B2291" s="86"/>
    </x:row>
    <x:row r="2292">
      <x:c r="A2292" s="85"/>
      <x:c r="B2292" s="86"/>
    </x:row>
    <x:row r="2293">
      <x:c r="A2293" s="85"/>
      <x:c r="B2293" s="86"/>
    </x:row>
    <x:row r="2294">
      <x:c r="A2294" s="85"/>
      <x:c r="B2294" s="86"/>
    </x:row>
    <x:row r="2295">
      <x:c r="A2295" s="85"/>
      <x:c r="B2295" s="86"/>
    </x:row>
    <x:row r="2296">
      <x:c r="A2296" s="85"/>
      <x:c r="B2296" s="86"/>
    </x:row>
    <x:row r="2297">
      <x:c r="A2297" s="85"/>
      <x:c r="B2297" s="86"/>
    </x:row>
    <x:row r="2298">
      <x:c r="A2298" s="85"/>
      <x:c r="B2298" s="86"/>
    </x:row>
    <x:row r="2299">
      <x:c r="A2299" s="85"/>
      <x:c r="B2299" s="86"/>
    </x:row>
    <x:row r="2300">
      <x:c r="A2300" s="85"/>
      <x:c r="B2300" s="86"/>
    </x:row>
    <x:row r="2301">
      <x:c r="A2301" s="85"/>
      <x:c r="B2301" s="86"/>
    </x:row>
    <x:row r="2302">
      <x:c r="A2302" s="85"/>
      <x:c r="B2302" s="86"/>
    </x:row>
    <x:row r="2303">
      <x:c r="A2303" s="85"/>
      <x:c r="B2303" s="86"/>
    </x:row>
    <x:row r="2304">
      <x:c r="A2304" s="85"/>
      <x:c r="B2304" s="86"/>
    </x:row>
    <x:row r="2305">
      <x:c r="A2305" s="85"/>
      <x:c r="B2305" s="86"/>
    </x:row>
    <x:row r="2306">
      <x:c r="A2306" s="85"/>
      <x:c r="B2306" s="86"/>
    </x:row>
    <x:row r="2307">
      <x:c r="A2307" s="85"/>
      <x:c r="B2307" s="86"/>
    </x:row>
    <x:row r="2308">
      <x:c r="A2308" s="85"/>
      <x:c r="B2308" s="86"/>
    </x:row>
    <x:row r="2309">
      <x:c r="A2309" s="85"/>
      <x:c r="B2309" s="86"/>
    </x:row>
    <x:row r="2310">
      <x:c r="A2310" s="85"/>
      <x:c r="B2310" s="86"/>
    </x:row>
    <x:row r="2311">
      <x:c r="A2311" s="85"/>
      <x:c r="B2311" s="86"/>
    </x:row>
    <x:row r="2312">
      <x:c r="A2312" s="85"/>
      <x:c r="B2312" s="86"/>
    </x:row>
    <x:row r="2313">
      <x:c r="A2313" s="85"/>
      <x:c r="B2313" s="86"/>
    </x:row>
    <x:row r="2314">
      <x:c r="A2314" s="85"/>
      <x:c r="B2314" s="86"/>
    </x:row>
    <x:row r="2315">
      <x:c r="A2315" s="85"/>
      <x:c r="B2315" s="86"/>
    </x:row>
    <x:row r="2316">
      <x:c r="A2316" s="85"/>
      <x:c r="B2316" s="86"/>
    </x:row>
    <x:row r="2317">
      <x:c r="A2317" s="85"/>
      <x:c r="B2317" s="86"/>
    </x:row>
    <x:row r="2318">
      <x:c r="A2318" s="85"/>
      <x:c r="B2318" s="86"/>
    </x:row>
    <x:row r="2319">
      <x:c r="A2319" s="85"/>
      <x:c r="B2319" s="86"/>
    </x:row>
    <x:row r="2320">
      <x:c r="A2320" s="85"/>
      <x:c r="B2320" s="86"/>
    </x:row>
    <x:row r="2321">
      <x:c r="A2321" s="85"/>
      <x:c r="B2321" s="86"/>
    </x:row>
    <x:row r="2322">
      <x:c r="A2322" s="85"/>
      <x:c r="B2322" s="86"/>
    </x:row>
    <x:row r="2323">
      <x:c r="A2323" s="85"/>
      <x:c r="B2323" s="86"/>
    </x:row>
    <x:row r="2324">
      <x:c r="A2324" s="85"/>
      <x:c r="B2324" s="86"/>
    </x:row>
    <x:row r="2325">
      <x:c r="A2325" s="85"/>
      <x:c r="B2325" s="86"/>
    </x:row>
    <x:row r="2326">
      <x:c r="A2326" s="85"/>
      <x:c r="B2326" s="86"/>
    </x:row>
    <x:row r="2327">
      <x:c r="A2327" s="85"/>
      <x:c r="B2327" s="86"/>
    </x:row>
    <x:row r="2328">
      <x:c r="A2328" s="85"/>
      <x:c r="B2328" s="86"/>
    </x:row>
    <x:row r="2329">
      <x:c r="A2329" s="85"/>
      <x:c r="B2329" s="86"/>
    </x:row>
    <x:row r="2330">
      <x:c r="A2330" s="85"/>
      <x:c r="B2330" s="86"/>
    </x:row>
    <x:row r="2331">
      <x:c r="A2331" s="85"/>
      <x:c r="B2331" s="86"/>
    </x:row>
    <x:row r="2332">
      <x:c r="A2332" s="85"/>
      <x:c r="B2332" s="86"/>
    </x:row>
    <x:row r="2333">
      <x:c r="A2333" s="85"/>
      <x:c r="B2333" s="86"/>
    </x:row>
    <x:row r="2334">
      <x:c r="A2334" s="85"/>
      <x:c r="B2334" s="86"/>
    </x:row>
    <x:row r="2335">
      <x:c r="A2335" s="85"/>
      <x:c r="B2335" s="86"/>
    </x:row>
    <x:row r="2336">
      <x:c r="A2336" s="85"/>
      <x:c r="B2336" s="86"/>
    </x:row>
    <x:row r="2337">
      <x:c r="A2337" s="85"/>
      <x:c r="B2337" s="86"/>
    </x:row>
    <x:row r="2338">
      <x:c r="A2338" s="85"/>
      <x:c r="B2338" s="86"/>
    </x:row>
    <x:row r="2339">
      <x:c r="A2339" s="85"/>
      <x:c r="B2339" s="86"/>
    </x:row>
    <x:row r="2340">
      <x:c r="A2340" s="85"/>
      <x:c r="B2340" s="86"/>
    </x:row>
    <x:row r="2341">
      <x:c r="A2341" s="85"/>
      <x:c r="B2341" s="86"/>
    </x:row>
    <x:row r="2342">
      <x:c r="A2342" s="85"/>
      <x:c r="B2342" s="86"/>
    </x:row>
    <x:row r="2343">
      <x:c r="A2343" s="85"/>
      <x:c r="B2343" s="86"/>
    </x:row>
    <x:row r="2344">
      <x:c r="A2344" s="85"/>
      <x:c r="B2344" s="86"/>
    </x:row>
    <x:row r="2345">
      <x:c r="A2345" s="85"/>
      <x:c r="B2345" s="86"/>
    </x:row>
    <x:row r="2346">
      <x:c r="A2346" s="85"/>
      <x:c r="B2346" s="86"/>
    </x:row>
    <x:row r="2347">
      <x:c r="A2347" s="85"/>
      <x:c r="B2347" s="86"/>
    </x:row>
    <x:row r="2348">
      <x:c r="A2348" s="85"/>
      <x:c r="B2348" s="86"/>
    </x:row>
    <x:row r="2349">
      <x:c r="A2349" s="85"/>
      <x:c r="B2349" s="86"/>
    </x:row>
    <x:row r="2350">
      <x:c r="A2350" s="85"/>
      <x:c r="B2350" s="86"/>
    </x:row>
    <x:row r="2351">
      <x:c r="A2351" s="85"/>
      <x:c r="B2351" s="86"/>
    </x:row>
    <x:row r="2352">
      <x:c r="A2352" s="85"/>
      <x:c r="B2352" s="86"/>
    </x:row>
    <x:row r="2353">
      <x:c r="A2353" s="85"/>
      <x:c r="B2353" s="86"/>
    </x:row>
    <x:row r="2354">
      <x:c r="A2354" s="85"/>
      <x:c r="B2354" s="86"/>
    </x:row>
    <x:row r="2355">
      <x:c r="A2355" s="85"/>
      <x:c r="B2355" s="86"/>
    </x:row>
    <x:row r="2356">
      <x:c r="A2356" s="85"/>
      <x:c r="B2356" s="86"/>
    </x:row>
    <x:row r="2357">
      <x:c r="A2357" s="85"/>
      <x:c r="B2357" s="86"/>
    </x:row>
    <x:row r="2358">
      <x:c r="A2358" s="85"/>
      <x:c r="B2358" s="86"/>
    </x:row>
    <x:row r="2359">
      <x:c r="A2359" s="85"/>
      <x:c r="B2359" s="86"/>
    </x:row>
    <x:row r="2360">
      <x:c r="A2360" s="85"/>
      <x:c r="B2360" s="86"/>
    </x:row>
    <x:row r="2361">
      <x:c r="A2361" s="85"/>
      <x:c r="B2361" s="86"/>
    </x:row>
    <x:row r="2362">
      <x:c r="A2362" s="85"/>
      <x:c r="B2362" s="86"/>
    </x:row>
    <x:row r="2363">
      <x:c r="A2363" s="85"/>
      <x:c r="B2363" s="86"/>
    </x:row>
    <x:row r="2364">
      <x:c r="A2364" s="85"/>
      <x:c r="B2364" s="86"/>
    </x:row>
    <x:row r="2365">
      <x:c r="A2365" s="85"/>
      <x:c r="B2365" s="86"/>
    </x:row>
    <x:row r="2366">
      <x:c r="A2366" s="85"/>
      <x:c r="B2366" s="86"/>
    </x:row>
    <x:row r="2367">
      <x:c r="A2367" s="85"/>
      <x:c r="B2367" s="86"/>
    </x:row>
    <x:row r="2368">
      <x:c r="A2368" s="85"/>
      <x:c r="B2368" s="86"/>
    </x:row>
    <x:row r="2369">
      <x:c r="A2369" s="85"/>
      <x:c r="B2369" s="86"/>
    </x:row>
    <x:row r="2370">
      <x:c r="A2370" s="85"/>
      <x:c r="B2370" s="86"/>
    </x:row>
    <x:row r="2371">
      <x:c r="A2371" s="85"/>
      <x:c r="B2371" s="86"/>
    </x:row>
    <x:row r="2372">
      <x:c r="A2372" s="85"/>
      <x:c r="B2372" s="86"/>
    </x:row>
    <x:row r="2373">
      <x:c r="A2373" s="85"/>
      <x:c r="B2373" s="86"/>
    </x:row>
    <x:row r="2374">
      <x:c r="A2374" s="85"/>
      <x:c r="B2374" s="86"/>
    </x:row>
    <x:row r="2375">
      <x:c r="A2375" s="85"/>
      <x:c r="B2375" s="86"/>
    </x:row>
    <x:row r="2376">
      <x:c r="A2376" s="85"/>
      <x:c r="B2376" s="86"/>
    </x:row>
    <x:row r="2377">
      <x:c r="A2377" s="85"/>
      <x:c r="B2377" s="86"/>
    </x:row>
    <x:row r="2378">
      <x:c r="A2378" s="85"/>
      <x:c r="B2378" s="86"/>
    </x:row>
    <x:row r="2379">
      <x:c r="A2379" s="85"/>
      <x:c r="B2379" s="86"/>
    </x:row>
    <x:row r="2380">
      <x:c r="A2380" s="85"/>
      <x:c r="B2380" s="86"/>
    </x:row>
    <x:row r="2381">
      <x:c r="A2381" s="85"/>
      <x:c r="B2381" s="86"/>
    </x:row>
    <x:row r="2382">
      <x:c r="A2382" s="85"/>
      <x:c r="B2382" s="86"/>
    </x:row>
    <x:row r="2383">
      <x:c r="A2383" s="85"/>
      <x:c r="B2383" s="86"/>
    </x:row>
    <x:row r="2384">
      <x:c r="A2384" s="85"/>
      <x:c r="B2384" s="86"/>
    </x:row>
    <x:row r="2385">
      <x:c r="A2385" s="85"/>
      <x:c r="B2385" s="86"/>
    </x:row>
    <x:row r="2386">
      <x:c r="A2386" s="85"/>
      <x:c r="B2386" s="86"/>
    </x:row>
    <x:row r="2387">
      <x:c r="A2387" s="85"/>
      <x:c r="B2387" s="86"/>
    </x:row>
    <x:row r="2388">
      <x:c r="A2388" s="85"/>
      <x:c r="B2388" s="86"/>
    </x:row>
    <x:row r="2389">
      <x:c r="A2389" s="85"/>
      <x:c r="B2389" s="86"/>
    </x:row>
    <x:row r="2390">
      <x:c r="A2390" s="85"/>
      <x:c r="B2390" s="86"/>
    </x:row>
    <x:row r="2391">
      <x:c r="A2391" s="85"/>
      <x:c r="B2391" s="86"/>
    </x:row>
    <x:row r="2392">
      <x:c r="A2392" s="85"/>
      <x:c r="B2392" s="86"/>
    </x:row>
    <x:row r="2393">
      <x:c r="A2393" s="85"/>
      <x:c r="B2393" s="86"/>
    </x:row>
    <x:row r="2394">
      <x:c r="A2394" s="85"/>
      <x:c r="B2394" s="86"/>
    </x:row>
    <x:row r="2395">
      <x:c r="A2395" s="85"/>
      <x:c r="B2395" s="86"/>
    </x:row>
    <x:row r="2396">
      <x:c r="A2396" s="85"/>
      <x:c r="B2396" s="86"/>
    </x:row>
    <x:row r="2397">
      <x:c r="A2397" s="85"/>
      <x:c r="B2397" s="86"/>
    </x:row>
    <x:row r="2398">
      <x:c r="A2398" s="85"/>
      <x:c r="B2398" s="86"/>
    </x:row>
    <x:row r="2399">
      <x:c r="A2399" s="85"/>
      <x:c r="B2399" s="86"/>
    </x:row>
    <x:row r="2400">
      <x:c r="A2400" s="85"/>
      <x:c r="B2400" s="86"/>
    </x:row>
    <x:row r="2401">
      <x:c r="A2401" s="85"/>
      <x:c r="B2401" s="86"/>
    </x:row>
    <x:row r="2402">
      <x:c r="A2402" s="85"/>
      <x:c r="B2402" s="86"/>
    </x:row>
    <x:row r="2403">
      <x:c r="A2403" s="85"/>
      <x:c r="B2403" s="86"/>
    </x:row>
    <x:row r="2404">
      <x:c r="A2404" s="85"/>
      <x:c r="B2404" s="86"/>
    </x:row>
    <x:row r="2405">
      <x:c r="A2405" s="85"/>
      <x:c r="B2405" s="86"/>
    </x:row>
    <x:row r="2406">
      <x:c r="A2406" s="85"/>
      <x:c r="B2406" s="86"/>
    </x:row>
    <x:row r="2407">
      <x:c r="A2407" s="85"/>
      <x:c r="B2407" s="86"/>
    </x:row>
    <x:row r="2408">
      <x:c r="A2408" s="85"/>
      <x:c r="B2408" s="86"/>
    </x:row>
    <x:row r="2409">
      <x:c r="A2409" s="85"/>
      <x:c r="B2409" s="86"/>
    </x:row>
    <x:row r="2410">
      <x:c r="A2410" s="85"/>
      <x:c r="B2410" s="86"/>
    </x:row>
    <x:row r="2411">
      <x:c r="A2411" s="85"/>
      <x:c r="B2411" s="86"/>
    </x:row>
    <x:row r="2412">
      <x:c r="A2412" s="85"/>
      <x:c r="B2412" s="86"/>
    </x:row>
    <x:row r="2413">
      <x:c r="A2413" s="85"/>
      <x:c r="B2413" s="86"/>
    </x:row>
    <x:row r="2414">
      <x:c r="A2414" s="85"/>
      <x:c r="B2414" s="86"/>
    </x:row>
    <x:row r="2415">
      <x:c r="A2415" s="85"/>
      <x:c r="B2415" s="86"/>
    </x:row>
    <x:row r="2416">
      <x:c r="A2416" s="85"/>
      <x:c r="B2416" s="86"/>
    </x:row>
    <x:row r="2417">
      <x:c r="A2417" s="85"/>
      <x:c r="B2417" s="86"/>
    </x:row>
    <x:row r="2418">
      <x:c r="A2418" s="85"/>
      <x:c r="B2418" s="86"/>
    </x:row>
    <x:row r="2419">
      <x:c r="A2419" s="85"/>
      <x:c r="B2419" s="86"/>
    </x:row>
    <x:row r="2420">
      <x:c r="A2420" s="85"/>
      <x:c r="B2420" s="86"/>
    </x:row>
    <x:row r="2421">
      <x:c r="A2421" s="85"/>
      <x:c r="B2421" s="86"/>
    </x:row>
    <x:row r="2422">
      <x:c r="A2422" s="85"/>
      <x:c r="B2422" s="86"/>
    </x:row>
    <x:row r="2423">
      <x:c r="A2423" s="85"/>
      <x:c r="B2423" s="86"/>
    </x:row>
    <x:row r="2424">
      <x:c r="A2424" s="85"/>
      <x:c r="B2424" s="86"/>
    </x:row>
    <x:row r="2425">
      <x:c r="A2425" s="85"/>
      <x:c r="B2425" s="86"/>
    </x:row>
    <x:row r="2426">
      <x:c r="A2426" s="85"/>
      <x:c r="B2426" s="86"/>
    </x:row>
    <x:row r="2427">
      <x:c r="A2427" s="85"/>
      <x:c r="B2427" s="86"/>
    </x:row>
    <x:row r="2428">
      <x:c r="A2428" s="85"/>
      <x:c r="B2428" s="86"/>
    </x:row>
    <x:row r="2429">
      <x:c r="A2429" s="85"/>
      <x:c r="B2429" s="86"/>
    </x:row>
    <x:row r="2430">
      <x:c r="A2430" s="85"/>
      <x:c r="B2430" s="86"/>
    </x:row>
    <x:row r="2431">
      <x:c r="A2431" s="85"/>
      <x:c r="B2431" s="86"/>
    </x:row>
    <x:row r="2432">
      <x:c r="A2432" s="85"/>
      <x:c r="B2432" s="86"/>
    </x:row>
    <x:row r="2433">
      <x:c r="A2433" s="85"/>
      <x:c r="B2433" s="86"/>
    </x:row>
    <x:row r="2434">
      <x:c r="A2434" s="85"/>
      <x:c r="B2434" s="86"/>
    </x:row>
    <x:row r="2435">
      <x:c r="A2435" s="85"/>
      <x:c r="B2435" s="86"/>
    </x:row>
    <x:row r="2436">
      <x:c r="A2436" s="85"/>
      <x:c r="B2436" s="86"/>
    </x:row>
    <x:row r="2437">
      <x:c r="A2437" s="85"/>
      <x:c r="B2437" s="86"/>
    </x:row>
    <x:row r="2438">
      <x:c r="A2438" s="85"/>
      <x:c r="B2438" s="86"/>
    </x:row>
    <x:row r="2439">
      <x:c r="A2439" s="85"/>
      <x:c r="B2439" s="86"/>
    </x:row>
    <x:row r="2440">
      <x:c r="A2440" s="85"/>
      <x:c r="B2440" s="86"/>
    </x:row>
    <x:row r="2441">
      <x:c r="A2441" s="85"/>
      <x:c r="B2441" s="86"/>
    </x:row>
    <x:row r="2442">
      <x:c r="A2442" s="85"/>
      <x:c r="B2442" s="86"/>
    </x:row>
    <x:row r="2443">
      <x:c r="A2443" s="85"/>
      <x:c r="B2443" s="86"/>
    </x:row>
    <x:row r="2444">
      <x:c r="A2444" s="85"/>
      <x:c r="B2444" s="86"/>
    </x:row>
    <x:row r="2445">
      <x:c r="A2445" s="85"/>
      <x:c r="B2445" s="86"/>
    </x:row>
    <x:row r="2446">
      <x:c r="A2446" s="85"/>
      <x:c r="B2446" s="86"/>
    </x:row>
    <x:row r="2447">
      <x:c r="A2447" s="85"/>
      <x:c r="B2447" s="86"/>
    </x:row>
    <x:row r="2448">
      <x:c r="A2448" s="85"/>
      <x:c r="B2448" s="86"/>
    </x:row>
    <x:row r="2449">
      <x:c r="A2449" s="85"/>
      <x:c r="B2449" s="86"/>
    </x:row>
    <x:row r="2450">
      <x:c r="A2450" s="85"/>
      <x:c r="B2450" s="86"/>
    </x:row>
    <x:row r="2451">
      <x:c r="A2451" s="85"/>
      <x:c r="B2451" s="86"/>
    </x:row>
    <x:row r="2452">
      <x:c r="A2452" s="85"/>
      <x:c r="B2452" s="86"/>
    </x:row>
    <x:row r="2453">
      <x:c r="A2453" s="85"/>
      <x:c r="B2453" s="86"/>
    </x:row>
    <x:row r="2454">
      <x:c r="A2454" s="85"/>
      <x:c r="B2454" s="86"/>
    </x:row>
    <x:row r="2455">
      <x:c r="A2455" s="85"/>
      <x:c r="B2455" s="86"/>
    </x:row>
    <x:row r="2456">
      <x:c r="A2456" s="85"/>
      <x:c r="B2456" s="86"/>
    </x:row>
    <x:row r="2457">
      <x:c r="A2457" s="85"/>
      <x:c r="B2457" s="86"/>
    </x:row>
    <x:row r="2458">
      <x:c r="A2458" s="85"/>
      <x:c r="B2458" s="86"/>
    </x:row>
    <x:row r="2459">
      <x:c r="A2459" s="85"/>
      <x:c r="B2459" s="86"/>
    </x:row>
    <x:row r="2460">
      <x:c r="A2460" s="85"/>
      <x:c r="B2460" s="86"/>
    </x:row>
    <x:row r="2461">
      <x:c r="A2461" s="85"/>
      <x:c r="B2461" s="86"/>
    </x:row>
    <x:row r="2462">
      <x:c r="A2462" s="85"/>
      <x:c r="B2462" s="86"/>
    </x:row>
    <x:row r="2463">
      <x:c r="A2463" s="85"/>
      <x:c r="B2463" s="86"/>
    </x:row>
    <x:row r="2464">
      <x:c r="A2464" s="85"/>
      <x:c r="B2464" s="86"/>
    </x:row>
    <x:row r="2465">
      <x:c r="A2465" s="85"/>
      <x:c r="B2465" s="86"/>
    </x:row>
    <x:row r="2466">
      <x:c r="A2466" s="85"/>
      <x:c r="B2466" s="86"/>
    </x:row>
    <x:row r="2467">
      <x:c r="A2467" s="85"/>
      <x:c r="B2467" s="86"/>
    </x:row>
    <x:row r="2468">
      <x:c r="A2468" s="85"/>
      <x:c r="B2468" s="86"/>
    </x:row>
    <x:row r="2469">
      <x:c r="A2469" s="85"/>
      <x:c r="B2469" s="86"/>
    </x:row>
    <x:row r="2470">
      <x:c r="A2470" s="85"/>
      <x:c r="B2470" s="86"/>
    </x:row>
    <x:row r="2471">
      <x:c r="A2471" s="85"/>
      <x:c r="B2471" s="86"/>
    </x:row>
    <x:row r="2472">
      <x:c r="A2472" s="85"/>
      <x:c r="B2472" s="86"/>
    </x:row>
    <x:row r="2473">
      <x:c r="A2473" s="85"/>
      <x:c r="B2473" s="86"/>
    </x:row>
    <x:row r="2474">
      <x:c r="A2474" s="85"/>
      <x:c r="B2474" s="86"/>
    </x:row>
    <x:row r="2475">
      <x:c r="A2475" s="85"/>
      <x:c r="B2475" s="86"/>
    </x:row>
    <x:row r="2476">
      <x:c r="A2476" s="85"/>
      <x:c r="B2476" s="86"/>
    </x:row>
    <x:row r="2477">
      <x:c r="A2477" s="85"/>
      <x:c r="B2477" s="86"/>
    </x:row>
    <x:row r="2478">
      <x:c r="A2478" s="85"/>
      <x:c r="B2478" s="86"/>
    </x:row>
    <x:row r="2479">
      <x:c r="A2479" s="85"/>
      <x:c r="B2479" s="86"/>
    </x:row>
    <x:row r="2480">
      <x:c r="A2480" s="85"/>
      <x:c r="B2480" s="86"/>
    </x:row>
    <x:row r="2481">
      <x:c r="A2481" s="85"/>
      <x:c r="B2481" s="86"/>
    </x:row>
    <x:row r="2482">
      <x:c r="A2482" s="85"/>
      <x:c r="B2482" s="86"/>
    </x:row>
    <x:row r="2483">
      <x:c r="A2483" s="85"/>
      <x:c r="B2483" s="86"/>
    </x:row>
    <x:row r="2484">
      <x:c r="A2484" s="85"/>
      <x:c r="B2484" s="86"/>
    </x:row>
    <x:row r="2485">
      <x:c r="A2485" s="85"/>
      <x:c r="B2485" s="86"/>
    </x:row>
    <x:row r="2486">
      <x:c r="A2486" s="85"/>
      <x:c r="B2486" s="86"/>
    </x:row>
    <x:row r="2487">
      <x:c r="A2487" s="85"/>
      <x:c r="B2487" s="86"/>
    </x:row>
    <x:row r="2488">
      <x:c r="A2488" s="85"/>
      <x:c r="B2488" s="86"/>
    </x:row>
    <x:row r="2489">
      <x:c r="A2489" s="85"/>
      <x:c r="B2489" s="86"/>
    </x:row>
    <x:row r="2490">
      <x:c r="A2490" s="85"/>
      <x:c r="B2490" s="86"/>
    </x:row>
    <x:row r="2491">
      <x:c r="A2491" s="85"/>
      <x:c r="B2491" s="86"/>
    </x:row>
    <x:row r="2492">
      <x:c r="A2492" s="85"/>
      <x:c r="B2492" s="86"/>
    </x:row>
    <x:row r="2493">
      <x:c r="A2493" s="85"/>
      <x:c r="B2493" s="86"/>
    </x:row>
    <x:row r="2494">
      <x:c r="A2494" s="85"/>
      <x:c r="B2494" s="86"/>
    </x:row>
    <x:row r="2495">
      <x:c r="A2495" s="85"/>
      <x:c r="B2495" s="86"/>
    </x:row>
    <x:row r="2496">
      <x:c r="A2496" s="85"/>
      <x:c r="B2496" s="86"/>
    </x:row>
    <x:row r="2497">
      <x:c r="A2497" s="85"/>
      <x:c r="B2497" s="86"/>
    </x:row>
    <x:row r="2498">
      <x:c r="A2498" s="85"/>
      <x:c r="B2498" s="86"/>
    </x:row>
    <x:row r="2499">
      <x:c r="A2499" s="85"/>
      <x:c r="B2499" s="86"/>
    </x:row>
    <x:row r="2500">
      <x:c r="A2500" s="85"/>
      <x:c r="B2500" s="86"/>
    </x:row>
    <x:row r="2501">
      <x:c r="A2501" s="85"/>
      <x:c r="B2501" s="86"/>
    </x:row>
    <x:row r="2502">
      <x:c r="A2502" s="85"/>
      <x:c r="B2502" s="86"/>
    </x:row>
    <x:row r="2503">
      <x:c r="A2503" s="85"/>
      <x:c r="B2503" s="86"/>
    </x:row>
    <x:row r="2504">
      <x:c r="A2504" s="85"/>
      <x:c r="B2504" s="86"/>
    </x:row>
    <x:row r="2505">
      <x:c r="A2505" s="85"/>
      <x:c r="B2505" s="86"/>
    </x:row>
    <x:row r="2506">
      <x:c r="A2506" s="85"/>
      <x:c r="B2506" s="86"/>
    </x:row>
    <x:row r="2507">
      <x:c r="A2507" s="85"/>
      <x:c r="B2507" s="86"/>
    </x:row>
    <x:row r="2508">
      <x:c r="A2508" s="85"/>
      <x:c r="B2508" s="86"/>
    </x:row>
    <x:row r="2509">
      <x:c r="A2509" s="85"/>
      <x:c r="B2509" s="86"/>
    </x:row>
    <x:row r="2510">
      <x:c r="A2510" s="85"/>
      <x:c r="B2510" s="86"/>
    </x:row>
    <x:row r="2511">
      <x:c r="A2511" s="85"/>
      <x:c r="B2511" s="86"/>
    </x:row>
    <x:row r="2512">
      <x:c r="A2512" s="85"/>
      <x:c r="B2512" s="86"/>
    </x:row>
    <x:row r="2513">
      <x:c r="A2513" s="85"/>
      <x:c r="B2513" s="86"/>
    </x:row>
    <x:row r="2514">
      <x:c r="A2514" s="85"/>
      <x:c r="B2514" s="86"/>
    </x:row>
    <x:row r="2515">
      <x:c r="A2515" s="85"/>
      <x:c r="B2515" s="86"/>
    </x:row>
    <x:row r="2516">
      <x:c r="A2516" s="85"/>
      <x:c r="B2516" s="86"/>
    </x:row>
    <x:row r="2517">
      <x:c r="A2517" s="85"/>
      <x:c r="B2517" s="86"/>
    </x:row>
    <x:row r="2518">
      <x:c r="A2518" s="85"/>
      <x:c r="B2518" s="86"/>
    </x:row>
    <x:row r="2519">
      <x:c r="A2519" s="85"/>
      <x:c r="B2519" s="86"/>
    </x:row>
    <x:row r="2520">
      <x:c r="A2520" s="85"/>
      <x:c r="B2520" s="86"/>
    </x:row>
    <x:row r="2521">
      <x:c r="A2521" s="85"/>
      <x:c r="B2521" s="86"/>
    </x:row>
    <x:row r="2522">
      <x:c r="A2522" s="85"/>
      <x:c r="B2522" s="86"/>
    </x:row>
    <x:row r="2523">
      <x:c r="A2523" s="85"/>
      <x:c r="B2523" s="86"/>
    </x:row>
    <x:row r="2524">
      <x:c r="A2524" s="85"/>
      <x:c r="B2524" s="86"/>
    </x:row>
    <x:row r="2525">
      <x:c r="A2525" s="85"/>
      <x:c r="B2525" s="86"/>
    </x:row>
    <x:row r="2526">
      <x:c r="A2526" s="85"/>
      <x:c r="B2526" s="86"/>
    </x:row>
    <x:row r="2527">
      <x:c r="A2527" s="85"/>
      <x:c r="B2527" s="86"/>
    </x:row>
    <x:row r="2528">
      <x:c r="A2528" s="85"/>
      <x:c r="B2528" s="86"/>
    </x:row>
    <x:row r="2529">
      <x:c r="A2529" s="85"/>
      <x:c r="B2529" s="86"/>
    </x:row>
    <x:row r="2530">
      <x:c r="A2530" s="85"/>
      <x:c r="B2530" s="86"/>
    </x:row>
    <x:row r="2531">
      <x:c r="A2531" s="85"/>
      <x:c r="B2531" s="86"/>
    </x:row>
    <x:row r="2532">
      <x:c r="A2532" s="85"/>
      <x:c r="B2532" s="86"/>
    </x:row>
    <x:row r="2533">
      <x:c r="A2533" s="85"/>
      <x:c r="B2533" s="86"/>
    </x:row>
    <x:row r="2534">
      <x:c r="A2534" s="85"/>
      <x:c r="B2534" s="86"/>
    </x:row>
    <x:row r="2535">
      <x:c r="A2535" s="85"/>
      <x:c r="B2535" s="86"/>
    </x:row>
    <x:row r="2536">
      <x:c r="A2536" s="85"/>
      <x:c r="B2536" s="86"/>
    </x:row>
    <x:row r="2537">
      <x:c r="A2537" s="85"/>
      <x:c r="B2537" s="86"/>
    </x:row>
    <x:row r="2538">
      <x:c r="A2538" s="85"/>
      <x:c r="B2538" s="86"/>
    </x:row>
    <x:row r="2539">
      <x:c r="A2539" s="85"/>
      <x:c r="B2539" s="86"/>
    </x:row>
    <x:row r="2540">
      <x:c r="A2540" s="85"/>
      <x:c r="B2540" s="86"/>
    </x:row>
    <x:row r="2541">
      <x:c r="A2541" s="85"/>
      <x:c r="B2541" s="86"/>
    </x:row>
    <x:row r="2542">
      <x:c r="A2542" s="85"/>
      <x:c r="B2542" s="86"/>
    </x:row>
    <x:row r="2543">
      <x:c r="A2543" s="85"/>
      <x:c r="B2543" s="86"/>
    </x:row>
    <x:row r="2544">
      <x:c r="A2544" s="85"/>
      <x:c r="B2544" s="86"/>
    </x:row>
    <x:row r="2545">
      <x:c r="A2545" s="85"/>
      <x:c r="B2545" s="86"/>
    </x:row>
    <x:row r="2546">
      <x:c r="A2546" s="85"/>
      <x:c r="B2546" s="86"/>
    </x:row>
    <x:row r="2547">
      <x:c r="A2547" s="85"/>
      <x:c r="B2547" s="86"/>
    </x:row>
    <x:row r="2548">
      <x:c r="A2548" s="85"/>
      <x:c r="B2548" s="86"/>
    </x:row>
    <x:row r="2549">
      <x:c r="A2549" s="85"/>
      <x:c r="B2549" s="86"/>
    </x:row>
    <x:row r="2550">
      <x:c r="A2550" s="85"/>
      <x:c r="B2550" s="86"/>
    </x:row>
    <x:row r="2551">
      <x:c r="A2551" s="85"/>
      <x:c r="B2551" s="86"/>
    </x:row>
    <x:row r="2552">
      <x:c r="A2552" s="85"/>
      <x:c r="B2552" s="86"/>
    </x:row>
    <x:row r="2553">
      <x:c r="A2553" s="85"/>
      <x:c r="B2553" s="86"/>
    </x:row>
    <x:row r="2554">
      <x:c r="A2554" s="85"/>
      <x:c r="B2554" s="86"/>
    </x:row>
    <x:row r="2555">
      <x:c r="A2555" s="85"/>
      <x:c r="B2555" s="86"/>
    </x:row>
    <x:row r="2556">
      <x:c r="A2556" s="85"/>
      <x:c r="B2556" s="86"/>
    </x:row>
    <x:row r="2557">
      <x:c r="A2557" s="85"/>
      <x:c r="B2557" s="86"/>
    </x:row>
    <x:row r="2558">
      <x:c r="A2558" s="85"/>
      <x:c r="B2558" s="86"/>
    </x:row>
    <x:row r="2559">
      <x:c r="A2559" s="85"/>
      <x:c r="B2559" s="86"/>
    </x:row>
    <x:row r="2560">
      <x:c r="A2560" s="85"/>
      <x:c r="B2560" s="86"/>
    </x:row>
    <x:row r="2561">
      <x:c r="A2561" s="85"/>
      <x:c r="B2561" s="86"/>
    </x:row>
    <x:row r="2562">
      <x:c r="A2562" s="85"/>
      <x:c r="B2562" s="86"/>
    </x:row>
    <x:row r="2563">
      <x:c r="A2563" s="85"/>
      <x:c r="B2563" s="86"/>
    </x:row>
    <x:row r="2564">
      <x:c r="A2564" s="85"/>
      <x:c r="B2564" s="86"/>
    </x:row>
    <x:row r="2565">
      <x:c r="A2565" s="85"/>
      <x:c r="B2565" s="86"/>
    </x:row>
    <x:row r="2566">
      <x:c r="A2566" s="85"/>
      <x:c r="B2566" s="86"/>
    </x:row>
    <x:row r="2567">
      <x:c r="A2567" s="85"/>
      <x:c r="B2567" s="86"/>
    </x:row>
    <x:row r="2568">
      <x:c r="A2568" s="85"/>
      <x:c r="B2568" s="86"/>
    </x:row>
    <x:row r="2569">
      <x:c r="A2569" s="85"/>
      <x:c r="B2569" s="86"/>
    </x:row>
    <x:row r="2570">
      <x:c r="A2570" s="85"/>
      <x:c r="B2570" s="86"/>
    </x:row>
    <x:row r="2571">
      <x:c r="A2571" s="85"/>
      <x:c r="B2571" s="86"/>
    </x:row>
    <x:row r="2572">
      <x:c r="A2572" s="85"/>
      <x:c r="B2572" s="86"/>
    </x:row>
    <x:row r="2573">
      <x:c r="A2573" s="85"/>
      <x:c r="B2573" s="86"/>
    </x:row>
    <x:row r="2574">
      <x:c r="A2574" s="85"/>
      <x:c r="B2574" s="86"/>
    </x:row>
    <x:row r="2575">
      <x:c r="A2575" s="85"/>
      <x:c r="B2575" s="86"/>
    </x:row>
    <x:row r="2576">
      <x:c r="A2576" s="85"/>
      <x:c r="B2576" s="86"/>
    </x:row>
    <x:row r="2577">
      <x:c r="A2577" s="85"/>
      <x:c r="B2577" s="86"/>
    </x:row>
    <x:row r="2578">
      <x:c r="A2578" s="85"/>
      <x:c r="B2578" s="86"/>
    </x:row>
    <x:row r="2579">
      <x:c r="A2579" s="85"/>
      <x:c r="B2579" s="86"/>
    </x:row>
    <x:row r="2580">
      <x:c r="A2580" s="85"/>
      <x:c r="B2580" s="86"/>
    </x:row>
    <x:row r="2581">
      <x:c r="A2581" s="85"/>
      <x:c r="B2581" s="86"/>
    </x:row>
    <x:row r="2582">
      <x:c r="A2582" s="85"/>
      <x:c r="B2582" s="86"/>
    </x:row>
    <x:row r="2583">
      <x:c r="A2583" s="85"/>
      <x:c r="B2583" s="86"/>
    </x:row>
    <x:row r="2584">
      <x:c r="A2584" s="85"/>
      <x:c r="B2584" s="86"/>
    </x:row>
    <x:row r="2585">
      <x:c r="A2585" s="85"/>
      <x:c r="B2585" s="86"/>
    </x:row>
    <x:row r="2586">
      <x:c r="A2586" s="85"/>
      <x:c r="B2586" s="86"/>
    </x:row>
    <x:row r="2587">
      <x:c r="A2587" s="85"/>
      <x:c r="B2587" s="86"/>
    </x:row>
    <x:row r="2588">
      <x:c r="A2588" s="85"/>
      <x:c r="B2588" s="86"/>
    </x:row>
    <x:row r="2589">
      <x:c r="A2589" s="85"/>
      <x:c r="B2589" s="86"/>
    </x:row>
    <x:row r="2590">
      <x:c r="A2590" s="85"/>
      <x:c r="B2590" s="86"/>
    </x:row>
    <x:row r="2591">
      <x:c r="A2591" s="85"/>
      <x:c r="B2591" s="86"/>
    </x:row>
    <x:row r="2592">
      <x:c r="A2592" s="85"/>
      <x:c r="B2592" s="86"/>
    </x:row>
    <x:row r="2593">
      <x:c r="A2593" s="85"/>
      <x:c r="B2593" s="86"/>
    </x:row>
    <x:row r="2594">
      <x:c r="A2594" s="85"/>
      <x:c r="B2594" s="86"/>
    </x:row>
    <x:row r="2595">
      <x:c r="A2595" s="85"/>
      <x:c r="B2595" s="86"/>
    </x:row>
    <x:row r="2596">
      <x:c r="A2596" s="85"/>
      <x:c r="B2596" s="86"/>
    </x:row>
    <x:row r="2597">
      <x:c r="A2597" s="85"/>
      <x:c r="B2597" s="86"/>
    </x:row>
    <x:row r="2598">
      <x:c r="A2598" s="85"/>
      <x:c r="B2598" s="86"/>
    </x:row>
    <x:row r="2599">
      <x:c r="A2599" s="85"/>
      <x:c r="B2599" s="86"/>
    </x:row>
    <x:row r="2600">
      <x:c r="A2600" s="85"/>
      <x:c r="B2600" s="86"/>
    </x:row>
    <x:row r="2601">
      <x:c r="A2601" s="85"/>
      <x:c r="B2601" s="86"/>
    </x:row>
    <x:row r="2602">
      <x:c r="A2602" s="85"/>
      <x:c r="B2602" s="86"/>
    </x:row>
    <x:row r="2603">
      <x:c r="A2603" s="85"/>
      <x:c r="B2603" s="86"/>
    </x:row>
    <x:row r="2604">
      <x:c r="A2604" s="85"/>
      <x:c r="B2604" s="86"/>
    </x:row>
    <x:row r="2605">
      <x:c r="A2605" s="85"/>
      <x:c r="B2605" s="86"/>
    </x:row>
    <x:row r="2606">
      <x:c r="A2606" s="85"/>
      <x:c r="B2606" s="86"/>
    </x:row>
    <x:row r="2607">
      <x:c r="A2607" s="85"/>
      <x:c r="B2607" s="86"/>
    </x:row>
    <x:row r="2608">
      <x:c r="A2608" s="85"/>
      <x:c r="B2608" s="86"/>
    </x:row>
    <x:row r="2609">
      <x:c r="A2609" s="85"/>
      <x:c r="B2609" s="86"/>
    </x:row>
    <x:row r="2610">
      <x:c r="A2610" s="85"/>
      <x:c r="B2610" s="86"/>
    </x:row>
    <x:row r="2611">
      <x:c r="A2611" s="85"/>
      <x:c r="B2611" s="86"/>
    </x:row>
    <x:row r="2612">
      <x:c r="A2612" s="85"/>
      <x:c r="B2612" s="86"/>
    </x:row>
    <x:row r="2613">
      <x:c r="A2613" s="85"/>
      <x:c r="B2613" s="86"/>
    </x:row>
    <x:row r="2614">
      <x:c r="A2614" s="85"/>
      <x:c r="B2614" s="86"/>
    </x:row>
    <x:row r="2615">
      <x:c r="A2615" s="85"/>
      <x:c r="B2615" s="86"/>
    </x:row>
    <x:row r="2616">
      <x:c r="A2616" s="85"/>
      <x:c r="B2616" s="86"/>
    </x:row>
    <x:row r="2617">
      <x:c r="A2617" s="85"/>
      <x:c r="B2617" s="86"/>
    </x:row>
    <x:row r="2618">
      <x:c r="A2618" s="85"/>
      <x:c r="B2618" s="86"/>
    </x:row>
    <x:row r="2619">
      <x:c r="A2619" s="85"/>
      <x:c r="B2619" s="86"/>
    </x:row>
    <x:row r="2620">
      <x:c r="A2620" s="85"/>
      <x:c r="B2620" s="86"/>
    </x:row>
    <x:row r="2621">
      <x:c r="A2621" s="85"/>
      <x:c r="B2621" s="86"/>
    </x:row>
    <x:row r="2622">
      <x:c r="A2622" s="85"/>
      <x:c r="B2622" s="86"/>
    </x:row>
    <x:row r="2623">
      <x:c r="A2623" s="85"/>
      <x:c r="B2623" s="86"/>
    </x:row>
    <x:row r="2624">
      <x:c r="A2624" s="85"/>
      <x:c r="B2624" s="86"/>
    </x:row>
    <x:row r="2625">
      <x:c r="A2625" s="85"/>
      <x:c r="B2625" s="86"/>
    </x:row>
    <x:row r="2626">
      <x:c r="A2626" s="85"/>
      <x:c r="B2626" s="86"/>
    </x:row>
    <x:row r="2627">
      <x:c r="A2627" s="85"/>
      <x:c r="B2627" s="86"/>
    </x:row>
    <x:row r="2628">
      <x:c r="A2628" s="85"/>
      <x:c r="B2628" s="86"/>
    </x:row>
    <x:row r="2629">
      <x:c r="A2629" s="85"/>
      <x:c r="B2629" s="86"/>
    </x:row>
    <x:row r="2630">
      <x:c r="A2630" s="85"/>
      <x:c r="B2630" s="86"/>
    </x:row>
    <x:row r="2631">
      <x:c r="A2631" s="85"/>
      <x:c r="B2631" s="86"/>
    </x:row>
    <x:row r="2632">
      <x:c r="A2632" s="85"/>
      <x:c r="B2632" s="86"/>
    </x:row>
    <x:row r="2633">
      <x:c r="A2633" s="85"/>
      <x:c r="B2633" s="86"/>
    </x:row>
    <x:row r="2634">
      <x:c r="A2634" s="85"/>
      <x:c r="B2634" s="86"/>
    </x:row>
    <x:row r="2635">
      <x:c r="A2635" s="85"/>
      <x:c r="B2635" s="86"/>
    </x:row>
    <x:row r="2636">
      <x:c r="A2636" s="85"/>
      <x:c r="B2636" s="86"/>
    </x:row>
    <x:row r="2637">
      <x:c r="A2637" s="85"/>
      <x:c r="B2637" s="86"/>
    </x:row>
    <x:row r="2638">
      <x:c r="A2638" s="85"/>
      <x:c r="B2638" s="86"/>
    </x:row>
    <x:row r="2639">
      <x:c r="A2639" s="85"/>
      <x:c r="B2639" s="86"/>
    </x:row>
    <x:row r="2640">
      <x:c r="A2640" s="85"/>
      <x:c r="B2640" s="86"/>
    </x:row>
    <x:row r="2641">
      <x:c r="A2641" s="85"/>
      <x:c r="B2641" s="86"/>
    </x:row>
    <x:row r="2642">
      <x:c r="A2642" s="85"/>
      <x:c r="B2642" s="86"/>
    </x:row>
    <x:row r="2643">
      <x:c r="A2643" s="85"/>
      <x:c r="B2643" s="86"/>
    </x:row>
    <x:row r="2644">
      <x:c r="A2644" s="85"/>
      <x:c r="B2644" s="86"/>
    </x:row>
    <x:row r="2645">
      <x:c r="A2645" s="85"/>
      <x:c r="B2645" s="86"/>
    </x:row>
    <x:row r="2646">
      <x:c r="A2646" s="85"/>
      <x:c r="B2646" s="86"/>
    </x:row>
    <x:row r="2647">
      <x:c r="A2647" s="85"/>
      <x:c r="B2647" s="86"/>
    </x:row>
    <x:row r="2648">
      <x:c r="A2648" s="85"/>
      <x:c r="B2648" s="86"/>
    </x:row>
    <x:row r="2649">
      <x:c r="A2649" s="85"/>
      <x:c r="B2649" s="86"/>
    </x:row>
    <x:row r="2650">
      <x:c r="A2650" s="85"/>
      <x:c r="B2650" s="86"/>
    </x:row>
    <x:row r="2651">
      <x:c r="A2651" s="85"/>
      <x:c r="B2651" s="86"/>
    </x:row>
    <x:row r="2652">
      <x:c r="A2652" s="85"/>
      <x:c r="B2652" s="86"/>
    </x:row>
    <x:row r="2653">
      <x:c r="A2653" s="85"/>
      <x:c r="B2653" s="86"/>
    </x:row>
    <x:row r="2654">
      <x:c r="A2654" s="85"/>
      <x:c r="B2654" s="86"/>
    </x:row>
    <x:row r="2655">
      <x:c r="A2655" s="85"/>
      <x:c r="B2655" s="86"/>
    </x:row>
    <x:row r="2656">
      <x:c r="A2656" s="85"/>
      <x:c r="B2656" s="86"/>
    </x:row>
    <x:row r="2657">
      <x:c r="A2657" s="85"/>
      <x:c r="B2657" s="86"/>
    </x:row>
    <x:row r="2658">
      <x:c r="A2658" s="85"/>
      <x:c r="B2658" s="86"/>
    </x:row>
    <x:row r="2659">
      <x:c r="A2659" s="85"/>
      <x:c r="B2659" s="86"/>
    </x:row>
    <x:row r="2660">
      <x:c r="A2660" s="85"/>
      <x:c r="B2660" s="86"/>
    </x:row>
    <x:row r="2661">
      <x:c r="A2661" s="85"/>
      <x:c r="B2661" s="86"/>
    </x:row>
    <x:row r="2662">
      <x:c r="A2662" s="85"/>
      <x:c r="B2662" s="86"/>
    </x:row>
    <x:row r="2663">
      <x:c r="A2663" s="85"/>
      <x:c r="B2663" s="86"/>
    </x:row>
    <x:row r="2664">
      <x:c r="A2664" s="85"/>
      <x:c r="B2664" s="86"/>
    </x:row>
    <x:row r="2665">
      <x:c r="A2665" s="85"/>
      <x:c r="B2665" s="86"/>
    </x:row>
    <x:row r="2666">
      <x:c r="A2666" s="85"/>
      <x:c r="B2666" s="86"/>
    </x:row>
    <x:row r="2667">
      <x:c r="A2667" s="85"/>
      <x:c r="B2667" s="86"/>
    </x:row>
    <x:row r="2668">
      <x:c r="A2668" s="85"/>
      <x:c r="B2668" s="86"/>
    </x:row>
    <x:row r="2669">
      <x:c r="A2669" s="85"/>
      <x:c r="B2669" s="86"/>
    </x:row>
    <x:row r="2670">
      <x:c r="A2670" s="85"/>
      <x:c r="B2670" s="86"/>
    </x:row>
    <x:row r="2671">
      <x:c r="A2671" s="85"/>
      <x:c r="B2671" s="86"/>
    </x:row>
    <x:row r="2672">
      <x:c r="A2672" s="85"/>
      <x:c r="B2672" s="86"/>
    </x:row>
    <x:row r="2673">
      <x:c r="A2673" s="85"/>
      <x:c r="B2673" s="86"/>
    </x:row>
    <x:row r="2674">
      <x:c r="A2674" s="85"/>
      <x:c r="B2674" s="86"/>
    </x:row>
    <x:row r="2675">
      <x:c r="A2675" s="85"/>
      <x:c r="B2675" s="86"/>
    </x:row>
    <x:row r="2676">
      <x:c r="A2676" s="85"/>
      <x:c r="B2676" s="86"/>
    </x:row>
    <x:row r="2677">
      <x:c r="A2677" s="85"/>
      <x:c r="B2677" s="86"/>
    </x:row>
    <x:row r="2678">
      <x:c r="A2678" s="85"/>
      <x:c r="B2678" s="86"/>
    </x:row>
    <x:row r="2679">
      <x:c r="A2679" s="85"/>
      <x:c r="B2679" s="86"/>
    </x:row>
    <x:row r="2680">
      <x:c r="A2680" s="85"/>
      <x:c r="B2680" s="86"/>
    </x:row>
    <x:row r="2681">
      <x:c r="A2681" s="85"/>
      <x:c r="B2681" s="86"/>
    </x:row>
    <x:row r="2682">
      <x:c r="A2682" s="85"/>
      <x:c r="B2682" s="86"/>
    </x:row>
    <x:row r="2683">
      <x:c r="A2683" s="85"/>
      <x:c r="B2683" s="86"/>
    </x:row>
    <x:row r="2684">
      <x:c r="A2684" s="85"/>
      <x:c r="B2684" s="86"/>
    </x:row>
    <x:row r="2685">
      <x:c r="A2685" s="85"/>
      <x:c r="B2685" s="86"/>
    </x:row>
    <x:row r="2686">
      <x:c r="A2686" s="85"/>
      <x:c r="B2686" s="86"/>
    </x:row>
    <x:row r="2687">
      <x:c r="A2687" s="85"/>
      <x:c r="B2687" s="86"/>
    </x:row>
    <x:row r="2688">
      <x:c r="A2688" s="85"/>
      <x:c r="B2688" s="86"/>
    </x:row>
    <x:row r="2689">
      <x:c r="A2689" s="85"/>
      <x:c r="B2689" s="86"/>
    </x:row>
    <x:row r="2690">
      <x:c r="A2690" s="85"/>
      <x:c r="B2690" s="86"/>
    </x:row>
    <x:row r="2691">
      <x:c r="A2691" s="85"/>
      <x:c r="B2691" s="86"/>
    </x:row>
    <x:row r="2692">
      <x:c r="A2692" s="85"/>
      <x:c r="B2692" s="86"/>
    </x:row>
    <x:row r="2693">
      <x:c r="A2693" s="85"/>
      <x:c r="B2693" s="86"/>
    </x:row>
    <x:row r="2694">
      <x:c r="A2694" s="85"/>
      <x:c r="B2694" s="86"/>
    </x:row>
    <x:row r="2695">
      <x:c r="A2695" s="85"/>
      <x:c r="B2695" s="86"/>
    </x:row>
    <x:row r="2696">
      <x:c r="A2696" s="85"/>
      <x:c r="B2696" s="86"/>
    </x:row>
    <x:row r="2697">
      <x:c r="A2697" s="85"/>
      <x:c r="B2697" s="86"/>
    </x:row>
    <x:row r="2698">
      <x:c r="A2698" s="85"/>
      <x:c r="B2698" s="86"/>
    </x:row>
    <x:row r="2699">
      <x:c r="A2699" s="85"/>
      <x:c r="B2699" s="86"/>
    </x:row>
    <x:row r="2700">
      <x:c r="A2700" s="85"/>
      <x:c r="B2700" s="86"/>
    </x:row>
    <x:row r="2701">
      <x:c r="A2701" s="85"/>
      <x:c r="B2701" s="86"/>
    </x:row>
    <x:row r="2702">
      <x:c r="A2702" s="85"/>
      <x:c r="B2702" s="86"/>
    </x:row>
    <x:row r="2703">
      <x:c r="A2703" s="85"/>
      <x:c r="B2703" s="86"/>
    </x:row>
    <x:row r="2704">
      <x:c r="A2704" s="85"/>
      <x:c r="B2704" s="86"/>
    </x:row>
    <x:row r="2705">
      <x:c r="A2705" s="85"/>
      <x:c r="B2705" s="86"/>
    </x:row>
    <x:row r="2706">
      <x:c r="A2706" s="85"/>
      <x:c r="B2706" s="86"/>
    </x:row>
    <x:row r="2707">
      <x:c r="A2707" s="85"/>
      <x:c r="B2707" s="86"/>
    </x:row>
    <x:row r="2708">
      <x:c r="A2708" s="85"/>
      <x:c r="B2708" s="86"/>
    </x:row>
    <x:row r="2709">
      <x:c r="A2709" s="85"/>
      <x:c r="B2709" s="86"/>
    </x:row>
    <x:row r="2710">
      <x:c r="A2710" s="85"/>
      <x:c r="B2710" s="86"/>
    </x:row>
    <x:row r="2711">
      <x:c r="A2711" s="85"/>
      <x:c r="B2711" s="86"/>
    </x:row>
    <x:row r="2712">
      <x:c r="A2712" s="85"/>
      <x:c r="B2712" s="86"/>
    </x:row>
    <x:row r="2713">
      <x:c r="A2713" s="85"/>
      <x:c r="B2713" s="86"/>
    </x:row>
    <x:row r="2714">
      <x:c r="A2714" s="85"/>
      <x:c r="B2714" s="86"/>
    </x:row>
    <x:row r="2715">
      <x:c r="A2715" s="85"/>
      <x:c r="B2715" s="86"/>
    </x:row>
    <x:row r="2716">
      <x:c r="A2716" s="85"/>
      <x:c r="B2716" s="86"/>
    </x:row>
    <x:row r="2717">
      <x:c r="A2717" s="85"/>
      <x:c r="B2717" s="86"/>
    </x:row>
    <x:row r="2718">
      <x:c r="A2718" s="85"/>
      <x:c r="B2718" s="86"/>
    </x:row>
    <x:row r="2719">
      <x:c r="A2719" s="85"/>
      <x:c r="B2719" s="86"/>
    </x:row>
    <x:row r="2720">
      <x:c r="A2720" s="85"/>
      <x:c r="B2720" s="86"/>
    </x:row>
    <x:row r="2721">
      <x:c r="A2721" s="85"/>
      <x:c r="B2721" s="86"/>
    </x:row>
    <x:row r="2722">
      <x:c r="A2722" s="85"/>
      <x:c r="B2722" s="86"/>
    </x:row>
    <x:row r="2723">
      <x:c r="A2723" s="85"/>
      <x:c r="B2723" s="86"/>
    </x:row>
    <x:row r="2724">
      <x:c r="A2724" s="85"/>
      <x:c r="B2724" s="86"/>
    </x:row>
    <x:row r="2725">
      <x:c r="A2725" s="85"/>
      <x:c r="B2725" s="86"/>
    </x:row>
    <x:row r="2726">
      <x:c r="A2726" s="85"/>
      <x:c r="B2726" s="86"/>
    </x:row>
    <x:row r="2727">
      <x:c r="A2727" s="85"/>
      <x:c r="B2727" s="86"/>
    </x:row>
    <x:row r="2728">
      <x:c r="A2728" s="85"/>
      <x:c r="B2728" s="86"/>
    </x:row>
    <x:row r="2729">
      <x:c r="A2729" s="85"/>
      <x:c r="B2729" s="86"/>
    </x:row>
    <x:row r="2730">
      <x:c r="A2730" s="85"/>
      <x:c r="B2730" s="86"/>
    </x:row>
    <x:row r="2731">
      <x:c r="A2731" s="85"/>
      <x:c r="B2731" s="86"/>
    </x:row>
    <x:row r="2732">
      <x:c r="A2732" s="85"/>
      <x:c r="B2732" s="86"/>
    </x:row>
    <x:row r="2733">
      <x:c r="A2733" s="85"/>
      <x:c r="B2733" s="86"/>
    </x:row>
    <x:row r="2734">
      <x:c r="A2734" s="85"/>
      <x:c r="B2734" s="86"/>
    </x:row>
    <x:row r="2735">
      <x:c r="A2735" s="85"/>
      <x:c r="B2735" s="86"/>
    </x:row>
    <x:row r="2736">
      <x:c r="A2736" s="85"/>
      <x:c r="B2736" s="86"/>
    </x:row>
    <x:row r="2737">
      <x:c r="A2737" s="85"/>
      <x:c r="B2737" s="86"/>
    </x:row>
    <x:row r="2738">
      <x:c r="A2738" s="85"/>
      <x:c r="B2738" s="86"/>
    </x:row>
    <x:row r="2739">
      <x:c r="A2739" s="85"/>
      <x:c r="B2739" s="86"/>
    </x:row>
    <x:row r="2740">
      <x:c r="A2740" s="85"/>
      <x:c r="B2740" s="86"/>
    </x:row>
    <x:row r="2741">
      <x:c r="A2741" s="85"/>
      <x:c r="B2741" s="86"/>
    </x:row>
    <x:row r="2742">
      <x:c r="A2742" s="85"/>
      <x:c r="B2742" s="86"/>
    </x:row>
    <x:row r="2743">
      <x:c r="A2743" s="85"/>
      <x:c r="B2743" s="86"/>
    </x:row>
    <x:row r="2744">
      <x:c r="A2744" s="85"/>
      <x:c r="B2744" s="86"/>
    </x:row>
    <x:row r="2745">
      <x:c r="A2745" s="85"/>
      <x:c r="B2745" s="86"/>
    </x:row>
    <x:row r="2746">
      <x:c r="A2746" s="85"/>
      <x:c r="B2746" s="86"/>
    </x:row>
    <x:row r="2747">
      <x:c r="A2747" s="85"/>
      <x:c r="B2747" s="86"/>
    </x:row>
    <x:row r="2748">
      <x:c r="A2748" s="85"/>
      <x:c r="B2748" s="86"/>
    </x:row>
    <x:row r="2749">
      <x:c r="A2749" s="85"/>
      <x:c r="B2749" s="86"/>
    </x:row>
    <x:row r="2750">
      <x:c r="A2750" s="85"/>
      <x:c r="B2750" s="86"/>
    </x:row>
    <x:row r="2751">
      <x:c r="A2751" s="85"/>
      <x:c r="B2751" s="86"/>
    </x:row>
    <x:row r="2752">
      <x:c r="A2752" s="85"/>
      <x:c r="B2752" s="86"/>
    </x:row>
    <x:row r="2753">
      <x:c r="A2753" s="85"/>
      <x:c r="B2753" s="86"/>
    </x:row>
    <x:row r="2754">
      <x:c r="A2754" s="85"/>
      <x:c r="B2754" s="86"/>
    </x:row>
    <x:row r="2755">
      <x:c r="A2755" s="85"/>
      <x:c r="B2755" s="86"/>
    </x:row>
    <x:row r="2756">
      <x:c r="A2756" s="85"/>
      <x:c r="B2756" s="86"/>
    </x:row>
    <x:row r="2757">
      <x:c r="A2757" s="85"/>
      <x:c r="B2757" s="86"/>
    </x:row>
    <x:row r="2758">
      <x:c r="A2758" s="85"/>
      <x:c r="B2758" s="86"/>
    </x:row>
    <x:row r="2759">
      <x:c r="A2759" s="85"/>
      <x:c r="B2759" s="86"/>
    </x:row>
    <x:row r="2760">
      <x:c r="A2760" s="85"/>
      <x:c r="B2760" s="86"/>
    </x:row>
    <x:row r="2761">
      <x:c r="A2761" s="85"/>
      <x:c r="B2761" s="86"/>
    </x:row>
    <x:row r="2762">
      <x:c r="A2762" s="85"/>
      <x:c r="B2762" s="86"/>
    </x:row>
    <x:row r="2763">
      <x:c r="A2763" s="85"/>
      <x:c r="B2763" s="86"/>
    </x:row>
    <x:row r="2764">
      <x:c r="A2764" s="85"/>
      <x:c r="B2764" s="86"/>
    </x:row>
    <x:row r="2765">
      <x:c r="A2765" s="85"/>
      <x:c r="B2765" s="86"/>
    </x:row>
    <x:row r="2766">
      <x:c r="A2766" s="85"/>
      <x:c r="B2766" s="86"/>
    </x:row>
    <x:row r="2767">
      <x:c r="A2767" s="85"/>
      <x:c r="B2767" s="86"/>
    </x:row>
    <x:row r="2768">
      <x:c r="A2768" s="85"/>
      <x:c r="B2768" s="86"/>
    </x:row>
    <x:row r="2769">
      <x:c r="A2769" s="85"/>
      <x:c r="B2769" s="86"/>
    </x:row>
    <x:row r="2770">
      <x:c r="A2770" s="85"/>
      <x:c r="B2770" s="86"/>
    </x:row>
    <x:row r="2771">
      <x:c r="A2771" s="85"/>
      <x:c r="B2771" s="86"/>
    </x:row>
    <x:row r="2772">
      <x:c r="A2772" s="85"/>
      <x:c r="B2772" s="86"/>
    </x:row>
    <x:row r="2773">
      <x:c r="A2773" s="85"/>
      <x:c r="B2773" s="86"/>
    </x:row>
    <x:row r="2774">
      <x:c r="A2774" s="85"/>
      <x:c r="B2774" s="86"/>
    </x:row>
    <x:row r="2775">
      <x:c r="A2775" s="85"/>
      <x:c r="B2775" s="86"/>
    </x:row>
    <x:row r="2776">
      <x:c r="A2776" s="85"/>
      <x:c r="B2776" s="86"/>
    </x:row>
    <x:row r="2777">
      <x:c r="A2777" s="85"/>
      <x:c r="B2777" s="86"/>
    </x:row>
    <x:row r="2778">
      <x:c r="A2778" s="85"/>
      <x:c r="B2778" s="86"/>
    </x:row>
    <x:row r="2779">
      <x:c r="A2779" s="85"/>
      <x:c r="B2779" s="86"/>
    </x:row>
    <x:row r="2780">
      <x:c r="A2780" s="85"/>
      <x:c r="B2780" s="86"/>
    </x:row>
    <x:row r="2781">
      <x:c r="A2781" s="85"/>
      <x:c r="B2781" s="86"/>
    </x:row>
    <x:row r="2782">
      <x:c r="A2782" s="85"/>
      <x:c r="B2782" s="86"/>
    </x:row>
    <x:row r="2783">
      <x:c r="A2783" s="85"/>
      <x:c r="B2783" s="86"/>
    </x:row>
    <x:row r="2784">
      <x:c r="A2784" s="85"/>
      <x:c r="B2784" s="86"/>
    </x:row>
    <x:row r="2785">
      <x:c r="A2785" s="85"/>
      <x:c r="B2785" s="86"/>
    </x:row>
    <x:row r="2786">
      <x:c r="A2786" s="85"/>
      <x:c r="B2786" s="86"/>
    </x:row>
    <x:row r="2787">
      <x:c r="A2787" s="85"/>
      <x:c r="B2787" s="86"/>
    </x:row>
    <x:row r="2788">
      <x:c r="A2788" s="85"/>
      <x:c r="B2788" s="86"/>
    </x:row>
    <x:row r="2789">
      <x:c r="A2789" s="85"/>
      <x:c r="B2789" s="86"/>
    </x:row>
    <x:row r="2790">
      <x:c r="A2790" s="85"/>
      <x:c r="B2790" s="86"/>
    </x:row>
    <x:row r="2791">
      <x:c r="A2791" s="85"/>
      <x:c r="B2791" s="86"/>
    </x:row>
    <x:row r="2792">
      <x:c r="A2792" s="85"/>
      <x:c r="B2792" s="86"/>
    </x:row>
    <x:row r="2793">
      <x:c r="A2793" s="85"/>
      <x:c r="B2793" s="86"/>
    </x:row>
    <x:row r="2794">
      <x:c r="A2794" s="85"/>
      <x:c r="B2794" s="86"/>
    </x:row>
    <x:row r="2795">
      <x:c r="A2795" s="85"/>
      <x:c r="B2795" s="86"/>
    </x:row>
    <x:row r="2796">
      <x:c r="A2796" s="85"/>
      <x:c r="B2796" s="86"/>
    </x:row>
    <x:row r="2797">
      <x:c r="A2797" s="85"/>
      <x:c r="B2797" s="86"/>
    </x:row>
    <x:row r="2798">
      <x:c r="A2798" s="85"/>
      <x:c r="B2798" s="86"/>
    </x:row>
    <x:row r="2799">
      <x:c r="A2799" s="85"/>
      <x:c r="B2799" s="86"/>
    </x:row>
    <x:row r="2800">
      <x:c r="A2800" s="85"/>
      <x:c r="B2800" s="86"/>
    </x:row>
    <x:row r="2801">
      <x:c r="A2801" s="85"/>
      <x:c r="B2801" s="86"/>
    </x:row>
    <x:row r="2802">
      <x:c r="A2802" s="85"/>
      <x:c r="B2802" s="86"/>
    </x:row>
    <x:row r="2803">
      <x:c r="A2803" s="85"/>
      <x:c r="B2803" s="86"/>
    </x:row>
    <x:row r="2804">
      <x:c r="A2804" s="85"/>
      <x:c r="B2804" s="86"/>
    </x:row>
    <x:row r="2805">
      <x:c r="A2805" s="85"/>
      <x:c r="B2805" s="86"/>
    </x:row>
    <x:row r="2806">
      <x:c r="A2806" s="85"/>
      <x:c r="B2806" s="86"/>
    </x:row>
    <x:row r="2807">
      <x:c r="A2807" s="85"/>
      <x:c r="B2807" s="86"/>
    </x:row>
    <x:row r="2808">
      <x:c r="A2808" s="85"/>
      <x:c r="B2808" s="86"/>
    </x:row>
    <x:row r="2809">
      <x:c r="A2809" s="85"/>
      <x:c r="B2809" s="86"/>
    </x:row>
    <x:row r="2810">
      <x:c r="A2810" s="85"/>
      <x:c r="B2810" s="86"/>
    </x:row>
    <x:row r="2811">
      <x:c r="A2811" s="85"/>
      <x:c r="B2811" s="86"/>
    </x:row>
    <x:row r="2812">
      <x:c r="A2812" s="85"/>
      <x:c r="B2812" s="86"/>
    </x:row>
    <x:row r="2813">
      <x:c r="A2813" s="85"/>
      <x:c r="B2813" s="86"/>
    </x:row>
    <x:row r="2814">
      <x:c r="A2814" s="85"/>
      <x:c r="B2814" s="86"/>
    </x:row>
    <x:row r="2815">
      <x:c r="A2815" s="85"/>
      <x:c r="B2815" s="86"/>
    </x:row>
    <x:row r="2816">
      <x:c r="A2816" s="85"/>
      <x:c r="B2816" s="86"/>
    </x:row>
    <x:row r="2817">
      <x:c r="A2817" s="85"/>
      <x:c r="B2817" s="86"/>
    </x:row>
    <x:row r="2818">
      <x:c r="A2818" s="85"/>
      <x:c r="B2818" s="86"/>
    </x:row>
    <x:row r="2819">
      <x:c r="A2819" s="85"/>
      <x:c r="B2819" s="86"/>
    </x:row>
    <x:row r="2820">
      <x:c r="A2820" s="85"/>
      <x:c r="B2820" s="86"/>
    </x:row>
    <x:row r="2821">
      <x:c r="A2821" s="85"/>
      <x:c r="B2821" s="86"/>
    </x:row>
    <x:row r="2822">
      <x:c r="A2822" s="85"/>
      <x:c r="B2822" s="86"/>
    </x:row>
    <x:row r="2823">
      <x:c r="A2823" s="85"/>
      <x:c r="B2823" s="86"/>
    </x:row>
    <x:row r="2824">
      <x:c r="A2824" s="85"/>
      <x:c r="B2824" s="86"/>
    </x:row>
    <x:row r="2825">
      <x:c r="A2825" s="85"/>
      <x:c r="B2825" s="86"/>
    </x:row>
    <x:row r="2826">
      <x:c r="A2826" s="85"/>
      <x:c r="B2826" s="86"/>
    </x:row>
    <x:row r="2827">
      <x:c r="A2827" s="85"/>
      <x:c r="B2827" s="86"/>
    </x:row>
    <x:row r="2828">
      <x:c r="A2828" s="85"/>
      <x:c r="B2828" s="86"/>
    </x:row>
    <x:row r="2829">
      <x:c r="A2829" s="85"/>
      <x:c r="B2829" s="86"/>
    </x:row>
    <x:row r="2830">
      <x:c r="A2830" s="85"/>
      <x:c r="B2830" s="86"/>
    </x:row>
    <x:row r="2831">
      <x:c r="A2831" s="85"/>
      <x:c r="B2831" s="86"/>
    </x:row>
    <x:row r="2832">
      <x:c r="A2832" s="85"/>
      <x:c r="B2832" s="86"/>
    </x:row>
    <x:row r="2833">
      <x:c r="A2833" s="85"/>
      <x:c r="B2833" s="86"/>
    </x:row>
    <x:row r="2834">
      <x:c r="A2834" s="85"/>
      <x:c r="B2834" s="86"/>
    </x:row>
    <x:row r="2835">
      <x:c r="A2835" s="85"/>
      <x:c r="B2835" s="86"/>
    </x:row>
    <x:row r="2836">
      <x:c r="A2836" s="85"/>
      <x:c r="B2836" s="86"/>
    </x:row>
    <x:row r="2837">
      <x:c r="A2837" s="85"/>
      <x:c r="B2837" s="86"/>
    </x:row>
    <x:row r="2838">
      <x:c r="A2838" s="85"/>
      <x:c r="B2838" s="86"/>
    </x:row>
    <x:row r="2839">
      <x:c r="A2839" s="85"/>
      <x:c r="B2839" s="86"/>
    </x:row>
    <x:row r="2840">
      <x:c r="A2840" s="85"/>
      <x:c r="B2840" s="86"/>
    </x:row>
    <x:row r="2841">
      <x:c r="A2841" s="85"/>
      <x:c r="B2841" s="86"/>
    </x:row>
    <x:row r="2842">
      <x:c r="A2842" s="85"/>
      <x:c r="B2842" s="86"/>
    </x:row>
    <x:row r="2843">
      <x:c r="A2843" s="85"/>
      <x:c r="B2843" s="86"/>
    </x:row>
    <x:row r="2844">
      <x:c r="A2844" s="85"/>
      <x:c r="B2844" s="86"/>
    </x:row>
    <x:row r="2845">
      <x:c r="A2845" s="85"/>
      <x:c r="B2845" s="86"/>
    </x:row>
    <x:row r="2846">
      <x:c r="A2846" s="85"/>
      <x:c r="B2846" s="86"/>
    </x:row>
    <x:row r="2847">
      <x:c r="A2847" s="85"/>
      <x:c r="B2847" s="86"/>
    </x:row>
    <x:row r="2848">
      <x:c r="A2848" s="85"/>
      <x:c r="B2848" s="86"/>
    </x:row>
    <x:row r="2849">
      <x:c r="A2849" s="85"/>
      <x:c r="B2849" s="86"/>
    </x:row>
    <x:row r="2850">
      <x:c r="A2850" s="85"/>
      <x:c r="B2850" s="86"/>
    </x:row>
    <x:row r="2851">
      <x:c r="A2851" s="85"/>
      <x:c r="B2851" s="86"/>
    </x:row>
    <x:row r="2852">
      <x:c r="A2852" s="85"/>
      <x:c r="B2852" s="86"/>
    </x:row>
    <x:row r="2853">
      <x:c r="A2853" s="85"/>
      <x:c r="B2853" s="86"/>
    </x:row>
    <x:row r="2854">
      <x:c r="A2854" s="85"/>
      <x:c r="B2854" s="86"/>
    </x:row>
    <x:row r="2855">
      <x:c r="A2855" s="85"/>
      <x:c r="B2855" s="86"/>
    </x:row>
    <x:row r="2856">
      <x:c r="A2856" s="85"/>
      <x:c r="B2856" s="86"/>
    </x:row>
    <x:row r="2857">
      <x:c r="A2857" s="85"/>
      <x:c r="B2857" s="86"/>
    </x:row>
    <x:row r="2858">
      <x:c r="A2858" s="85"/>
      <x:c r="B2858" s="86"/>
    </x:row>
    <x:row r="2859">
      <x:c r="A2859" s="85"/>
      <x:c r="B2859" s="86"/>
    </x:row>
    <x:row r="2860">
      <x:c r="A2860" s="85"/>
      <x:c r="B2860" s="86"/>
    </x:row>
    <x:row r="2861">
      <x:c r="A2861" s="85"/>
      <x:c r="B2861" s="86"/>
    </x:row>
    <x:row r="2862">
      <x:c r="A2862" s="85"/>
      <x:c r="B2862" s="86"/>
    </x:row>
    <x:row r="2863">
      <x:c r="A2863" s="85"/>
      <x:c r="B2863" s="86"/>
    </x:row>
    <x:row r="2864">
      <x:c r="A2864" s="85"/>
      <x:c r="B2864" s="86"/>
    </x:row>
    <x:row r="2865">
      <x:c r="A2865" s="85"/>
      <x:c r="B2865" s="86"/>
    </x:row>
    <x:row r="2866">
      <x:c r="A2866" s="85"/>
      <x:c r="B2866" s="86"/>
    </x:row>
    <x:row r="2867">
      <x:c r="A2867" s="85"/>
      <x:c r="B2867" s="86"/>
    </x:row>
    <x:row r="2868">
      <x:c r="A2868" s="85"/>
      <x:c r="B2868" s="86"/>
    </x:row>
    <x:row r="2869">
      <x:c r="A2869" s="85"/>
      <x:c r="B2869" s="86"/>
    </x:row>
    <x:row r="2870">
      <x:c r="A2870" s="85"/>
      <x:c r="B2870" s="86"/>
    </x:row>
    <x:row r="2871">
      <x:c r="A2871" s="85"/>
      <x:c r="B2871" s="86"/>
    </x:row>
    <x:row r="2872">
      <x:c r="A2872" s="85"/>
      <x:c r="B2872" s="86"/>
    </x:row>
    <x:row r="2873">
      <x:c r="A2873" s="85"/>
      <x:c r="B2873" s="86"/>
    </x:row>
    <x:row r="2874">
      <x:c r="A2874" s="85"/>
      <x:c r="B2874" s="86"/>
    </x:row>
    <x:row r="2875">
      <x:c r="A2875" s="85"/>
      <x:c r="B2875" s="86"/>
    </x:row>
    <x:row r="2876">
      <x:c r="A2876" s="85"/>
      <x:c r="B2876" s="86"/>
    </x:row>
    <x:row r="2877">
      <x:c r="A2877" s="85"/>
      <x:c r="B2877" s="86"/>
    </x:row>
    <x:row r="2878">
      <x:c r="A2878" s="85"/>
      <x:c r="B2878" s="86"/>
    </x:row>
    <x:row r="2879">
      <x:c r="A2879" s="85"/>
      <x:c r="B2879" s="86"/>
    </x:row>
    <x:row r="2880">
      <x:c r="A2880" s="85"/>
      <x:c r="B2880" s="86"/>
    </x:row>
    <x:row r="2881">
      <x:c r="A2881" s="85"/>
      <x:c r="B2881" s="86"/>
    </x:row>
    <x:row r="2882">
      <x:c r="A2882" s="85"/>
      <x:c r="B2882" s="86"/>
    </x:row>
    <x:row r="2883">
      <x:c r="A2883" s="85"/>
      <x:c r="B2883" s="86"/>
    </x:row>
    <x:row r="2884">
      <x:c r="A2884" s="85"/>
      <x:c r="B2884" s="86"/>
    </x:row>
    <x:row r="2885">
      <x:c r="A2885" s="85"/>
      <x:c r="B2885" s="86"/>
    </x:row>
    <x:row r="2886">
      <x:c r="A2886" s="85"/>
      <x:c r="B2886" s="86"/>
    </x:row>
    <x:row r="2887">
      <x:c r="A2887" s="85"/>
      <x:c r="B2887" s="86"/>
    </x:row>
    <x:row r="2888">
      <x:c r="A2888" s="85"/>
      <x:c r="B2888" s="86"/>
    </x:row>
    <x:row r="2889">
      <x:c r="A2889" s="85"/>
      <x:c r="B2889" s="86"/>
    </x:row>
    <x:row r="2890">
      <x:c r="A2890" s="85"/>
      <x:c r="B2890" s="86"/>
    </x:row>
    <x:row r="2891">
      <x:c r="A2891" s="85"/>
      <x:c r="B2891" s="86"/>
    </x:row>
    <x:row r="2892">
      <x:c r="A2892" s="85"/>
      <x:c r="B2892" s="86"/>
    </x:row>
    <x:row r="2893">
      <x:c r="A2893" s="85"/>
      <x:c r="B2893" s="86"/>
    </x:row>
    <x:row r="2894">
      <x:c r="A2894" s="85"/>
      <x:c r="B2894" s="86"/>
    </x:row>
    <x:row r="2895">
      <x:c r="A2895" s="85"/>
      <x:c r="B2895" s="86"/>
    </x:row>
    <x:row r="2896">
      <x:c r="A2896" s="85"/>
      <x:c r="B2896" s="86"/>
    </x:row>
    <x:row r="2897">
      <x:c r="A2897" s="85"/>
      <x:c r="B2897" s="86"/>
    </x:row>
    <x:row r="2898">
      <x:c r="A2898" s="85"/>
      <x:c r="B2898" s="86"/>
    </x:row>
    <x:row r="2899">
      <x:c r="A2899" s="85"/>
      <x:c r="B2899" s="86"/>
    </x:row>
    <x:row r="2900">
      <x:c r="A2900" s="85"/>
      <x:c r="B2900" s="86"/>
    </x:row>
    <x:row r="2901">
      <x:c r="A2901" s="85"/>
      <x:c r="B2901" s="86"/>
    </x:row>
    <x:row r="2902">
      <x:c r="A2902" s="85"/>
      <x:c r="B2902" s="86"/>
    </x:row>
    <x:row r="2903">
      <x:c r="A2903" s="85"/>
      <x:c r="B2903" s="86"/>
    </x:row>
    <x:row r="2904">
      <x:c r="A2904" s="85"/>
      <x:c r="B2904" s="86"/>
    </x:row>
    <x:row r="2905">
      <x:c r="A2905" s="85"/>
      <x:c r="B2905" s="86"/>
    </x:row>
    <x:row r="2906">
      <x:c r="A2906" s="85"/>
      <x:c r="B2906" s="86"/>
    </x:row>
    <x:row r="2907">
      <x:c r="A2907" s="85"/>
      <x:c r="B2907" s="86"/>
    </x:row>
    <x:row r="2908">
      <x:c r="A2908" s="85"/>
      <x:c r="B2908" s="86"/>
    </x:row>
    <x:row r="2909">
      <x:c r="A2909" s="85"/>
      <x:c r="B2909" s="86"/>
    </x:row>
    <x:row r="2910">
      <x:c r="A2910" s="85"/>
      <x:c r="B2910" s="86"/>
    </x:row>
    <x:row r="2911">
      <x:c r="A2911" s="85"/>
      <x:c r="B2911" s="86"/>
    </x:row>
    <x:row r="2912">
      <x:c r="A2912" s="85"/>
      <x:c r="B2912" s="86"/>
    </x:row>
    <x:row r="2913">
      <x:c r="A2913" s="85"/>
      <x:c r="B2913" s="86"/>
    </x:row>
    <x:row r="2914">
      <x:c r="A2914" s="85"/>
      <x:c r="B2914" s="86"/>
    </x:row>
    <x:row r="2915">
      <x:c r="A2915" s="85"/>
      <x:c r="B2915" s="86"/>
    </x:row>
    <x:row r="2916">
      <x:c r="A2916" s="85"/>
      <x:c r="B2916" s="86"/>
    </x:row>
    <x:row r="2917">
      <x:c r="A2917" s="85"/>
      <x:c r="B2917" s="86"/>
    </x:row>
    <x:row r="2918">
      <x:c r="A2918" s="85"/>
      <x:c r="B2918" s="86"/>
    </x:row>
    <x:row r="2919">
      <x:c r="A2919" s="85"/>
      <x:c r="B2919" s="86"/>
    </x:row>
    <x:row r="2920">
      <x:c r="A2920" s="85"/>
      <x:c r="B2920" s="86"/>
    </x:row>
    <x:row r="2921">
      <x:c r="A2921" s="85"/>
      <x:c r="B2921" s="86"/>
    </x:row>
    <x:row r="2922">
      <x:c r="A2922" s="85"/>
      <x:c r="B2922" s="86"/>
    </x:row>
    <x:row r="2923">
      <x:c r="A2923" s="85"/>
      <x:c r="B2923" s="86"/>
    </x:row>
    <x:row r="2924">
      <x:c r="A2924" s="85"/>
      <x:c r="B2924" s="86"/>
    </x:row>
    <x:row r="2925">
      <x:c r="A2925" s="85"/>
      <x:c r="B2925" s="86"/>
    </x:row>
    <x:row r="2926">
      <x:c r="A2926" s="85"/>
      <x:c r="B2926" s="86"/>
    </x:row>
    <x:row r="2927">
      <x:c r="A2927" s="85"/>
      <x:c r="B2927" s="86"/>
    </x:row>
    <x:row r="2928">
      <x:c r="A2928" s="85"/>
      <x:c r="B2928" s="86"/>
    </x:row>
    <x:row r="2929">
      <x:c r="A2929" s="85"/>
      <x:c r="B2929" s="86"/>
    </x:row>
    <x:row r="2930">
      <x:c r="A2930" s="85"/>
      <x:c r="B2930" s="86"/>
    </x:row>
    <x:row r="2931">
      <x:c r="A2931" s="85"/>
      <x:c r="B2931" s="86"/>
    </x:row>
    <x:row r="2932">
      <x:c r="A2932" s="85"/>
      <x:c r="B2932" s="86"/>
    </x:row>
    <x:row r="2933">
      <x:c r="A2933" s="85"/>
      <x:c r="B2933" s="86"/>
    </x:row>
    <x:row r="2934">
      <x:c r="A2934" s="85"/>
      <x:c r="B2934" s="86"/>
    </x:row>
    <x:row r="2935">
      <x:c r="A2935" s="85"/>
      <x:c r="B2935" s="86"/>
    </x:row>
    <x:row r="2936">
      <x:c r="A2936" s="85"/>
      <x:c r="B2936" s="86"/>
    </x:row>
    <x:row r="2937">
      <x:c r="A2937" s="85"/>
      <x:c r="B2937" s="86"/>
    </x:row>
    <x:row r="2938">
      <x:c r="A2938" s="85"/>
      <x:c r="B2938" s="86"/>
    </x:row>
    <x:row r="2939">
      <x:c r="A2939" s="85"/>
      <x:c r="B2939" s="86"/>
    </x:row>
    <x:row r="2940">
      <x:c r="A2940" s="85"/>
      <x:c r="B2940" s="86"/>
    </x:row>
    <x:row r="2941">
      <x:c r="A2941" s="85"/>
      <x:c r="B2941" s="86"/>
    </x:row>
    <x:row r="2942">
      <x:c r="A2942" s="85"/>
      <x:c r="B2942" s="86"/>
    </x:row>
    <x:row r="2943">
      <x:c r="A2943" s="85"/>
      <x:c r="B2943" s="86"/>
    </x:row>
    <x:row r="2944">
      <x:c r="A2944" s="85"/>
      <x:c r="B2944" s="86"/>
    </x:row>
    <x:row r="2945">
      <x:c r="A2945" s="85"/>
      <x:c r="B2945" s="86"/>
    </x:row>
    <x:row r="2946">
      <x:c r="A2946" s="85"/>
      <x:c r="B2946" s="86"/>
    </x:row>
    <x:row r="2947">
      <x:c r="A2947" s="85"/>
      <x:c r="B2947" s="86"/>
    </x:row>
    <x:row r="2948">
      <x:c r="A2948" s="85"/>
      <x:c r="B2948" s="86"/>
    </x:row>
    <x:row r="2949">
      <x:c r="A2949" s="85"/>
      <x:c r="B2949" s="86"/>
    </x:row>
    <x:row r="2950">
      <x:c r="A2950" s="85"/>
      <x:c r="B2950" s="86"/>
    </x:row>
    <x:row r="2951">
      <x:c r="A2951" s="85"/>
      <x:c r="B2951" s="86"/>
    </x:row>
    <x:row r="2952">
      <x:c r="A2952" s="85"/>
      <x:c r="B2952" s="86"/>
    </x:row>
    <x:row r="2953">
      <x:c r="A2953" s="85"/>
      <x:c r="B2953" s="86"/>
    </x:row>
    <x:row r="2954">
      <x:c r="A2954" s="85"/>
      <x:c r="B2954" s="86"/>
    </x:row>
    <x:row r="2955">
      <x:c r="A2955" s="85"/>
      <x:c r="B2955" s="86"/>
    </x:row>
    <x:row r="2956">
      <x:c r="A2956" s="85"/>
      <x:c r="B2956" s="86"/>
    </x:row>
    <x:row r="2957">
      <x:c r="A2957" s="85"/>
      <x:c r="B2957" s="86"/>
    </x:row>
    <x:row r="2958">
      <x:c r="A2958" s="85"/>
      <x:c r="B2958" s="86"/>
    </x:row>
    <x:row r="2959">
      <x:c r="A2959" s="85"/>
      <x:c r="B2959" s="86"/>
    </x:row>
    <x:row r="2960">
      <x:c r="A2960" s="85"/>
      <x:c r="B2960" s="86"/>
    </x:row>
    <x:row r="2961">
      <x:c r="A2961" s="85"/>
      <x:c r="B2961" s="86"/>
    </x:row>
    <x:row r="2962">
      <x:c r="A2962" s="85"/>
      <x:c r="B2962" s="86"/>
    </x:row>
    <x:row r="2963">
      <x:c r="A2963" s="85"/>
      <x:c r="B2963" s="86"/>
    </x:row>
    <x:row r="2964">
      <x:c r="A2964" s="85"/>
      <x:c r="B2964" s="86"/>
    </x:row>
    <x:row r="2965">
      <x:c r="A2965" s="85"/>
      <x:c r="B2965" s="86"/>
    </x:row>
    <x:row r="2966">
      <x:c r="A2966" s="85"/>
      <x:c r="B2966" s="86"/>
    </x:row>
    <x:row r="2967">
      <x:c r="A2967" s="85"/>
      <x:c r="B2967" s="86"/>
    </x:row>
    <x:row r="2968">
      <x:c r="A2968" s="85"/>
      <x:c r="B2968" s="86"/>
    </x:row>
    <x:row r="2969">
      <x:c r="A2969" s="85"/>
      <x:c r="B2969" s="86"/>
    </x:row>
    <x:row r="2970">
      <x:c r="A2970" s="85"/>
      <x:c r="B2970" s="86"/>
    </x:row>
    <x:row r="2971">
      <x:c r="A2971" s="85"/>
      <x:c r="B2971" s="86"/>
    </x:row>
    <x:row r="2972">
      <x:c r="A2972" s="85"/>
      <x:c r="B2972" s="86"/>
    </x:row>
    <x:row r="2973">
      <x:c r="A2973" s="85"/>
      <x:c r="B2973" s="86"/>
    </x:row>
    <x:row r="2974">
      <x:c r="A2974" s="85"/>
      <x:c r="B2974" s="86"/>
    </x:row>
    <x:row r="2975">
      <x:c r="A2975" s="85"/>
      <x:c r="B2975" s="86"/>
    </x:row>
    <x:row r="2976">
      <x:c r="A2976" s="85"/>
      <x:c r="B2976" s="86"/>
    </x:row>
    <x:row r="2977">
      <x:c r="A2977" s="85"/>
      <x:c r="B2977" s="86"/>
    </x:row>
    <x:row r="2978">
      <x:c r="A2978" s="85"/>
      <x:c r="B2978" s="86"/>
    </x:row>
    <x:row r="2979">
      <x:c r="A2979" s="85"/>
      <x:c r="B2979" s="86"/>
    </x:row>
    <x:row r="2980">
      <x:c r="A2980" s="85"/>
      <x:c r="B2980" s="86"/>
    </x:row>
    <x:row r="2981">
      <x:c r="A2981" s="85"/>
      <x:c r="B2981" s="86"/>
    </x:row>
    <x:row r="2982">
      <x:c r="A2982" s="85"/>
      <x:c r="B2982" s="86"/>
    </x:row>
    <x:row r="2983">
      <x:c r="A2983" s="85"/>
      <x:c r="B2983" s="86"/>
    </x:row>
    <x:row r="2984">
      <x:c r="A2984" s="85"/>
      <x:c r="B2984" s="86"/>
    </x:row>
    <x:row r="2985">
      <x:c r="A2985" s="85"/>
      <x:c r="B2985" s="86"/>
    </x:row>
    <x:row r="2986">
      <x:c r="A2986" s="85"/>
      <x:c r="B2986" s="86"/>
    </x:row>
    <x:row r="2987">
      <x:c r="A2987" s="85"/>
      <x:c r="B2987" s="86"/>
    </x:row>
    <x:row r="2988">
      <x:c r="A2988" s="85"/>
      <x:c r="B2988" s="86"/>
    </x:row>
    <x:row r="2989">
      <x:c r="A2989" s="85"/>
      <x:c r="B2989" s="86"/>
    </x:row>
    <x:row r="2990">
      <x:c r="A2990" s="85"/>
      <x:c r="B2990" s="86"/>
    </x:row>
    <x:row r="2991">
      <x:c r="A2991" s="85"/>
      <x:c r="B2991" s="86"/>
    </x:row>
    <x:row r="2992">
      <x:c r="A2992" s="85"/>
      <x:c r="B2992" s="86"/>
    </x:row>
    <x:row r="2993">
      <x:c r="A2993" s="85"/>
      <x:c r="B2993" s="86"/>
    </x:row>
    <x:row r="2994">
      <x:c r="A2994" s="85"/>
      <x:c r="B2994" s="86"/>
    </x:row>
    <x:row r="2995">
      <x:c r="A2995" s="85"/>
      <x:c r="B2995" s="86"/>
    </x:row>
    <x:row r="2996">
      <x:c r="A2996" s="85"/>
      <x:c r="B2996" s="86"/>
    </x:row>
    <x:row r="2997">
      <x:c r="A2997" s="85"/>
      <x:c r="B2997" s="86"/>
    </x:row>
    <x:row r="2998">
      <x:c r="A2998" s="85"/>
      <x:c r="B2998" s="86"/>
    </x:row>
    <x:row r="2999">
      <x:c r="A2999" s="85"/>
      <x:c r="B2999" s="86"/>
    </x:row>
    <x:row r="3000">
      <x:c r="A3000" s="85"/>
      <x:c r="B3000" s="86"/>
    </x:row>
    <x:row r="3001">
      <x:c r="A3001" s="85"/>
      <x:c r="B3001" s="86"/>
    </x:row>
    <x:row r="3002">
      <x:c r="A3002" s="85"/>
      <x:c r="B3002" s="86"/>
    </x:row>
    <x:row r="3003">
      <x:c r="A3003" s="85"/>
      <x:c r="B3003" s="86"/>
    </x:row>
    <x:row r="3004">
      <x:c r="A3004" s="85"/>
      <x:c r="B3004" s="86"/>
    </x:row>
    <x:row r="3005">
      <x:c r="A3005" s="85"/>
      <x:c r="B3005" s="86"/>
    </x:row>
    <x:row r="3006">
      <x:c r="A3006" s="85"/>
      <x:c r="B3006" s="86"/>
    </x:row>
    <x:row r="3007">
      <x:c r="A3007" s="85"/>
      <x:c r="B3007" s="86"/>
    </x:row>
    <x:row r="3008">
      <x:c r="A3008" s="85"/>
      <x:c r="B3008" s="86"/>
    </x:row>
    <x:row r="3009">
      <x:c r="A3009" s="85"/>
      <x:c r="B3009" s="86"/>
    </x:row>
    <x:row r="3010">
      <x:c r="A3010" s="85"/>
      <x:c r="B3010" s="86"/>
    </x:row>
    <x:row r="3011">
      <x:c r="A3011" s="85"/>
      <x:c r="B3011" s="86"/>
    </x:row>
    <x:row r="3012">
      <x:c r="A3012" s="85"/>
      <x:c r="B3012" s="86"/>
    </x:row>
    <x:row r="3013">
      <x:c r="A3013" s="85"/>
      <x:c r="B3013" s="86"/>
    </x:row>
    <x:row r="3014">
      <x:c r="A3014" s="85"/>
      <x:c r="B3014" s="86"/>
    </x:row>
    <x:row r="3015">
      <x:c r="A3015" s="85"/>
      <x:c r="B3015" s="86"/>
    </x:row>
    <x:row r="3016">
      <x:c r="A3016" s="85"/>
      <x:c r="B3016" s="86"/>
    </x:row>
    <x:row r="3017">
      <x:c r="A3017" s="85"/>
      <x:c r="B3017" s="86"/>
    </x:row>
    <x:row r="3018">
      <x:c r="A3018" s="85"/>
      <x:c r="B3018" s="86"/>
    </x:row>
    <x:row r="3019">
      <x:c r="A3019" s="85"/>
      <x:c r="B3019" s="86"/>
    </x:row>
    <x:row r="3020">
      <x:c r="A3020" s="85"/>
      <x:c r="B3020" s="86"/>
    </x:row>
    <x:row r="3021">
      <x:c r="A3021" s="85"/>
      <x:c r="B3021" s="86"/>
    </x:row>
    <x:row r="3022">
      <x:c r="A3022" s="85"/>
      <x:c r="B3022" s="86"/>
    </x:row>
    <x:row r="3023">
      <x:c r="A3023" s="85"/>
      <x:c r="B3023" s="86"/>
    </x:row>
    <x:row r="3024">
      <x:c r="A3024" s="85"/>
      <x:c r="B3024" s="86"/>
    </x:row>
    <x:row r="3025">
      <x:c r="A3025" s="85"/>
      <x:c r="B3025" s="86"/>
    </x:row>
    <x:row r="3026">
      <x:c r="A3026" s="85"/>
      <x:c r="B3026" s="86"/>
    </x:row>
    <x:row r="3027">
      <x:c r="A3027" s="85"/>
      <x:c r="B3027" s="86"/>
    </x:row>
    <x:row r="3028">
      <x:c r="A3028" s="85"/>
      <x:c r="B3028" s="86"/>
    </x:row>
    <x:row r="3029">
      <x:c r="A3029" s="85"/>
      <x:c r="B3029" s="86"/>
    </x:row>
    <x:row r="3030">
      <x:c r="A3030" s="85"/>
      <x:c r="B3030" s="86"/>
    </x:row>
    <x:row r="3031">
      <x:c r="A3031" s="85"/>
      <x:c r="B3031" s="86"/>
    </x:row>
    <x:row r="3032">
      <x:c r="A3032" s="85"/>
      <x:c r="B3032" s="86"/>
    </x:row>
    <x:row r="3033">
      <x:c r="A3033" s="85"/>
      <x:c r="B3033" s="86"/>
    </x:row>
    <x:row r="3034">
      <x:c r="A3034" s="85"/>
      <x:c r="B3034" s="86"/>
    </x:row>
    <x:row r="3035">
      <x:c r="A3035" s="85"/>
      <x:c r="B3035" s="86"/>
    </x:row>
    <x:row r="3036">
      <x:c r="A3036" s="85"/>
      <x:c r="B3036" s="86"/>
    </x:row>
    <x:row r="3037">
      <x:c r="A3037" s="85"/>
      <x:c r="B3037" s="86"/>
    </x:row>
    <x:row r="3038">
      <x:c r="A3038" s="85"/>
      <x:c r="B3038" s="86"/>
    </x:row>
    <x:row r="3039">
      <x:c r="A3039" s="85"/>
      <x:c r="B3039" s="86"/>
    </x:row>
    <x:row r="3040">
      <x:c r="A3040" s="85"/>
      <x:c r="B3040" s="86"/>
    </x:row>
    <x:row r="3041">
      <x:c r="A3041" s="85"/>
      <x:c r="B3041" s="86"/>
    </x:row>
    <x:row r="3042">
      <x:c r="A3042" s="85"/>
      <x:c r="B3042" s="86"/>
    </x:row>
    <x:row r="3043">
      <x:c r="A3043" s="85"/>
      <x:c r="B3043" s="86"/>
    </x:row>
    <x:row r="3044">
      <x:c r="A3044" s="85"/>
      <x:c r="B3044" s="86"/>
    </x:row>
    <x:row r="3045">
      <x:c r="A3045" s="85"/>
      <x:c r="B3045" s="86"/>
    </x:row>
    <x:row r="3046">
      <x:c r="A3046" s="85"/>
      <x:c r="B3046" s="86"/>
    </x:row>
    <x:row r="3047">
      <x:c r="A3047" s="85"/>
      <x:c r="B3047" s="86"/>
    </x:row>
    <x:row r="3048">
      <x:c r="A3048" s="85"/>
      <x:c r="B3048" s="86"/>
    </x:row>
    <x:row r="3049">
      <x:c r="A3049" s="85"/>
      <x:c r="B3049" s="86"/>
    </x:row>
    <x:row r="3050">
      <x:c r="A3050" s="85"/>
      <x:c r="B3050" s="86"/>
    </x:row>
    <x:row r="3051">
      <x:c r="A3051" s="85"/>
      <x:c r="B3051" s="86"/>
    </x:row>
    <x:row r="3052">
      <x:c r="A3052" s="85"/>
      <x:c r="B3052" s="86"/>
    </x:row>
    <x:row r="3053">
      <x:c r="A3053" s="85"/>
      <x:c r="B3053" s="86"/>
    </x:row>
    <x:row r="3054">
      <x:c r="A3054" s="85"/>
      <x:c r="B3054" s="86"/>
    </x:row>
    <x:row r="3055">
      <x:c r="A3055" s="85"/>
      <x:c r="B3055" s="86"/>
    </x:row>
    <x:row r="3056">
      <x:c r="A3056" s="85"/>
      <x:c r="B3056" s="86"/>
    </x:row>
    <x:row r="3057">
      <x:c r="A3057" s="85"/>
      <x:c r="B3057" s="86"/>
    </x:row>
    <x:row r="3058">
      <x:c r="A3058" s="85"/>
      <x:c r="B3058" s="86"/>
    </x:row>
    <x:row r="3059">
      <x:c r="A3059" s="85"/>
      <x:c r="B3059" s="86"/>
    </x:row>
    <x:row r="3060">
      <x:c r="A3060" s="85"/>
      <x:c r="B3060" s="86"/>
    </x:row>
    <x:row r="3061">
      <x:c r="A3061" s="85"/>
      <x:c r="B3061" s="86"/>
    </x:row>
    <x:row r="3062">
      <x:c r="A3062" s="85"/>
      <x:c r="B3062" s="86"/>
    </x:row>
    <x:row r="3063">
      <x:c r="A3063" s="85"/>
      <x:c r="B3063" s="86"/>
    </x:row>
    <x:row r="3064">
      <x:c r="A3064" s="85"/>
      <x:c r="B3064" s="86"/>
    </x:row>
    <x:row r="3065">
      <x:c r="A3065" s="85"/>
      <x:c r="B3065" s="86"/>
    </x:row>
    <x:row r="3066">
      <x:c r="A3066" s="85"/>
      <x:c r="B3066" s="86"/>
    </x:row>
    <x:row r="3067">
      <x:c r="A3067" s="85"/>
      <x:c r="B3067" s="86"/>
    </x:row>
    <x:row r="3068">
      <x:c r="A3068" s="85"/>
      <x:c r="B3068" s="86"/>
    </x:row>
    <x:row r="3069">
      <x:c r="A3069" s="85"/>
      <x:c r="B3069" s="86"/>
    </x:row>
    <x:row r="3070">
      <x:c r="A3070" s="85"/>
      <x:c r="B3070" s="86"/>
    </x:row>
    <x:row r="3071">
      <x:c r="A3071" s="85"/>
      <x:c r="B3071" s="86"/>
    </x:row>
    <x:row r="3072">
      <x:c r="A3072" s="85"/>
      <x:c r="B3072" s="86"/>
    </x:row>
    <x:row r="3073">
      <x:c r="A3073" s="85"/>
      <x:c r="B3073" s="86"/>
    </x:row>
    <x:row r="3074">
      <x:c r="A3074" s="85"/>
      <x:c r="B3074" s="86"/>
    </x:row>
    <x:row r="3075">
      <x:c r="A3075" s="85"/>
      <x:c r="B3075" s="86"/>
    </x:row>
    <x:row r="3076">
      <x:c r="A3076" s="85"/>
      <x:c r="B3076" s="86"/>
    </x:row>
    <x:row r="3077">
      <x:c r="A3077" s="85"/>
      <x:c r="B3077" s="86"/>
    </x:row>
    <x:row r="3078">
      <x:c r="A3078" s="85"/>
      <x:c r="B3078" s="86"/>
    </x:row>
    <x:row r="3079">
      <x:c r="A3079" s="85"/>
      <x:c r="B3079" s="86"/>
    </x:row>
    <x:row r="3080">
      <x:c r="A3080" s="85"/>
      <x:c r="B3080" s="86"/>
    </x:row>
    <x:row r="3081">
      <x:c r="A3081" s="85"/>
      <x:c r="B3081" s="86"/>
    </x:row>
    <x:row r="3082">
      <x:c r="A3082" s="85"/>
      <x:c r="B3082" s="86"/>
    </x:row>
    <x:row r="3083">
      <x:c r="A3083" s="85"/>
      <x:c r="B3083" s="86"/>
    </x:row>
    <x:row r="3084">
      <x:c r="A3084" s="85"/>
      <x:c r="B3084" s="86"/>
    </x:row>
    <x:row r="3085">
      <x:c r="A3085" s="85"/>
      <x:c r="B3085" s="86"/>
    </x:row>
    <x:row r="3086">
      <x:c r="A3086" s="85"/>
      <x:c r="B3086" s="86"/>
    </x:row>
    <x:row r="3087">
      <x:c r="A3087" s="85"/>
      <x:c r="B3087" s="86"/>
    </x:row>
    <x:row r="3088">
      <x:c r="A3088" s="85"/>
      <x:c r="B3088" s="86"/>
    </x:row>
    <x:row r="3089">
      <x:c r="A3089" s="85"/>
      <x:c r="B3089" s="86"/>
    </x:row>
    <x:row r="3090">
      <x:c r="A3090" s="85"/>
      <x:c r="B3090" s="86"/>
    </x:row>
    <x:row r="3091">
      <x:c r="A3091" s="85"/>
      <x:c r="B3091" s="86"/>
    </x:row>
    <x:row r="3092">
      <x:c r="A3092" s="85"/>
      <x:c r="B3092" s="86"/>
    </x:row>
    <x:row r="3093">
      <x:c r="A3093" s="85"/>
      <x:c r="B3093" s="86"/>
    </x:row>
    <x:row r="3094">
      <x:c r="A3094" s="85"/>
      <x:c r="B3094" s="86"/>
    </x:row>
    <x:row r="3095">
      <x:c r="A3095" s="85"/>
      <x:c r="B3095" s="86"/>
    </x:row>
    <x:row r="3096">
      <x:c r="A3096" s="85"/>
      <x:c r="B3096" s="86"/>
    </x:row>
    <x:row r="3097">
      <x:c r="A3097" s="85"/>
      <x:c r="B3097" s="86"/>
    </x:row>
    <x:row r="3098">
      <x:c r="A3098" s="85"/>
      <x:c r="B3098" s="86"/>
    </x:row>
    <x:row r="3099">
      <x:c r="A3099" s="85"/>
      <x:c r="B3099" s="86"/>
    </x:row>
    <x:row r="3100">
      <x:c r="A3100" s="85"/>
      <x:c r="B3100" s="86"/>
    </x:row>
    <x:row r="3101">
      <x:c r="A3101" s="85"/>
      <x:c r="B3101" s="86"/>
    </x:row>
    <x:row r="3102">
      <x:c r="A3102" s="85"/>
      <x:c r="B3102" s="86"/>
    </x:row>
    <x:row r="3103">
      <x:c r="A3103" s="85"/>
      <x:c r="B3103" s="86"/>
    </x:row>
    <x:row r="3104">
      <x:c r="A3104" s="85"/>
      <x:c r="B3104" s="86"/>
    </x:row>
    <x:row r="3105">
      <x:c r="A3105" s="85"/>
      <x:c r="B3105" s="86"/>
    </x:row>
    <x:row r="3106">
      <x:c r="A3106" s="85"/>
      <x:c r="B3106" s="86"/>
    </x:row>
    <x:row r="3107">
      <x:c r="A3107" s="85"/>
      <x:c r="B3107" s="86"/>
    </x:row>
    <x:row r="3108">
      <x:c r="A3108" s="85"/>
      <x:c r="B3108" s="86"/>
    </x:row>
    <x:row r="3109">
      <x:c r="A3109" s="85"/>
      <x:c r="B3109" s="86"/>
    </x:row>
    <x:row r="3110">
      <x:c r="A3110" s="85"/>
      <x:c r="B3110" s="86"/>
    </x:row>
    <x:row r="3111">
      <x:c r="A3111" s="85"/>
      <x:c r="B3111" s="86"/>
    </x:row>
    <x:row r="3112">
      <x:c r="A3112" s="85"/>
      <x:c r="B3112" s="86"/>
    </x:row>
    <x:row r="3113">
      <x:c r="A3113" s="85"/>
      <x:c r="B3113" s="86"/>
    </x:row>
    <x:row r="3114">
      <x:c r="A3114" s="85"/>
      <x:c r="B3114" s="86"/>
    </x:row>
    <x:row r="3115">
      <x:c r="A3115" s="85"/>
      <x:c r="B3115" s="86"/>
    </x:row>
    <x:row r="3116">
      <x:c r="A3116" s="85"/>
      <x:c r="B3116" s="86"/>
    </x:row>
    <x:row r="3117">
      <x:c r="A3117" s="85"/>
      <x:c r="B3117" s="86"/>
    </x:row>
    <x:row r="3118">
      <x:c r="A3118" s="85"/>
      <x:c r="B3118" s="86"/>
    </x:row>
    <x:row r="3119">
      <x:c r="A3119" s="85"/>
      <x:c r="B3119" s="86"/>
    </x:row>
    <x:row r="3120">
      <x:c r="A3120" s="85"/>
      <x:c r="B3120" s="86"/>
    </x:row>
    <x:row r="3121">
      <x:c r="A3121" s="85"/>
      <x:c r="B3121" s="86"/>
    </x:row>
    <x:row r="3122">
      <x:c r="A3122" s="85"/>
      <x:c r="B3122" s="86"/>
    </x:row>
    <x:row r="3123">
      <x:c r="A3123" s="85"/>
      <x:c r="B3123" s="86"/>
    </x:row>
    <x:row r="3124">
      <x:c r="A3124" s="85"/>
      <x:c r="B3124" s="86"/>
    </x:row>
    <x:row r="3125">
      <x:c r="A3125" s="85"/>
      <x:c r="B3125" s="86"/>
    </x:row>
    <x:row r="3126">
      <x:c r="A3126" s="85"/>
      <x:c r="B3126" s="86"/>
    </x:row>
    <x:row r="3127">
      <x:c r="A3127" s="85"/>
      <x:c r="B3127" s="86"/>
    </x:row>
    <x:row r="3128">
      <x:c r="A3128" s="85"/>
      <x:c r="B3128" s="86"/>
    </x:row>
    <x:row r="3129">
      <x:c r="A3129" s="85"/>
      <x:c r="B3129" s="86"/>
    </x:row>
    <x:row r="3130">
      <x:c r="A3130" s="85"/>
      <x:c r="B3130" s="86"/>
    </x:row>
    <x:row r="3131">
      <x:c r="A3131" s="85"/>
      <x:c r="B3131" s="86"/>
    </x:row>
    <x:row r="3132">
      <x:c r="A3132" s="85"/>
      <x:c r="B3132" s="86"/>
    </x:row>
    <x:row r="3133">
      <x:c r="A3133" s="85"/>
      <x:c r="B3133" s="86"/>
    </x:row>
    <x:row r="3134">
      <x:c r="A3134" s="85"/>
      <x:c r="B3134" s="86"/>
    </x:row>
    <x:row r="3135">
      <x:c r="A3135" s="85"/>
      <x:c r="B3135" s="86"/>
    </x:row>
    <x:row r="3136">
      <x:c r="A3136" s="85"/>
      <x:c r="B3136" s="86"/>
    </x:row>
    <x:row r="3137">
      <x:c r="A3137" s="85"/>
      <x:c r="B3137" s="86"/>
    </x:row>
    <x:row r="3138">
      <x:c r="A3138" s="85"/>
      <x:c r="B3138" s="86"/>
    </x:row>
    <x:row r="3139">
      <x:c r="A3139" s="85"/>
      <x:c r="B3139" s="86"/>
    </x:row>
    <x:row r="3140">
      <x:c r="A3140" s="85"/>
      <x:c r="B3140" s="86"/>
    </x:row>
    <x:row r="3141">
      <x:c r="A3141" s="85"/>
      <x:c r="B3141" s="86"/>
    </x:row>
    <x:row r="3142">
      <x:c r="A3142" s="85"/>
      <x:c r="B3142" s="86"/>
    </x:row>
    <x:row r="3143">
      <x:c r="A3143" s="85"/>
      <x:c r="B3143" s="86"/>
    </x:row>
    <x:row r="3144">
      <x:c r="A3144" s="85"/>
      <x:c r="B3144" s="86"/>
    </x:row>
    <x:row r="3145">
      <x:c r="A3145" s="85"/>
      <x:c r="B3145" s="86"/>
    </x:row>
    <x:row r="3146">
      <x:c r="A3146" s="85"/>
      <x:c r="B3146" s="86"/>
    </x:row>
    <x:row r="3147">
      <x:c r="A3147" s="85"/>
      <x:c r="B3147" s="86"/>
    </x:row>
    <x:row r="3148">
      <x:c r="A3148" s="85"/>
      <x:c r="B3148" s="86"/>
    </x:row>
    <x:row r="3149">
      <x:c r="A3149" s="85"/>
      <x:c r="B3149" s="86"/>
    </x:row>
    <x:row r="3150">
      <x:c r="A3150" s="85"/>
      <x:c r="B3150" s="86"/>
    </x:row>
    <x:row r="3151">
      <x:c r="A3151" s="85"/>
      <x:c r="B3151" s="86"/>
    </x:row>
    <x:row r="3152">
      <x:c r="A3152" s="85"/>
      <x:c r="B3152" s="86"/>
    </x:row>
    <x:row r="3153">
      <x:c r="A3153" s="85"/>
      <x:c r="B3153" s="86"/>
    </x:row>
    <x:row r="3154">
      <x:c r="A3154" s="85"/>
      <x:c r="B3154" s="86"/>
    </x:row>
    <x:row r="3155">
      <x:c r="A3155" s="85"/>
      <x:c r="B3155" s="86"/>
    </x:row>
    <x:row r="3156">
      <x:c r="A3156" s="85"/>
      <x:c r="B3156" s="86"/>
    </x:row>
    <x:row r="3157">
      <x:c r="A3157" s="85"/>
      <x:c r="B3157" s="86"/>
    </x:row>
    <x:row r="3158">
      <x:c r="A3158" s="85"/>
      <x:c r="B3158" s="86"/>
    </x:row>
    <x:row r="3159">
      <x:c r="A3159" s="85"/>
      <x:c r="B3159" s="86"/>
    </x:row>
    <x:row r="3160">
      <x:c r="A3160" s="85"/>
      <x:c r="B3160" s="86"/>
    </x:row>
    <x:row r="3161">
      <x:c r="A3161" s="85"/>
      <x:c r="B3161" s="86"/>
    </x:row>
    <x:row r="3162">
      <x:c r="A3162" s="85"/>
      <x:c r="B3162" s="86"/>
    </x:row>
    <x:row r="3163">
      <x:c r="A3163" s="85"/>
      <x:c r="B3163" s="86"/>
    </x:row>
    <x:row r="3164">
      <x:c r="A3164" s="85"/>
      <x:c r="B3164" s="86"/>
    </x:row>
    <x:row r="3165">
      <x:c r="A3165" s="85"/>
      <x:c r="B3165" s="86"/>
    </x:row>
    <x:row r="3166">
      <x:c r="A3166" s="85"/>
      <x:c r="B3166" s="86"/>
    </x:row>
    <x:row r="3167">
      <x:c r="A3167" s="85"/>
      <x:c r="B3167" s="86"/>
    </x:row>
    <x:row r="3168">
      <x:c r="A3168" s="85"/>
      <x:c r="B3168" s="86"/>
    </x:row>
    <x:row r="3169">
      <x:c r="A3169" s="85"/>
      <x:c r="B3169" s="86"/>
    </x:row>
    <x:row r="3170">
      <x:c r="A3170" s="85"/>
      <x:c r="B3170" s="86"/>
    </x:row>
    <x:row r="3171">
      <x:c r="A3171" s="85"/>
      <x:c r="B3171" s="86"/>
    </x:row>
    <x:row r="3172">
      <x:c r="A3172" s="85"/>
      <x:c r="B3172" s="86"/>
    </x:row>
    <x:row r="3173">
      <x:c r="A3173" s="85"/>
      <x:c r="B3173" s="86"/>
    </x:row>
    <x:row r="3174">
      <x:c r="A3174" s="85"/>
      <x:c r="B3174" s="86"/>
    </x:row>
    <x:row r="3175">
      <x:c r="A3175" s="85"/>
      <x:c r="B3175" s="86"/>
    </x:row>
    <x:row r="3176">
      <x:c r="A3176" s="85"/>
      <x:c r="B3176" s="86"/>
    </x:row>
    <x:row r="3177">
      <x:c r="A3177" s="85"/>
      <x:c r="B3177" s="86"/>
    </x:row>
    <x:row r="3178">
      <x:c r="A3178" s="85"/>
      <x:c r="B3178" s="86"/>
    </x:row>
    <x:row r="3179">
      <x:c r="A3179" s="85"/>
      <x:c r="B3179" s="86"/>
    </x:row>
    <x:row r="3180">
      <x:c r="A3180" s="85"/>
      <x:c r="B3180" s="86"/>
    </x:row>
    <x:row r="3181">
      <x:c r="A3181" s="85"/>
      <x:c r="B3181" s="86"/>
    </x:row>
    <x:row r="3182">
      <x:c r="A3182" s="85"/>
      <x:c r="B3182" s="86"/>
    </x:row>
    <x:row r="3183">
      <x:c r="A3183" s="85"/>
      <x:c r="B3183" s="86"/>
    </x:row>
    <x:row r="3184">
      <x:c r="A3184" s="85"/>
      <x:c r="B3184" s="86"/>
    </x:row>
    <x:row r="3185">
      <x:c r="A3185" s="85"/>
      <x:c r="B3185" s="86"/>
    </x:row>
    <x:row r="3186">
      <x:c r="A3186" s="85"/>
      <x:c r="B3186" s="86"/>
    </x:row>
    <x:row r="3187">
      <x:c r="A3187" s="85"/>
      <x:c r="B3187" s="86"/>
    </x:row>
    <x:row r="3188">
      <x:c r="A3188" s="85"/>
      <x:c r="B3188" s="86"/>
    </x:row>
    <x:row r="3189">
      <x:c r="A3189" s="85"/>
      <x:c r="B3189" s="86"/>
    </x:row>
    <x:row r="3190">
      <x:c r="A3190" s="85"/>
      <x:c r="B3190" s="86"/>
    </x:row>
    <x:row r="3191">
      <x:c r="A3191" s="85"/>
      <x:c r="B3191" s="86"/>
    </x:row>
    <x:row r="3192">
      <x:c r="A3192" s="85"/>
      <x:c r="B3192" s="86"/>
    </x:row>
    <x:row r="3193">
      <x:c r="A3193" s="85"/>
      <x:c r="B3193" s="86"/>
    </x:row>
    <x:row r="3194">
      <x:c r="A3194" s="85"/>
      <x:c r="B3194" s="86"/>
    </x:row>
    <x:row r="3195">
      <x:c r="A3195" s="85"/>
      <x:c r="B3195" s="86"/>
    </x:row>
    <x:row r="3196">
      <x:c r="A3196" s="85"/>
      <x:c r="B3196" s="86"/>
    </x:row>
    <x:row r="3197">
      <x:c r="A3197" s="85"/>
      <x:c r="B3197" s="86"/>
    </x:row>
    <x:row r="3198">
      <x:c r="A3198" s="85"/>
      <x:c r="B3198" s="86"/>
    </x:row>
    <x:row r="3199">
      <x:c r="A3199" s="85"/>
      <x:c r="B3199" s="86"/>
    </x:row>
    <x:row r="3200">
      <x:c r="A3200" s="85"/>
      <x:c r="B3200" s="86"/>
    </x:row>
    <x:row r="3201">
      <x:c r="A3201" s="85"/>
      <x:c r="B3201" s="86"/>
    </x:row>
    <x:row r="3202">
      <x:c r="A3202" s="85"/>
      <x:c r="B3202" s="86"/>
    </x:row>
    <x:row r="3203">
      <x:c r="A3203" s="85"/>
      <x:c r="B3203" s="86"/>
    </x:row>
    <x:row r="3204">
      <x:c r="A3204" s="85"/>
      <x:c r="B3204" s="86"/>
    </x:row>
    <x:row r="3205">
      <x:c r="A3205" s="85"/>
      <x:c r="B3205" s="86"/>
    </x:row>
    <x:row r="3206">
      <x:c r="A3206" s="85"/>
      <x:c r="B3206" s="86"/>
    </x:row>
    <x:row r="3207">
      <x:c r="A3207" s="85"/>
      <x:c r="B3207" s="86"/>
    </x:row>
    <x:row r="3208">
      <x:c r="A3208" s="85"/>
      <x:c r="B3208" s="86"/>
    </x:row>
    <x:row r="3209">
      <x:c r="A3209" s="85"/>
      <x:c r="B3209" s="86"/>
    </x:row>
    <x:row r="3210">
      <x:c r="A3210" s="85"/>
      <x:c r="B3210" s="86"/>
    </x:row>
    <x:row r="3211">
      <x:c r="A3211" s="85"/>
      <x:c r="B3211" s="86"/>
    </x:row>
    <x:row r="3212">
      <x:c r="A3212" s="85"/>
      <x:c r="B3212" s="86"/>
    </x:row>
    <x:row r="3213">
      <x:c r="A3213" s="85"/>
      <x:c r="B3213" s="86"/>
    </x:row>
    <x:row r="3214">
      <x:c r="A3214" s="85"/>
      <x:c r="B3214" s="86"/>
    </x:row>
    <x:row r="3215">
      <x:c r="A3215" s="85"/>
      <x:c r="B3215" s="86"/>
    </x:row>
    <x:row r="3216">
      <x:c r="A3216" s="85"/>
      <x:c r="B3216" s="86"/>
    </x:row>
    <x:row r="3217">
      <x:c r="A3217" s="85"/>
      <x:c r="B3217" s="86"/>
    </x:row>
    <x:row r="3218">
      <x:c r="A3218" s="85"/>
      <x:c r="B3218" s="86"/>
    </x:row>
    <x:row r="3219">
      <x:c r="A3219" s="85"/>
      <x:c r="B3219" s="86"/>
    </x:row>
    <x:row r="3220">
      <x:c r="A3220" s="85"/>
      <x:c r="B3220" s="86"/>
    </x:row>
    <x:row r="3221">
      <x:c r="A3221" s="85"/>
      <x:c r="B3221" s="86"/>
    </x:row>
    <x:row r="3222">
      <x:c r="A3222" s="85"/>
      <x:c r="B3222" s="86"/>
    </x:row>
    <x:row r="3223">
      <x:c r="A3223" s="85"/>
      <x:c r="B3223" s="86"/>
    </x:row>
    <x:row r="3224">
      <x:c r="A3224" s="85"/>
      <x:c r="B3224" s="86"/>
    </x:row>
    <x:row r="3225">
      <x:c r="A3225" s="85"/>
      <x:c r="B3225" s="86"/>
    </x:row>
    <x:row r="3226">
      <x:c r="A3226" s="85"/>
      <x:c r="B3226" s="86"/>
    </x:row>
    <x:row r="3227">
      <x:c r="A3227" s="85"/>
      <x:c r="B3227" s="86"/>
    </x:row>
    <x:row r="3228">
      <x:c r="A3228" s="85"/>
      <x:c r="B3228" s="86"/>
    </x:row>
    <x:row r="3229">
      <x:c r="A3229" s="85"/>
      <x:c r="B3229" s="86"/>
    </x:row>
    <x:row r="3230">
      <x:c r="A3230" s="85"/>
      <x:c r="B3230" s="86"/>
    </x:row>
    <x:row r="3231">
      <x:c r="A3231" s="85"/>
      <x:c r="B3231" s="86"/>
    </x:row>
    <x:row r="3232">
      <x:c r="A3232" s="85"/>
      <x:c r="B3232" s="86"/>
    </x:row>
    <x:row r="3233">
      <x:c r="A3233" s="85"/>
      <x:c r="B3233" s="86"/>
    </x:row>
    <x:row r="3234">
      <x:c r="A3234" s="85"/>
      <x:c r="B3234" s="86"/>
    </x:row>
    <x:row r="3235">
      <x:c r="A3235" s="85"/>
      <x:c r="B3235" s="86"/>
    </x:row>
    <x:row r="3236">
      <x:c r="A3236" s="85"/>
      <x:c r="B3236" s="86"/>
    </x:row>
    <x:row r="3237">
      <x:c r="A3237" s="85"/>
      <x:c r="B3237" s="86"/>
    </x:row>
    <x:row r="3238">
      <x:c r="A3238" s="85"/>
      <x:c r="B3238" s="86"/>
    </x:row>
    <x:row r="3239">
      <x:c r="A3239" s="85"/>
      <x:c r="B3239" s="86"/>
    </x:row>
    <x:row r="3240">
      <x:c r="A3240" s="85"/>
      <x:c r="B3240" s="86"/>
    </x:row>
    <x:row r="3241">
      <x:c r="A3241" s="85"/>
      <x:c r="B3241" s="86"/>
    </x:row>
    <x:row r="3242">
      <x:c r="A3242" s="85"/>
      <x:c r="B3242" s="86"/>
    </x:row>
    <x:row r="3243">
      <x:c r="A3243" s="85"/>
      <x:c r="B3243" s="86"/>
    </x:row>
    <x:row r="3244">
      <x:c r="A3244" s="85"/>
      <x:c r="B3244" s="86"/>
    </x:row>
    <x:row r="3245">
      <x:c r="A3245" s="85"/>
      <x:c r="B3245" s="86"/>
    </x:row>
    <x:row r="3246">
      <x:c r="A3246" s="85"/>
      <x:c r="B3246" s="86"/>
    </x:row>
    <x:row r="3247">
      <x:c r="A3247" s="85"/>
      <x:c r="B3247" s="86"/>
    </x:row>
    <x:row r="3248">
      <x:c r="A3248" s="85"/>
      <x:c r="B3248" s="86"/>
    </x:row>
    <x:row r="3249">
      <x:c r="A3249" s="85"/>
      <x:c r="B3249" s="86"/>
    </x:row>
    <x:row r="3250">
      <x:c r="A3250" s="85"/>
      <x:c r="B3250" s="86"/>
    </x:row>
    <x:row r="3251">
      <x:c r="A3251" s="85"/>
      <x:c r="B3251" s="86"/>
    </x:row>
    <x:row r="3252">
      <x:c r="A3252" s="85"/>
      <x:c r="B3252" s="86"/>
    </x:row>
    <x:row r="3253">
      <x:c r="A3253" s="85"/>
      <x:c r="B3253" s="86"/>
    </x:row>
    <x:row r="3254">
      <x:c r="A3254" s="85"/>
      <x:c r="B3254" s="86"/>
    </x:row>
    <x:row r="3255">
      <x:c r="A3255" s="85"/>
      <x:c r="B3255" s="86"/>
    </x:row>
    <x:row r="3256">
      <x:c r="A3256" s="85"/>
      <x:c r="B3256" s="86"/>
    </x:row>
    <x:row r="3257">
      <x:c r="A3257" s="85"/>
      <x:c r="B3257" s="86"/>
    </x:row>
    <x:row r="3258">
      <x:c r="A3258" s="85"/>
      <x:c r="B3258" s="86"/>
    </x:row>
    <x:row r="3259">
      <x:c r="A3259" s="85"/>
      <x:c r="B3259" s="86"/>
    </x:row>
    <x:row r="3260">
      <x:c r="A3260" s="85"/>
      <x:c r="B3260" s="86"/>
    </x:row>
    <x:row r="3261">
      <x:c r="A3261" s="85"/>
      <x:c r="B3261" s="86"/>
    </x:row>
    <x:row r="3262">
      <x:c r="A3262" s="85"/>
      <x:c r="B3262" s="86"/>
    </x:row>
    <x:row r="3263">
      <x:c r="A3263" s="85"/>
      <x:c r="B3263" s="86"/>
    </x:row>
    <x:row r="3264">
      <x:c r="A3264" s="85"/>
      <x:c r="B3264" s="86"/>
    </x:row>
    <x:row r="3265">
      <x:c r="A3265" s="85"/>
      <x:c r="B3265" s="86"/>
    </x:row>
    <x:row r="3266">
      <x:c r="A3266" s="85"/>
      <x:c r="B3266" s="86"/>
    </x:row>
    <x:row r="3267">
      <x:c r="A3267" s="85"/>
      <x:c r="B3267" s="86"/>
    </x:row>
    <x:row r="3268">
      <x:c r="A3268" s="85"/>
      <x:c r="B3268" s="86"/>
    </x:row>
    <x:row r="3269">
      <x:c r="A3269" s="85"/>
      <x:c r="B3269" s="86"/>
    </x:row>
    <x:row r="3270">
      <x:c r="A3270" s="85"/>
      <x:c r="B3270" s="86"/>
    </x:row>
    <x:row r="3271">
      <x:c r="A3271" s="85"/>
      <x:c r="B3271" s="86"/>
    </x:row>
    <x:row r="3272">
      <x:c r="A3272" s="85"/>
      <x:c r="B3272" s="86"/>
    </x:row>
    <x:row r="3273">
      <x:c r="A3273" s="85"/>
      <x:c r="B3273" s="86"/>
    </x:row>
    <x:row r="3274">
      <x:c r="A3274" s="85"/>
      <x:c r="B3274" s="86"/>
    </x:row>
    <x:row r="3275">
      <x:c r="A3275" s="85"/>
      <x:c r="B3275" s="86"/>
    </x:row>
    <x:row r="3276">
      <x:c r="A3276" s="85"/>
      <x:c r="B3276" s="86"/>
    </x:row>
    <x:row r="3277">
      <x:c r="A3277" s="85"/>
      <x:c r="B3277" s="86"/>
    </x:row>
    <x:row r="3278">
      <x:c r="A3278" s="85"/>
      <x:c r="B3278" s="86"/>
    </x:row>
    <x:row r="3279">
      <x:c r="A3279" s="85"/>
      <x:c r="B3279" s="86"/>
    </x:row>
    <x:row r="3280">
      <x:c r="A3280" s="85"/>
      <x:c r="B3280" s="86"/>
    </x:row>
    <x:row r="3281">
      <x:c r="A3281" s="85"/>
      <x:c r="B3281" s="86"/>
    </x:row>
    <x:row r="3282">
      <x:c r="A3282" s="85"/>
      <x:c r="B3282" s="86"/>
    </x:row>
    <x:row r="3283">
      <x:c r="A3283" s="85"/>
      <x:c r="B3283" s="86"/>
    </x:row>
    <x:row r="3284">
      <x:c r="A3284" s="85"/>
      <x:c r="B3284" s="86"/>
    </x:row>
    <x:row r="3285">
      <x:c r="A3285" s="85"/>
      <x:c r="B3285" s="86"/>
    </x:row>
    <x:row r="3286">
      <x:c r="A3286" s="85"/>
      <x:c r="B3286" s="86"/>
    </x:row>
    <x:row r="3287">
      <x:c r="A3287" s="85"/>
      <x:c r="B3287" s="86"/>
    </x:row>
    <x:row r="3288">
      <x:c r="A3288" s="85"/>
      <x:c r="B3288" s="86"/>
    </x:row>
    <x:row r="3289">
      <x:c r="A3289" s="85"/>
      <x:c r="B3289" s="86"/>
    </x:row>
    <x:row r="3290">
      <x:c r="A3290" s="85"/>
      <x:c r="B3290" s="86"/>
    </x:row>
    <x:row r="3291">
      <x:c r="A3291" s="85"/>
      <x:c r="B3291" s="86"/>
    </x:row>
    <x:row r="3292">
      <x:c r="A3292" s="85"/>
      <x:c r="B3292" s="86"/>
    </x:row>
    <x:row r="3293">
      <x:c r="A3293" s="85"/>
      <x:c r="B3293" s="86"/>
    </x:row>
    <x:row r="3294">
      <x:c r="A3294" s="85"/>
      <x:c r="B3294" s="86"/>
    </x:row>
    <x:row r="3295">
      <x:c r="A3295" s="85"/>
      <x:c r="B3295" s="86"/>
    </x:row>
    <x:row r="3296">
      <x:c r="A3296" s="85"/>
      <x:c r="B3296" s="86"/>
    </x:row>
    <x:row r="3297">
      <x:c r="A3297" s="85"/>
      <x:c r="B3297" s="86"/>
    </x:row>
    <x:row r="3298">
      <x:c r="A3298" s="85"/>
      <x:c r="B3298" s="86"/>
    </x:row>
    <x:row r="3299">
      <x:c r="A3299" s="85"/>
      <x:c r="B3299" s="86"/>
    </x:row>
    <x:row r="3300">
      <x:c r="A3300" s="85"/>
      <x:c r="B3300" s="86"/>
    </x:row>
    <x:row r="3301">
      <x:c r="A3301" s="85"/>
      <x:c r="B3301" s="86"/>
    </x:row>
    <x:row r="3302">
      <x:c r="A3302" s="85"/>
      <x:c r="B3302" s="86"/>
    </x:row>
    <x:row r="3303">
      <x:c r="A3303" s="85"/>
      <x:c r="B3303" s="86"/>
    </x:row>
    <x:row r="3304">
      <x:c r="A3304" s="85"/>
      <x:c r="B3304" s="86"/>
    </x:row>
    <x:row r="3305">
      <x:c r="A3305" s="85"/>
      <x:c r="B3305" s="86"/>
    </x:row>
    <x:row r="3306">
      <x:c r="A3306" s="85"/>
      <x:c r="B3306" s="86"/>
    </x:row>
    <x:row r="3307">
      <x:c r="A3307" s="85"/>
      <x:c r="B3307" s="86"/>
    </x:row>
    <x:row r="3308">
      <x:c r="A3308" s="85"/>
      <x:c r="B3308" s="86"/>
    </x:row>
    <x:row r="3309">
      <x:c r="A3309" s="85"/>
      <x:c r="B3309" s="86"/>
    </x:row>
    <x:row r="3310">
      <x:c r="A3310" s="85"/>
      <x:c r="B3310" s="86"/>
    </x:row>
    <x:row r="3311">
      <x:c r="A3311" s="85"/>
      <x:c r="B3311" s="86"/>
    </x:row>
    <x:row r="3312">
      <x:c r="A3312" s="85"/>
      <x:c r="B3312" s="86"/>
    </x:row>
    <x:row r="3313">
      <x:c r="A3313" s="85"/>
      <x:c r="B3313" s="86"/>
    </x:row>
    <x:row r="3314">
      <x:c r="A3314" s="85"/>
      <x:c r="B3314" s="86"/>
    </x:row>
    <x:row r="3315">
      <x:c r="A3315" s="85"/>
      <x:c r="B3315" s="86"/>
    </x:row>
    <x:row r="3316">
      <x:c r="A3316" s="85"/>
      <x:c r="B3316" s="86"/>
    </x:row>
    <x:row r="3317">
      <x:c r="A3317" s="85"/>
      <x:c r="B3317" s="86"/>
    </x:row>
    <x:row r="3318">
      <x:c r="A3318" s="85"/>
      <x:c r="B3318" s="86"/>
    </x:row>
    <x:row r="3319">
      <x:c r="A3319" s="85"/>
      <x:c r="B3319" s="86"/>
    </x:row>
    <x:row r="3320">
      <x:c r="A3320" s="85"/>
      <x:c r="B3320" s="86"/>
    </x:row>
    <x:row r="3321">
      <x:c r="A3321" s="85"/>
      <x:c r="B3321" s="86"/>
    </x:row>
    <x:row r="3322">
      <x:c r="A3322" s="85"/>
      <x:c r="B3322" s="86"/>
    </x:row>
    <x:row r="3323">
      <x:c r="A3323" s="85"/>
      <x:c r="B3323" s="86"/>
    </x:row>
    <x:row r="3324">
      <x:c r="A3324" s="85"/>
      <x:c r="B3324" s="86"/>
    </x:row>
    <x:row r="3325">
      <x:c r="A3325" s="85"/>
      <x:c r="B3325" s="86"/>
    </x:row>
    <x:row r="3326">
      <x:c r="A3326" s="85"/>
      <x:c r="B3326" s="86"/>
    </x:row>
    <x:row r="3327">
      <x:c r="A3327" s="85"/>
      <x:c r="B3327" s="86"/>
    </x:row>
    <x:row r="3328">
      <x:c r="A3328" s="85"/>
      <x:c r="B3328" s="86"/>
    </x:row>
    <x:row r="3329">
      <x:c r="A3329" s="85"/>
      <x:c r="B3329" s="86"/>
    </x:row>
    <x:row r="3330">
      <x:c r="A3330" s="85"/>
      <x:c r="B3330" s="86"/>
    </x:row>
    <x:row r="3331">
      <x:c r="A3331" s="85"/>
      <x:c r="B3331" s="86"/>
    </x:row>
    <x:row r="3332">
      <x:c r="A3332" s="85"/>
      <x:c r="B3332" s="86"/>
    </x:row>
    <x:row r="3333">
      <x:c r="A3333" s="85"/>
      <x:c r="B3333" s="86"/>
    </x:row>
    <x:row r="3334">
      <x:c r="A3334" s="85"/>
      <x:c r="B3334" s="86"/>
    </x:row>
    <x:row r="3335">
      <x:c r="A3335" s="85"/>
      <x:c r="B3335" s="86"/>
    </x:row>
    <x:row r="3336">
      <x:c r="A3336" s="85"/>
      <x:c r="B3336" s="86"/>
    </x:row>
    <x:row r="3337">
      <x:c r="A3337" s="85"/>
      <x:c r="B3337" s="86"/>
    </x:row>
    <x:row r="3338">
      <x:c r="A3338" s="85"/>
      <x:c r="B3338" s="86"/>
    </x:row>
    <x:row r="3339">
      <x:c r="A3339" s="85"/>
      <x:c r="B3339" s="86"/>
    </x:row>
    <x:row r="3340">
      <x:c r="A3340" s="85"/>
      <x:c r="B3340" s="86"/>
    </x:row>
    <x:row r="3341">
      <x:c r="A3341" s="85"/>
      <x:c r="B3341" s="86"/>
    </x:row>
    <x:row r="3342">
      <x:c r="A3342" s="85"/>
      <x:c r="B3342" s="86"/>
    </x:row>
    <x:row r="3343">
      <x:c r="A3343" s="85"/>
      <x:c r="B3343" s="86"/>
    </x:row>
    <x:row r="3344">
      <x:c r="A3344" s="85"/>
      <x:c r="B3344" s="86"/>
    </x:row>
    <x:row r="3345">
      <x:c r="A3345" s="85"/>
      <x:c r="B3345" s="86"/>
    </x:row>
    <x:row r="3346">
      <x:c r="A3346" s="85"/>
      <x:c r="B3346" s="86"/>
    </x:row>
    <x:row r="3347">
      <x:c r="A3347" s="85"/>
      <x:c r="B3347" s="86"/>
    </x:row>
    <x:row r="3348">
      <x:c r="A3348" s="85"/>
      <x:c r="B3348" s="86"/>
    </x:row>
    <x:row r="3349">
      <x:c r="A3349" s="85"/>
      <x:c r="B3349" s="86"/>
    </x:row>
    <x:row r="3350">
      <x:c r="A3350" s="85"/>
      <x:c r="B3350" s="86"/>
    </x:row>
    <x:row r="3351">
      <x:c r="A3351" s="85"/>
      <x:c r="B3351" s="86"/>
    </x:row>
    <x:row r="3352">
      <x:c r="A3352" s="85"/>
      <x:c r="B3352" s="86"/>
    </x:row>
    <x:row r="3353">
      <x:c r="A3353" s="85"/>
      <x:c r="B3353" s="86"/>
    </x:row>
    <x:row r="3354">
      <x:c r="A3354" s="85"/>
      <x:c r="B3354" s="86"/>
    </x:row>
    <x:row r="3355">
      <x:c r="A3355" s="85"/>
      <x:c r="B3355" s="86"/>
    </x:row>
    <x:row r="3356">
      <x:c r="A3356" s="85"/>
      <x:c r="B3356" s="86"/>
    </x:row>
    <x:row r="3357">
      <x:c r="A3357" s="85"/>
      <x:c r="B3357" s="86"/>
    </x:row>
    <x:row r="3358">
      <x:c r="A3358" s="85"/>
      <x:c r="B3358" s="86"/>
    </x:row>
    <x:row r="3359">
      <x:c r="A3359" s="85"/>
      <x:c r="B3359" s="86"/>
    </x:row>
    <x:row r="3360">
      <x:c r="A3360" s="85"/>
      <x:c r="B3360" s="86"/>
    </x:row>
    <x:row r="3361">
      <x:c r="A3361" s="85"/>
      <x:c r="B3361" s="86"/>
    </x:row>
    <x:row r="3362">
      <x:c r="A3362" s="85"/>
      <x:c r="B3362" s="86"/>
    </x:row>
    <x:row r="3363">
      <x:c r="A3363" s="85"/>
      <x:c r="B3363" s="86"/>
    </x:row>
    <x:row r="3364">
      <x:c r="A3364" s="85"/>
      <x:c r="B3364" s="86"/>
    </x:row>
    <x:row r="3365">
      <x:c r="A3365" s="85"/>
      <x:c r="B3365" s="86"/>
    </x:row>
    <x:row r="3366">
      <x:c r="A3366" s="85"/>
      <x:c r="B3366" s="86"/>
    </x:row>
    <x:row r="3367">
      <x:c r="A3367" s="85"/>
      <x:c r="B3367" s="86"/>
    </x:row>
    <x:row r="3368">
      <x:c r="A3368" s="85"/>
      <x:c r="B3368" s="86"/>
    </x:row>
    <x:row r="3369">
      <x:c r="A3369" s="85"/>
      <x:c r="B3369" s="86"/>
    </x:row>
    <x:row r="3370">
      <x:c r="A3370" s="85"/>
      <x:c r="B3370" s="86"/>
    </x:row>
    <x:row r="3371">
      <x:c r="A3371" s="85"/>
      <x:c r="B3371" s="86"/>
    </x:row>
    <x:row r="3372">
      <x:c r="A3372" s="85"/>
      <x:c r="B3372" s="86"/>
    </x:row>
    <x:row r="3373">
      <x:c r="A3373" s="85"/>
      <x:c r="B3373" s="86"/>
    </x:row>
    <x:row r="3374">
      <x:c r="A3374" s="85"/>
      <x:c r="B3374" s="86"/>
    </x:row>
    <x:row r="3375">
      <x:c r="A3375" s="85"/>
      <x:c r="B3375" s="86"/>
    </x:row>
    <x:row r="3376">
      <x:c r="A3376" s="85"/>
      <x:c r="B3376" s="86"/>
    </x:row>
    <x:row r="3377">
      <x:c r="A3377" s="85"/>
      <x:c r="B3377" s="86"/>
    </x:row>
    <x:row r="3378">
      <x:c r="A3378" s="85"/>
      <x:c r="B3378" s="86"/>
    </x:row>
    <x:row r="3379">
      <x:c r="A3379" s="85"/>
      <x:c r="B3379" s="86"/>
    </x:row>
    <x:row r="3380">
      <x:c r="A3380" s="85"/>
      <x:c r="B3380" s="86"/>
    </x:row>
    <x:row r="3381">
      <x:c r="A3381" s="85"/>
      <x:c r="B3381" s="86"/>
    </x:row>
    <x:row r="3382">
      <x:c r="A3382" s="85"/>
      <x:c r="B3382" s="86"/>
    </x:row>
    <x:row r="3383">
      <x:c r="A3383" s="85"/>
      <x:c r="B3383" s="86"/>
    </x:row>
    <x:row r="3384">
      <x:c r="A3384" s="85"/>
      <x:c r="B3384" s="86"/>
    </x:row>
    <x:row r="3385">
      <x:c r="A3385" s="85"/>
      <x:c r="B3385" s="86"/>
    </x:row>
    <x:row r="3386">
      <x:c r="A3386" s="85"/>
      <x:c r="B3386" s="86"/>
    </x:row>
    <x:row r="3387">
      <x:c r="A3387" s="85"/>
      <x:c r="B3387" s="86"/>
    </x:row>
    <x:row r="3388">
      <x:c r="A3388" s="85"/>
      <x:c r="B3388" s="86"/>
    </x:row>
    <x:row r="3389">
      <x:c r="A3389" s="85"/>
      <x:c r="B3389" s="86"/>
    </x:row>
    <x:row r="3390">
      <x:c r="A3390" s="85"/>
      <x:c r="B3390" s="86"/>
    </x:row>
    <x:row r="3391">
      <x:c r="A3391" s="85"/>
      <x:c r="B3391" s="86"/>
    </x:row>
    <x:row r="3392">
      <x:c r="A3392" s="85"/>
      <x:c r="B3392" s="86"/>
    </x:row>
    <x:row r="3393">
      <x:c r="A3393" s="85"/>
      <x:c r="B3393" s="86"/>
    </x:row>
    <x:row r="3394">
      <x:c r="A3394" s="85"/>
      <x:c r="B3394" s="86"/>
    </x:row>
    <x:row r="3395">
      <x:c r="A3395" s="85"/>
      <x:c r="B3395" s="86"/>
    </x:row>
    <x:row r="3396">
      <x:c r="A3396" s="85"/>
      <x:c r="B3396" s="86"/>
    </x:row>
    <x:row r="3397">
      <x:c r="A3397" s="85"/>
      <x:c r="B3397" s="86"/>
    </x:row>
    <x:row r="3398">
      <x:c r="A3398" s="85"/>
      <x:c r="B3398" s="86"/>
    </x:row>
    <x:row r="3399">
      <x:c r="A3399" s="85"/>
      <x:c r="B3399" s="86"/>
    </x:row>
    <x:row r="3400">
      <x:c r="A3400" s="85"/>
      <x:c r="B3400" s="86"/>
    </x:row>
    <x:row r="3401">
      <x:c r="A3401" s="85"/>
      <x:c r="B3401" s="86"/>
    </x:row>
    <x:row r="3402">
      <x:c r="A3402" s="85"/>
      <x:c r="B3402" s="86"/>
    </x:row>
    <x:row r="3403">
      <x:c r="A3403" s="85"/>
      <x:c r="B3403" s="86"/>
    </x:row>
    <x:row r="3404">
      <x:c r="A3404" s="85"/>
      <x:c r="B3404" s="86"/>
    </x:row>
    <x:row r="3405">
      <x:c r="A3405" s="85"/>
      <x:c r="B3405" s="86"/>
    </x:row>
    <x:row r="3406">
      <x:c r="A3406" s="85"/>
      <x:c r="B3406" s="86"/>
    </x:row>
    <x:row r="3407">
      <x:c r="A3407" s="85"/>
      <x:c r="B3407" s="86"/>
    </x:row>
    <x:row r="3408">
      <x:c r="A3408" s="85"/>
      <x:c r="B3408" s="86"/>
    </x:row>
    <x:row r="3409">
      <x:c r="A3409" s="85"/>
      <x:c r="B3409" s="86"/>
    </x:row>
    <x:row r="3410">
      <x:c r="A3410" s="85"/>
      <x:c r="B3410" s="86"/>
    </x:row>
    <x:row r="3411">
      <x:c r="A3411" s="85"/>
      <x:c r="B3411" s="86"/>
    </x:row>
    <x:row r="3412">
      <x:c r="A3412" s="85"/>
      <x:c r="B3412" s="86"/>
    </x:row>
    <x:row r="3413">
      <x:c r="A3413" s="85"/>
      <x:c r="B3413" s="86"/>
    </x:row>
    <x:row r="3414">
      <x:c r="A3414" s="85"/>
      <x:c r="B3414" s="86"/>
    </x:row>
    <x:row r="3415">
      <x:c r="A3415" s="85"/>
      <x:c r="B3415" s="86"/>
    </x:row>
    <x:row r="3416">
      <x:c r="A3416" s="85"/>
      <x:c r="B3416" s="86"/>
    </x:row>
    <x:row r="3417">
      <x:c r="A3417" s="85"/>
      <x:c r="B3417" s="86"/>
    </x:row>
    <x:row r="3418">
      <x:c r="A3418" s="85"/>
      <x:c r="B3418" s="86"/>
    </x:row>
    <x:row r="3419">
      <x:c r="A3419" s="85"/>
      <x:c r="B3419" s="86"/>
    </x:row>
    <x:row r="3420">
      <x:c r="A3420" s="85"/>
      <x:c r="B3420" s="86"/>
    </x:row>
    <x:row r="3421">
      <x:c r="A3421" s="85"/>
      <x:c r="B3421" s="86"/>
    </x:row>
    <x:row r="3422">
      <x:c r="A3422" s="85"/>
      <x:c r="B3422" s="86"/>
    </x:row>
    <x:row r="3423">
      <x:c r="A3423" s="85"/>
      <x:c r="B3423" s="86"/>
    </x:row>
    <x:row r="3424">
      <x:c r="A3424" s="85"/>
      <x:c r="B3424" s="86"/>
    </x:row>
    <x:row r="3425">
      <x:c r="A3425" s="85"/>
      <x:c r="B3425" s="86"/>
    </x:row>
    <x:row r="3426">
      <x:c r="A3426" s="85"/>
      <x:c r="B3426" s="86"/>
    </x:row>
    <x:row r="3427">
      <x:c r="A3427" s="85"/>
      <x:c r="B3427" s="86"/>
    </x:row>
    <x:row r="3428">
      <x:c r="A3428" s="85"/>
      <x:c r="B3428" s="86"/>
    </x:row>
    <x:row r="3429">
      <x:c r="A3429" s="85"/>
      <x:c r="B3429" s="86"/>
    </x:row>
    <x:row r="3430">
      <x:c r="A3430" s="85"/>
      <x:c r="B3430" s="86"/>
    </x:row>
    <x:row r="3431">
      <x:c r="A3431" s="85"/>
      <x:c r="B3431" s="86"/>
    </x:row>
    <x:row r="3432">
      <x:c r="A3432" s="85"/>
      <x:c r="B3432" s="86"/>
    </x:row>
    <x:row r="3433">
      <x:c r="A3433" s="85"/>
      <x:c r="B3433" s="86"/>
    </x:row>
    <x:row r="3434">
      <x:c r="A3434" s="85"/>
      <x:c r="B3434" s="86"/>
    </x:row>
    <x:row r="3435">
      <x:c r="A3435" s="85"/>
      <x:c r="B3435" s="86"/>
    </x:row>
    <x:row r="3436">
      <x:c r="A3436" s="85"/>
      <x:c r="B3436" s="86"/>
    </x:row>
    <x:row r="3437">
      <x:c r="A3437" s="85"/>
      <x:c r="B3437" s="86"/>
    </x:row>
    <x:row r="3438">
      <x:c r="A3438" s="85"/>
      <x:c r="B3438" s="86"/>
    </x:row>
    <x:row r="3439">
      <x:c r="A3439" s="85"/>
      <x:c r="B3439" s="86"/>
    </x:row>
    <x:row r="3440">
      <x:c r="A3440" s="85"/>
      <x:c r="B3440" s="86"/>
    </x:row>
    <x:row r="3441">
      <x:c r="A3441" s="85"/>
      <x:c r="B3441" s="86"/>
    </x:row>
    <x:row r="3442">
      <x:c r="A3442" s="85"/>
      <x:c r="B3442" s="86"/>
    </x:row>
    <x:row r="3443">
      <x:c r="A3443" s="85"/>
      <x:c r="B3443" s="86"/>
    </x:row>
    <x:row r="3444">
      <x:c r="A3444" s="85"/>
      <x:c r="B3444" s="86"/>
    </x:row>
    <x:row r="3445">
      <x:c r="A3445" s="85"/>
      <x:c r="B3445" s="86"/>
    </x:row>
    <x:row r="3446">
      <x:c r="A3446" s="85"/>
      <x:c r="B3446" s="86"/>
    </x:row>
    <x:row r="3447">
      <x:c r="A3447" s="85"/>
      <x:c r="B3447" s="86"/>
    </x:row>
    <x:row r="3448">
      <x:c r="A3448" s="85"/>
      <x:c r="B3448" s="86"/>
    </x:row>
    <x:row r="3449">
      <x:c r="A3449" s="85"/>
      <x:c r="B3449" s="86"/>
    </x:row>
    <x:row r="3450">
      <x:c r="A3450" s="85"/>
      <x:c r="B3450" s="86"/>
    </x:row>
    <x:row r="3451">
      <x:c r="A3451" s="85"/>
      <x:c r="B3451" s="86"/>
    </x:row>
    <x:row r="3452">
      <x:c r="A3452" s="85"/>
      <x:c r="B3452" s="86"/>
    </x:row>
    <x:row r="3453">
      <x:c r="A3453" s="85"/>
      <x:c r="B3453" s="86"/>
    </x:row>
    <x:row r="3454">
      <x:c r="A3454" s="85"/>
      <x:c r="B3454" s="86"/>
    </x:row>
    <x:row r="3455">
      <x:c r="A3455" s="85"/>
      <x:c r="B3455" s="86"/>
    </x:row>
    <x:row r="3456">
      <x:c r="A3456" s="85"/>
      <x:c r="B3456" s="86"/>
    </x:row>
    <x:row r="3457">
      <x:c r="A3457" s="85"/>
      <x:c r="B3457" s="86"/>
    </x:row>
    <x:row r="3458">
      <x:c r="A3458" s="85"/>
      <x:c r="B3458" s="86"/>
    </x:row>
    <x:row r="3459">
      <x:c r="A3459" s="85"/>
      <x:c r="B3459" s="86"/>
    </x:row>
    <x:row r="3460">
      <x:c r="A3460" s="85"/>
      <x:c r="B3460" s="86"/>
    </x:row>
    <x:row r="3461">
      <x:c r="A3461" s="85"/>
      <x:c r="B3461" s="86"/>
    </x:row>
    <x:row r="3462">
      <x:c r="A3462" s="85"/>
      <x:c r="B3462" s="86"/>
    </x:row>
    <x:row r="3463">
      <x:c r="A3463" s="85"/>
      <x:c r="B3463" s="86"/>
    </x:row>
    <x:row r="3464">
      <x:c r="A3464" s="85"/>
      <x:c r="B3464" s="86"/>
    </x:row>
    <x:row r="3465">
      <x:c r="A3465" s="85"/>
      <x:c r="B3465" s="86"/>
    </x:row>
    <x:row r="3466">
      <x:c r="A3466" s="85"/>
      <x:c r="B3466" s="86"/>
    </x:row>
    <x:row r="3467">
      <x:c r="A3467" s="85"/>
      <x:c r="B3467" s="86"/>
    </x:row>
    <x:row r="3468">
      <x:c r="A3468" s="85"/>
      <x:c r="B3468" s="86"/>
    </x:row>
    <x:row r="3469">
      <x:c r="A3469" s="85"/>
      <x:c r="B3469" s="86"/>
    </x:row>
    <x:row r="3470">
      <x:c r="A3470" s="85"/>
      <x:c r="B3470" s="86"/>
    </x:row>
    <x:row r="3471">
      <x:c r="A3471" s="85"/>
      <x:c r="B3471" s="86"/>
    </x:row>
    <x:row r="3472">
      <x:c r="A3472" s="85"/>
      <x:c r="B3472" s="86"/>
    </x:row>
    <x:row r="3473">
      <x:c r="A3473" s="85"/>
      <x:c r="B3473" s="86"/>
    </x:row>
    <x:row r="3474">
      <x:c r="A3474" s="85"/>
      <x:c r="B3474" s="86"/>
    </x:row>
    <x:row r="3475">
      <x:c r="A3475" s="85"/>
      <x:c r="B3475" s="86"/>
    </x:row>
    <x:row r="3476">
      <x:c r="A3476" s="85"/>
      <x:c r="B3476" s="86"/>
    </x:row>
    <x:row r="3477">
      <x:c r="A3477" s="85"/>
      <x:c r="B3477" s="86"/>
    </x:row>
    <x:row r="3478">
      <x:c r="A3478" s="85"/>
      <x:c r="B3478" s="86"/>
    </x:row>
    <x:row r="3479">
      <x:c r="A3479" s="85"/>
      <x:c r="B3479" s="86"/>
    </x:row>
    <x:row r="3480">
      <x:c r="A3480" s="85"/>
      <x:c r="B3480" s="86"/>
    </x:row>
    <x:row r="3481">
      <x:c r="A3481" s="85"/>
      <x:c r="B3481" s="86"/>
    </x:row>
    <x:row r="3482">
      <x:c r="A3482" s="85"/>
      <x:c r="B3482" s="86"/>
    </x:row>
    <x:row r="3483">
      <x:c r="A3483" s="85"/>
      <x:c r="B3483" s="86"/>
    </x:row>
    <x:row r="3484">
      <x:c r="A3484" s="85"/>
      <x:c r="B3484" s="86"/>
    </x:row>
    <x:row r="3485">
      <x:c r="A3485" s="85"/>
      <x:c r="B3485" s="86"/>
    </x:row>
    <x:row r="3486">
      <x:c r="A3486" s="85"/>
      <x:c r="B3486" s="86"/>
    </x:row>
    <x:row r="3487">
      <x:c r="A3487" s="85"/>
      <x:c r="B3487" s="86"/>
    </x:row>
    <x:row r="3488">
      <x:c r="A3488" s="85"/>
      <x:c r="B3488" s="86"/>
    </x:row>
    <x:row r="3489">
      <x:c r="A3489" s="85"/>
      <x:c r="B3489" s="86"/>
    </x:row>
    <x:row r="3490">
      <x:c r="A3490" s="85"/>
      <x:c r="B3490" s="86"/>
    </x:row>
    <x:row r="3491">
      <x:c r="A3491" s="85"/>
      <x:c r="B3491" s="86"/>
    </x:row>
    <x:row r="3492">
      <x:c r="A3492" s="85"/>
      <x:c r="B3492" s="86"/>
    </x:row>
    <x:row r="3493">
      <x:c r="A3493" s="85"/>
      <x:c r="B3493" s="86"/>
    </x:row>
    <x:row r="3494">
      <x:c r="A3494" s="85"/>
      <x:c r="B3494" s="86"/>
    </x:row>
    <x:row r="3495">
      <x:c r="A3495" s="85"/>
      <x:c r="B3495" s="86"/>
    </x:row>
    <x:row r="3496">
      <x:c r="A3496" s="85"/>
      <x:c r="B3496" s="86"/>
    </x:row>
    <x:row r="3497">
      <x:c r="A3497" s="85"/>
      <x:c r="B3497" s="86"/>
    </x:row>
    <x:row r="3498">
      <x:c r="A3498" s="85"/>
      <x:c r="B3498" s="86"/>
    </x:row>
    <x:row r="3499">
      <x:c r="A3499" s="85"/>
      <x:c r="B3499" s="86"/>
    </x:row>
    <x:row r="3500">
      <x:c r="A3500" s="85"/>
      <x:c r="B3500" s="86"/>
    </x:row>
    <x:row r="3501">
      <x:c r="A3501" s="85"/>
      <x:c r="B3501" s="86"/>
    </x:row>
    <x:row r="3502">
      <x:c r="A3502" s="85"/>
      <x:c r="B3502" s="86"/>
    </x:row>
    <x:row r="3503">
      <x:c r="A3503" s="85"/>
      <x:c r="B3503" s="86"/>
    </x:row>
    <x:row r="3504">
      <x:c r="A3504" s="85"/>
      <x:c r="B3504" s="86"/>
    </x:row>
    <x:row r="3505">
      <x:c r="A3505" s="85"/>
      <x:c r="B3505" s="86"/>
    </x:row>
    <x:row r="3506">
      <x:c r="A3506" s="85"/>
      <x:c r="B3506" s="86"/>
    </x:row>
    <x:row r="3507">
      <x:c r="A3507" s="85"/>
      <x:c r="B3507" s="86"/>
    </x:row>
    <x:row r="3508">
      <x:c r="A3508" s="85"/>
      <x:c r="B3508" s="86"/>
    </x:row>
    <x:row r="3509">
      <x:c r="A3509" s="85"/>
      <x:c r="B3509" s="86"/>
    </x:row>
    <x:row r="3510">
      <x:c r="A3510" s="85"/>
      <x:c r="B3510" s="86"/>
    </x:row>
    <x:row r="3511">
      <x:c r="A3511" s="85"/>
      <x:c r="B3511" s="86"/>
    </x:row>
    <x:row r="3512">
      <x:c r="A3512" s="85"/>
      <x:c r="B3512" s="86"/>
    </x:row>
    <x:row r="3513">
      <x:c r="A3513" s="85"/>
      <x:c r="B3513" s="86"/>
    </x:row>
    <x:row r="3514">
      <x:c r="A3514" s="85"/>
      <x:c r="B3514" s="86"/>
    </x:row>
    <x:row r="3515">
      <x:c r="A3515" s="85"/>
      <x:c r="B3515" s="86"/>
    </x:row>
    <x:row r="3516">
      <x:c r="A3516" s="85"/>
      <x:c r="B3516" s="86"/>
    </x:row>
    <x:row r="3517">
      <x:c r="A3517" s="85"/>
      <x:c r="B3517" s="86"/>
    </x:row>
    <x:row r="3518">
      <x:c r="A3518" s="85"/>
      <x:c r="B3518" s="86"/>
    </x:row>
    <x:row r="3519">
      <x:c r="A3519" s="85"/>
      <x:c r="B3519" s="86"/>
    </x:row>
    <x:row r="3520">
      <x:c r="A3520" s="85"/>
      <x:c r="B3520" s="86"/>
    </x:row>
    <x:row r="3521">
      <x:c r="A3521" s="85"/>
      <x:c r="B3521" s="86"/>
    </x:row>
    <x:row r="3522">
      <x:c r="A3522" s="85"/>
      <x:c r="B3522" s="86"/>
    </x:row>
    <x:row r="3523">
      <x:c r="A3523" s="85"/>
      <x:c r="B3523" s="86"/>
    </x:row>
    <x:row r="3524">
      <x:c r="A3524" s="85"/>
      <x:c r="B3524" s="86"/>
    </x:row>
    <x:row r="3525">
      <x:c r="A3525" s="85"/>
      <x:c r="B3525" s="86"/>
    </x:row>
    <x:row r="3526">
      <x:c r="A3526" s="85"/>
      <x:c r="B3526" s="86"/>
    </x:row>
    <x:row r="3527">
      <x:c r="A3527" s="85"/>
      <x:c r="B3527" s="86"/>
    </x:row>
    <x:row r="3528">
      <x:c r="A3528" s="85"/>
      <x:c r="B3528" s="86"/>
    </x:row>
    <x:row r="3529">
      <x:c r="A3529" s="85"/>
      <x:c r="B3529" s="86"/>
    </x:row>
    <x:row r="3530">
      <x:c r="A3530" s="85"/>
      <x:c r="B3530" s="86"/>
    </x:row>
    <x:row r="3531">
      <x:c r="A3531" s="85"/>
      <x:c r="B3531" s="86"/>
    </x:row>
    <x:row r="3532">
      <x:c r="A3532" s="85"/>
      <x:c r="B3532" s="86"/>
    </x:row>
    <x:row r="3533">
      <x:c r="A3533" s="85"/>
      <x:c r="B3533" s="86"/>
    </x:row>
    <x:row r="3534">
      <x:c r="A3534" s="85"/>
      <x:c r="B3534" s="86"/>
    </x:row>
    <x:row r="3535">
      <x:c r="A3535" s="85"/>
      <x:c r="B3535" s="86"/>
    </x:row>
    <x:row r="3536">
      <x:c r="A3536" s="85"/>
      <x:c r="B3536" s="86"/>
    </x:row>
    <x:row r="3537">
      <x:c r="A3537" s="85"/>
      <x:c r="B3537" s="86"/>
    </x:row>
    <x:row r="3538">
      <x:c r="A3538" s="85"/>
      <x:c r="B3538" s="86"/>
    </x:row>
    <x:row r="3539">
      <x:c r="A3539" s="85"/>
      <x:c r="B3539" s="86"/>
    </x:row>
    <x:row r="3540">
      <x:c r="A3540" s="85"/>
      <x:c r="B3540" s="86"/>
    </x:row>
    <x:row r="3541">
      <x:c r="A3541" s="85"/>
      <x:c r="B3541" s="86"/>
    </x:row>
    <x:row r="3542">
      <x:c r="A3542" s="85"/>
      <x:c r="B3542" s="86"/>
    </x:row>
    <x:row r="3543">
      <x:c r="A3543" s="85"/>
      <x:c r="B3543" s="86"/>
    </x:row>
    <x:row r="3544">
      <x:c r="A3544" s="85"/>
      <x:c r="B3544" s="86"/>
    </x:row>
    <x:row r="3545">
      <x:c r="A3545" s="85"/>
      <x:c r="B3545" s="86"/>
    </x:row>
    <x:row r="3546">
      <x:c r="A3546" s="85"/>
      <x:c r="B3546" s="86"/>
    </x:row>
    <x:row r="3547">
      <x:c r="A3547" s="85"/>
      <x:c r="B3547" s="86"/>
    </x:row>
    <x:row r="3548">
      <x:c r="A3548" s="85"/>
      <x:c r="B3548" s="86"/>
    </x:row>
    <x:row r="3549">
      <x:c r="A3549" s="85"/>
      <x:c r="B3549" s="86"/>
    </x:row>
    <x:row r="3550">
      <x:c r="A3550" s="85"/>
      <x:c r="B3550" s="86"/>
    </x:row>
    <x:row r="3551">
      <x:c r="A3551" s="85"/>
      <x:c r="B3551" s="86"/>
    </x:row>
    <x:row r="3552">
      <x:c r="A3552" s="85"/>
      <x:c r="B3552" s="86"/>
    </x:row>
    <x:row r="3553">
      <x:c r="A3553" s="85"/>
      <x:c r="B3553" s="86"/>
    </x:row>
    <x:row r="3554">
      <x:c r="A3554" s="85"/>
      <x:c r="B3554" s="86"/>
    </x:row>
    <x:row r="3555">
      <x:c r="A3555" s="85"/>
      <x:c r="B3555" s="86"/>
    </x:row>
    <x:row r="3556">
      <x:c r="A3556" s="85"/>
      <x:c r="B3556" s="86"/>
    </x:row>
    <x:row r="3557">
      <x:c r="A3557" s="85"/>
      <x:c r="B3557" s="86"/>
    </x:row>
    <x:row r="3558">
      <x:c r="A3558" s="85"/>
      <x:c r="B3558" s="86"/>
    </x:row>
    <x:row r="3559">
      <x:c r="A3559" s="85"/>
      <x:c r="B3559" s="86"/>
    </x:row>
    <x:row r="3560">
      <x:c r="A3560" s="85"/>
      <x:c r="B3560" s="86"/>
    </x:row>
    <x:row r="3561">
      <x:c r="A3561" s="85"/>
      <x:c r="B3561" s="86"/>
    </x:row>
    <x:row r="3562">
      <x:c r="A3562" s="85"/>
      <x:c r="B3562" s="86"/>
    </x:row>
    <x:row r="3563">
      <x:c r="A3563" s="85"/>
      <x:c r="B3563" s="86"/>
    </x:row>
    <x:row r="3564">
      <x:c r="A3564" s="85"/>
      <x:c r="B3564" s="86"/>
    </x:row>
    <x:row r="3565">
      <x:c r="A3565" s="85"/>
      <x:c r="B3565" s="86"/>
    </x:row>
    <x:row r="3566">
      <x:c r="A3566" s="85"/>
      <x:c r="B3566" s="86"/>
    </x:row>
    <x:row r="3567">
      <x:c r="A3567" s="85"/>
      <x:c r="B3567" s="86"/>
    </x:row>
    <x:row r="3568">
      <x:c r="A3568" s="85"/>
      <x:c r="B3568" s="86"/>
    </x:row>
    <x:row r="3569">
      <x:c r="A3569" s="85"/>
      <x:c r="B3569" s="86"/>
    </x:row>
    <x:row r="3570">
      <x:c r="A3570" s="85"/>
      <x:c r="B3570" s="86"/>
    </x:row>
    <x:row r="3571">
      <x:c r="A3571" s="85"/>
      <x:c r="B3571" s="86"/>
    </x:row>
    <x:row r="3572">
      <x:c r="A3572" s="85"/>
      <x:c r="B3572" s="86"/>
    </x:row>
    <x:row r="3573">
      <x:c r="A3573" s="85"/>
      <x:c r="B3573" s="86"/>
    </x:row>
    <x:row r="3574">
      <x:c r="A3574" s="85"/>
      <x:c r="B3574" s="86"/>
    </x:row>
    <x:row r="3575">
      <x:c r="A3575" s="85"/>
      <x:c r="B3575" s="86"/>
    </x:row>
    <x:row r="3576">
      <x:c r="A3576" s="85"/>
      <x:c r="B3576" s="86"/>
    </x:row>
    <x:row r="3577">
      <x:c r="A3577" s="85"/>
      <x:c r="B3577" s="86"/>
    </x:row>
    <x:row r="3578">
      <x:c r="A3578" s="85"/>
      <x:c r="B3578" s="86"/>
    </x:row>
    <x:row r="3579">
      <x:c r="A3579" s="85"/>
      <x:c r="B3579" s="86"/>
    </x:row>
    <x:row r="3580">
      <x:c r="A3580" s="85"/>
      <x:c r="B3580" s="86"/>
    </x:row>
    <x:row r="3581">
      <x:c r="A3581" s="85"/>
      <x:c r="B3581" s="86"/>
    </x:row>
    <x:row r="3582">
      <x:c r="A3582" s="85"/>
      <x:c r="B3582" s="86"/>
    </x:row>
    <x:row r="3583">
      <x:c r="A3583" s="85"/>
      <x:c r="B3583" s="86"/>
    </x:row>
    <x:row r="3584">
      <x:c r="A3584" s="85"/>
      <x:c r="B3584" s="86"/>
    </x:row>
    <x:row r="3585">
      <x:c r="A3585" s="85"/>
      <x:c r="B3585" s="86"/>
    </x:row>
    <x:row r="3586">
      <x:c r="A3586" s="85"/>
      <x:c r="B3586" s="86"/>
    </x:row>
    <x:row r="3587">
      <x:c r="A3587" s="85"/>
      <x:c r="B3587" s="86"/>
    </x:row>
    <x:row r="3588">
      <x:c r="A3588" s="85"/>
      <x:c r="B3588" s="86"/>
    </x:row>
    <x:row r="3589">
      <x:c r="A3589" s="85"/>
      <x:c r="B3589" s="86"/>
    </x:row>
    <x:row r="3590">
      <x:c r="A3590" s="85"/>
      <x:c r="B3590" s="86"/>
    </x:row>
    <x:row r="3591">
      <x:c r="A3591" s="85"/>
      <x:c r="B3591" s="86"/>
    </x:row>
    <x:row r="3592">
      <x:c r="A3592" s="85"/>
      <x:c r="B3592" s="86"/>
    </x:row>
    <x:row r="3593">
      <x:c r="A3593" s="85"/>
      <x:c r="B3593" s="86"/>
    </x:row>
    <x:row r="3594">
      <x:c r="A3594" s="85"/>
      <x:c r="B3594" s="86"/>
    </x:row>
    <x:row r="3595">
      <x:c r="A3595" s="85"/>
      <x:c r="B3595" s="86"/>
    </x:row>
    <x:row r="3596">
      <x:c r="A3596" s="85"/>
      <x:c r="B3596" s="86"/>
    </x:row>
    <x:row r="3597">
      <x:c r="A3597" s="85"/>
      <x:c r="B3597" s="86"/>
    </x:row>
    <x:row r="3598">
      <x:c r="A3598" s="85"/>
      <x:c r="B3598" s="86"/>
    </x:row>
    <x:row r="3599">
      <x:c r="A3599" s="85"/>
      <x:c r="B3599" s="86"/>
    </x:row>
    <x:row r="3600">
      <x:c r="A3600" s="85"/>
      <x:c r="B3600" s="86"/>
    </x:row>
    <x:row r="3601">
      <x:c r="A3601" s="85"/>
      <x:c r="B3601" s="86"/>
    </x:row>
    <x:row r="3602">
      <x:c r="A3602" s="85"/>
      <x:c r="B3602" s="86"/>
    </x:row>
    <x:row r="3603">
      <x:c r="A3603" s="85"/>
      <x:c r="B3603" s="86"/>
    </x:row>
    <x:row r="3604">
      <x:c r="A3604" s="85"/>
      <x:c r="B3604" s="86"/>
    </x:row>
    <x:row r="3605">
      <x:c r="A3605" s="85"/>
      <x:c r="B3605" s="86"/>
    </x:row>
    <x:row r="3606">
      <x:c r="A3606" s="85"/>
      <x:c r="B3606" s="86"/>
    </x:row>
    <x:row r="3607">
      <x:c r="A3607" s="85"/>
      <x:c r="B3607" s="86"/>
    </x:row>
    <x:row r="3608">
      <x:c r="A3608" s="85"/>
      <x:c r="B3608" s="86"/>
    </x:row>
    <x:row r="3609">
      <x:c r="A3609" s="85"/>
      <x:c r="B3609" s="86"/>
    </x:row>
    <x:row r="3610">
      <x:c r="A3610" s="85"/>
      <x:c r="B3610" s="86"/>
    </x:row>
    <x:row r="3611">
      <x:c r="A3611" s="85"/>
      <x:c r="B3611" s="86"/>
    </x:row>
    <x:row r="3612">
      <x:c r="A3612" s="85"/>
      <x:c r="B3612" s="86"/>
    </x:row>
    <x:row r="3613">
      <x:c r="A3613" s="85"/>
      <x:c r="B3613" s="86"/>
    </x:row>
    <x:row r="3614">
      <x:c r="A3614" s="85"/>
      <x:c r="B3614" s="86"/>
    </x:row>
    <x:row r="3615">
      <x:c r="A3615" s="85"/>
      <x:c r="B3615" s="86"/>
    </x:row>
    <x:row r="3616">
      <x:c r="A3616" s="85"/>
      <x:c r="B3616" s="86"/>
    </x:row>
    <x:row r="3617">
      <x:c r="A3617" s="85"/>
      <x:c r="B3617" s="86"/>
    </x:row>
    <x:row r="3618">
      <x:c r="A3618" s="85"/>
      <x:c r="B3618" s="86"/>
    </x:row>
    <x:row r="3619">
      <x:c r="A3619" s="85"/>
      <x:c r="B3619" s="86"/>
    </x:row>
    <x:row r="3620">
      <x:c r="A3620" s="85"/>
      <x:c r="B3620" s="86"/>
    </x:row>
    <x:row r="3621">
      <x:c r="A3621" s="85"/>
      <x:c r="B3621" s="86"/>
    </x:row>
    <x:row r="3622">
      <x:c r="A3622" s="85"/>
      <x:c r="B3622" s="86"/>
    </x:row>
    <x:row r="3623">
      <x:c r="A3623" s="85"/>
      <x:c r="B3623" s="86"/>
    </x:row>
    <x:row r="3624">
      <x:c r="A3624" s="85"/>
      <x:c r="B3624" s="86"/>
    </x:row>
    <x:row r="3625">
      <x:c r="A3625" s="85"/>
      <x:c r="B3625" s="86"/>
    </x:row>
    <x:row r="3626">
      <x:c r="A3626" s="85"/>
      <x:c r="B3626" s="86"/>
    </x:row>
    <x:row r="3627">
      <x:c r="A3627" s="85"/>
      <x:c r="B3627" s="86"/>
    </x:row>
    <x:row r="3628">
      <x:c r="A3628" s="85"/>
      <x:c r="B3628" s="86"/>
    </x:row>
    <x:row r="3629">
      <x:c r="A3629" s="85"/>
      <x:c r="B3629" s="86"/>
    </x:row>
    <x:row r="3630">
      <x:c r="A3630" s="85"/>
      <x:c r="B3630" s="86"/>
    </x:row>
    <x:row r="3631">
      <x:c r="A3631" s="85"/>
      <x:c r="B3631" s="86"/>
    </x:row>
    <x:row r="3632">
      <x:c r="A3632" s="85"/>
      <x:c r="B3632" s="86"/>
    </x:row>
    <x:row r="3633">
      <x:c r="A3633" s="85"/>
      <x:c r="B3633" s="86"/>
    </x:row>
    <x:row r="3634">
      <x:c r="A3634" s="85"/>
      <x:c r="B3634" s="86"/>
    </x:row>
    <x:row r="3635">
      <x:c r="A3635" s="85"/>
      <x:c r="B3635" s="86"/>
    </x:row>
    <x:row r="3636">
      <x:c r="A3636" s="85"/>
      <x:c r="B3636" s="86"/>
    </x:row>
    <x:row r="3637">
      <x:c r="A3637" s="85"/>
      <x:c r="B3637" s="86"/>
    </x:row>
    <x:row r="3638">
      <x:c r="A3638" s="85"/>
      <x:c r="B3638" s="86"/>
    </x:row>
    <x:row r="3639">
      <x:c r="A3639" s="85"/>
      <x:c r="B3639" s="86"/>
    </x:row>
    <x:row r="3640">
      <x:c r="A3640" s="85"/>
      <x:c r="B3640" s="86"/>
    </x:row>
    <x:row r="3641">
      <x:c r="A3641" s="85"/>
      <x:c r="B3641" s="86"/>
    </x:row>
    <x:row r="3642">
      <x:c r="A3642" s="85"/>
      <x:c r="B3642" s="86"/>
    </x:row>
    <x:row r="3643">
      <x:c r="A3643" s="85"/>
      <x:c r="B3643" s="86"/>
    </x:row>
    <x:row r="3644">
      <x:c r="A3644" s="85"/>
      <x:c r="B3644" s="86"/>
    </x:row>
    <x:row r="3645">
      <x:c r="A3645" s="85"/>
      <x:c r="B3645" s="86"/>
    </x:row>
    <x:row r="3646">
      <x:c r="A3646" s="85"/>
      <x:c r="B3646" s="86"/>
    </x:row>
    <x:row r="3647">
      <x:c r="A3647" s="85"/>
      <x:c r="B3647" s="86"/>
    </x:row>
    <x:row r="3648">
      <x:c r="A3648" s="85"/>
      <x:c r="B3648" s="86"/>
    </x:row>
    <x:row r="3649">
      <x:c r="A3649" s="85"/>
      <x:c r="B3649" s="86"/>
    </x:row>
    <x:row r="3650">
      <x:c r="A3650" s="85"/>
      <x:c r="B3650" s="86"/>
    </x:row>
    <x:row r="3651">
      <x:c r="A3651" s="85"/>
      <x:c r="B3651" s="86"/>
    </x:row>
    <x:row r="3652">
      <x:c r="A3652" s="85"/>
      <x:c r="B3652" s="86"/>
    </x:row>
    <x:row r="3653">
      <x:c r="A3653" s="85"/>
      <x:c r="B3653" s="86"/>
    </x:row>
    <x:row r="3654">
      <x:c r="A3654" s="85"/>
      <x:c r="B3654" s="86"/>
    </x:row>
    <x:row r="3655">
      <x:c r="A3655" s="85"/>
      <x:c r="B3655" s="86"/>
    </x:row>
    <x:row r="3656">
      <x:c r="A3656" s="85"/>
      <x:c r="B3656" s="86"/>
    </x:row>
    <x:row r="3657">
      <x:c r="A3657" s="85"/>
      <x:c r="B3657" s="86"/>
    </x:row>
    <x:row r="3658">
      <x:c r="A3658" s="85"/>
      <x:c r="B3658" s="86"/>
    </x:row>
    <x:row r="3659">
      <x:c r="A3659" s="85"/>
      <x:c r="B3659" s="86"/>
    </x:row>
    <x:row r="3660">
      <x:c r="A3660" s="85"/>
      <x:c r="B3660" s="86"/>
    </x:row>
    <x:row r="3661">
      <x:c r="A3661" s="85"/>
      <x:c r="B3661" s="86"/>
    </x:row>
    <x:row r="3662">
      <x:c r="A3662" s="85"/>
      <x:c r="B3662" s="86"/>
    </x:row>
    <x:row r="3663">
      <x:c r="A3663" s="85"/>
      <x:c r="B3663" s="86"/>
    </x:row>
    <x:row r="3664">
      <x:c r="A3664" s="85"/>
      <x:c r="B3664" s="86"/>
    </x:row>
    <x:row r="3665">
      <x:c r="A3665" s="85"/>
      <x:c r="B3665" s="86"/>
    </x:row>
    <x:row r="3666">
      <x:c r="A3666" s="85"/>
      <x:c r="B3666" s="86"/>
    </x:row>
    <x:row r="3667">
      <x:c r="A3667" s="85"/>
      <x:c r="B3667" s="86"/>
    </x:row>
    <x:row r="3668">
      <x:c r="A3668" s="85"/>
      <x:c r="B3668" s="86"/>
    </x:row>
    <x:row r="3669">
      <x:c r="A3669" s="85"/>
      <x:c r="B3669" s="86"/>
    </x:row>
    <x:row r="3670">
      <x:c r="A3670" s="85"/>
      <x:c r="B3670" s="86"/>
    </x:row>
    <x:row r="3671">
      <x:c r="A3671" s="85"/>
      <x:c r="B3671" s="86"/>
    </x:row>
    <x:row r="3672">
      <x:c r="A3672" s="85"/>
      <x:c r="B3672" s="86"/>
    </x:row>
    <x:row r="3673">
      <x:c r="A3673" s="85"/>
      <x:c r="B3673" s="86"/>
    </x:row>
    <x:row r="3674">
      <x:c r="A3674" s="85"/>
      <x:c r="B3674" s="86"/>
    </x:row>
    <x:row r="3675">
      <x:c r="A3675" s="85"/>
      <x:c r="B3675" s="86"/>
    </x:row>
    <x:row r="3676">
      <x:c r="A3676" s="85"/>
      <x:c r="B3676" s="86"/>
    </x:row>
    <x:row r="3677">
      <x:c r="A3677" s="85"/>
      <x:c r="B3677" s="86"/>
    </x:row>
    <x:row r="3678">
      <x:c r="A3678" s="85"/>
      <x:c r="B3678" s="86"/>
    </x:row>
    <x:row r="3679">
      <x:c r="A3679" s="85"/>
      <x:c r="B3679" s="86"/>
    </x:row>
    <x:row r="3680">
      <x:c r="A3680" s="85"/>
      <x:c r="B3680" s="86"/>
    </x:row>
    <x:row r="3681">
      <x:c r="A3681" s="85"/>
      <x:c r="B3681" s="86"/>
    </x:row>
    <x:row r="3682">
      <x:c r="A3682" s="85"/>
      <x:c r="B3682" s="86"/>
    </x:row>
    <x:row r="3683">
      <x:c r="A3683" s="85"/>
      <x:c r="B3683" s="86"/>
    </x:row>
    <x:row r="3684">
      <x:c r="A3684" s="85"/>
      <x:c r="B3684" s="86"/>
    </x:row>
    <x:row r="3685">
      <x:c r="A3685" s="85"/>
      <x:c r="B3685" s="86"/>
    </x:row>
    <x:row r="3686">
      <x:c r="A3686" s="85"/>
      <x:c r="B3686" s="86"/>
    </x:row>
    <x:row r="3687">
      <x:c r="A3687" s="85"/>
      <x:c r="B3687" s="86"/>
    </x:row>
    <x:row r="3688">
      <x:c r="A3688" s="85"/>
      <x:c r="B3688" s="86"/>
    </x:row>
    <x:row r="3689">
      <x:c r="A3689" s="85"/>
      <x:c r="B3689" s="86"/>
    </x:row>
    <x:row r="3690">
      <x:c r="A3690" s="85"/>
      <x:c r="B3690" s="86"/>
    </x:row>
    <x:row r="3691">
      <x:c r="A3691" s="85"/>
      <x:c r="B3691" s="86"/>
    </x:row>
    <x:row r="3692">
      <x:c r="A3692" s="85"/>
      <x:c r="B3692" s="86"/>
    </x:row>
    <x:row r="3693">
      <x:c r="A3693" s="85"/>
      <x:c r="B3693" s="86"/>
    </x:row>
    <x:row r="3694">
      <x:c r="A3694" s="85"/>
      <x:c r="B3694" s="86"/>
    </x:row>
    <x:row r="3695">
      <x:c r="A3695" s="85"/>
      <x:c r="B3695" s="86"/>
    </x:row>
    <x:row r="3696">
      <x:c r="A3696" s="85"/>
      <x:c r="B3696" s="86"/>
    </x:row>
    <x:row r="3697">
      <x:c r="A3697" s="85"/>
      <x:c r="B3697" s="86"/>
    </x:row>
    <x:row r="3698">
      <x:c r="A3698" s="85"/>
      <x:c r="B3698" s="86"/>
    </x:row>
    <x:row r="3699">
      <x:c r="A3699" s="85"/>
      <x:c r="B3699" s="86"/>
    </x:row>
    <x:row r="3700">
      <x:c r="A3700" s="85"/>
      <x:c r="B3700" s="86"/>
    </x:row>
    <x:row r="3701">
      <x:c r="A3701" s="85"/>
      <x:c r="B3701" s="86"/>
    </x:row>
    <x:row r="3702">
      <x:c r="A3702" s="85"/>
      <x:c r="B3702" s="86"/>
    </x:row>
    <x:row r="3703">
      <x:c r="A3703" s="85"/>
      <x:c r="B3703" s="86"/>
    </x:row>
    <x:row r="3704">
      <x:c r="A3704" s="85"/>
      <x:c r="B3704" s="86"/>
    </x:row>
    <x:row r="3705">
      <x:c r="A3705" s="85"/>
      <x:c r="B3705" s="86"/>
    </x:row>
    <x:row r="3706">
      <x:c r="A3706" s="85"/>
      <x:c r="B3706" s="86"/>
    </x:row>
    <x:row r="3707">
      <x:c r="A3707" s="85"/>
      <x:c r="B3707" s="86"/>
    </x:row>
    <x:row r="3708">
      <x:c r="A3708" s="85"/>
      <x:c r="B3708" s="86"/>
    </x:row>
    <x:row r="3709">
      <x:c r="A3709" s="85"/>
      <x:c r="B3709" s="86"/>
    </x:row>
    <x:row r="3710">
      <x:c r="A3710" s="85"/>
      <x:c r="B3710" s="86"/>
    </x:row>
    <x:row r="3711">
      <x:c r="A3711" s="85"/>
      <x:c r="B3711" s="86"/>
    </x:row>
    <x:row r="3712">
      <x:c r="A3712" s="85"/>
      <x:c r="B3712" s="86"/>
    </x:row>
    <x:row r="3713">
      <x:c r="A3713" s="85"/>
      <x:c r="B3713" s="86"/>
    </x:row>
    <x:row r="3714">
      <x:c r="A3714" s="85"/>
      <x:c r="B3714" s="86"/>
    </x:row>
    <x:row r="3715">
      <x:c r="A3715" s="85"/>
      <x:c r="B3715" s="86"/>
    </x:row>
    <x:row r="3716">
      <x:c r="A3716" s="85"/>
      <x:c r="B3716" s="86"/>
    </x:row>
    <x:row r="3717">
      <x:c r="A3717" s="85"/>
      <x:c r="B3717" s="86"/>
    </x:row>
    <x:row r="3718">
      <x:c r="A3718" s="85"/>
      <x:c r="B3718" s="86"/>
    </x:row>
    <x:row r="3719">
      <x:c r="A3719" s="85"/>
      <x:c r="B3719" s="86"/>
    </x:row>
    <x:row r="3720">
      <x:c r="A3720" s="85"/>
      <x:c r="B3720" s="86"/>
    </x:row>
    <x:row r="3721">
      <x:c r="A3721" s="85"/>
      <x:c r="B3721" s="86"/>
    </x:row>
    <x:row r="3722">
      <x:c r="A3722" s="85"/>
      <x:c r="B3722" s="86"/>
    </x:row>
    <x:row r="3723">
      <x:c r="A3723" s="85"/>
      <x:c r="B3723" s="86"/>
    </x:row>
    <x:row r="3724">
      <x:c r="A3724" s="85"/>
      <x:c r="B3724" s="86"/>
    </x:row>
    <x:row r="3725">
      <x:c r="A3725" s="85"/>
      <x:c r="B3725" s="86"/>
    </x:row>
    <x:row r="3726">
      <x:c r="A3726" s="85"/>
      <x:c r="B3726" s="86"/>
    </x:row>
    <x:row r="3727">
      <x:c r="A3727" s="85"/>
      <x:c r="B3727" s="86"/>
    </x:row>
    <x:row r="3728">
      <x:c r="A3728" s="85"/>
      <x:c r="B3728" s="86"/>
    </x:row>
    <x:row r="3729">
      <x:c r="A3729" s="85"/>
      <x:c r="B3729" s="86"/>
    </x:row>
    <x:row r="3730">
      <x:c r="A3730" s="85"/>
      <x:c r="B3730" s="86"/>
    </x:row>
    <x:row r="3731">
      <x:c r="A3731" s="85"/>
      <x:c r="B3731" s="86"/>
    </x:row>
    <x:row r="3732">
      <x:c r="A3732" s="85"/>
      <x:c r="B3732" s="86"/>
    </x:row>
    <x:row r="3733">
      <x:c r="A3733" s="85"/>
      <x:c r="B3733" s="86"/>
    </x:row>
    <x:row r="3734">
      <x:c r="A3734" s="85"/>
      <x:c r="B3734" s="86"/>
    </x:row>
    <x:row r="3735">
      <x:c r="A3735" s="85"/>
      <x:c r="B3735" s="86"/>
    </x:row>
    <x:row r="3736">
      <x:c r="A3736" s="85"/>
      <x:c r="B3736" s="86"/>
    </x:row>
    <x:row r="3737">
      <x:c r="A3737" s="85"/>
      <x:c r="B3737" s="86"/>
    </x:row>
    <x:row r="3738">
      <x:c r="A3738" s="85"/>
      <x:c r="B3738" s="86"/>
    </x:row>
    <x:row r="3739">
      <x:c r="A3739" s="85"/>
      <x:c r="B3739" s="86"/>
    </x:row>
    <x:row r="3740">
      <x:c r="A3740" s="85"/>
      <x:c r="B3740" s="86"/>
    </x:row>
    <x:row r="3741">
      <x:c r="A3741" s="85"/>
      <x:c r="B3741" s="86"/>
    </x:row>
    <x:row r="3742">
      <x:c r="A3742" s="85"/>
      <x:c r="B3742" s="86"/>
    </x:row>
    <x:row r="3743">
      <x:c r="A3743" s="85"/>
      <x:c r="B3743" s="86"/>
    </x:row>
    <x:row r="3744">
      <x:c r="A3744" s="85"/>
      <x:c r="B3744" s="86"/>
    </x:row>
    <x:row r="3745">
      <x:c r="A3745" s="85"/>
      <x:c r="B3745" s="86"/>
    </x:row>
    <x:row r="3746">
      <x:c r="A3746" s="85"/>
      <x:c r="B3746" s="86"/>
    </x:row>
    <x:row r="3747">
      <x:c r="A3747" s="85"/>
      <x:c r="B3747" s="86"/>
    </x:row>
    <x:row r="3748">
      <x:c r="A3748" s="85"/>
      <x:c r="B3748" s="86"/>
    </x:row>
    <x:row r="3749">
      <x:c r="A3749" s="85"/>
      <x:c r="B3749" s="86"/>
    </x:row>
    <x:row r="3750">
      <x:c r="A3750" s="85"/>
      <x:c r="B3750" s="86"/>
    </x:row>
    <x:row r="3751">
      <x:c r="A3751" s="85"/>
      <x:c r="B3751" s="86"/>
    </x:row>
    <x:row r="3752">
      <x:c r="A3752" s="85"/>
      <x:c r="B3752" s="86"/>
    </x:row>
    <x:row r="3753">
      <x:c r="A3753" s="85"/>
      <x:c r="B3753" s="86"/>
    </x:row>
    <x:row r="3754">
      <x:c r="A3754" s="85"/>
      <x:c r="B3754" s="86"/>
    </x:row>
    <x:row r="3755">
      <x:c r="A3755" s="85"/>
      <x:c r="B3755" s="86"/>
    </x:row>
    <x:row r="3756">
      <x:c r="A3756" s="85"/>
      <x:c r="B3756" s="86"/>
    </x:row>
    <x:row r="3757">
      <x:c r="A3757" s="85"/>
      <x:c r="B3757" s="86"/>
    </x:row>
    <x:row r="3758">
      <x:c r="A3758" s="85"/>
      <x:c r="B3758" s="86"/>
    </x:row>
    <x:row r="3759">
      <x:c r="A3759" s="85"/>
      <x:c r="B3759" s="86"/>
    </x:row>
    <x:row r="3760">
      <x:c r="A3760" s="85"/>
      <x:c r="B3760" s="86"/>
    </x:row>
    <x:row r="3761">
      <x:c r="A3761" s="85"/>
      <x:c r="B3761" s="86"/>
    </x:row>
    <x:row r="3762">
      <x:c r="A3762" s="85"/>
      <x:c r="B3762" s="86"/>
    </x:row>
    <x:row r="3763">
      <x:c r="A3763" s="85"/>
      <x:c r="B3763" s="86"/>
    </x:row>
    <x:row r="3764">
      <x:c r="A3764" s="85"/>
      <x:c r="B3764" s="86"/>
    </x:row>
    <x:row r="3765">
      <x:c r="A3765" s="85"/>
      <x:c r="B3765" s="86"/>
    </x:row>
    <x:row r="3766">
      <x:c r="A3766" s="85"/>
      <x:c r="B3766" s="86"/>
    </x:row>
    <x:row r="3767">
      <x:c r="A3767" s="85"/>
      <x:c r="B3767" s="86"/>
    </x:row>
    <x:row r="3768">
      <x:c r="A3768" s="85"/>
      <x:c r="B3768" s="86"/>
    </x:row>
    <x:row r="3769">
      <x:c r="A3769" s="85"/>
      <x:c r="B3769" s="86"/>
    </x:row>
    <x:row r="3770">
      <x:c r="A3770" s="85"/>
      <x:c r="B3770" s="86"/>
    </x:row>
    <x:row r="3771">
      <x:c r="A3771" s="85"/>
      <x:c r="B3771" s="86"/>
    </x:row>
    <x:row r="3772">
      <x:c r="A3772" s="85"/>
      <x:c r="B3772" s="86"/>
    </x:row>
    <x:row r="3773">
      <x:c r="A3773" s="85"/>
      <x:c r="B3773" s="86"/>
    </x:row>
    <x:row r="3774">
      <x:c r="A3774" s="85"/>
      <x:c r="B3774" s="86"/>
    </x:row>
    <x:row r="3775">
      <x:c r="A3775" s="85"/>
      <x:c r="B3775" s="86"/>
    </x:row>
    <x:row r="3776">
      <x:c r="A3776" s="85"/>
      <x:c r="B3776" s="86"/>
    </x:row>
    <x:row r="3777">
      <x:c r="A3777" s="85"/>
      <x:c r="B3777" s="86"/>
    </x:row>
    <x:row r="3778">
      <x:c r="A3778" s="85"/>
      <x:c r="B3778" s="86"/>
    </x:row>
    <x:row r="3779">
      <x:c r="A3779" s="85"/>
      <x:c r="B3779" s="86"/>
    </x:row>
    <x:row r="3780">
      <x:c r="A3780" s="85"/>
      <x:c r="B3780" s="86"/>
    </x:row>
    <x:row r="3781">
      <x:c r="A3781" s="85"/>
      <x:c r="B3781" s="86"/>
    </x:row>
    <x:row r="3782">
      <x:c r="A3782" s="85"/>
      <x:c r="B3782" s="86"/>
    </x:row>
    <x:row r="3783">
      <x:c r="A3783" s="85"/>
      <x:c r="B3783" s="86"/>
    </x:row>
    <x:row r="3784">
      <x:c r="A3784" s="85"/>
      <x:c r="B3784" s="86"/>
    </x:row>
    <x:row r="3785">
      <x:c r="A3785" s="85"/>
      <x:c r="B3785" s="86"/>
    </x:row>
    <x:row r="3786">
      <x:c r="A3786" s="85"/>
      <x:c r="B3786" s="86"/>
    </x:row>
    <x:row r="3787">
      <x:c r="A3787" s="85"/>
      <x:c r="B3787" s="86"/>
    </x:row>
    <x:row r="3788">
      <x:c r="A3788" s="85"/>
      <x:c r="B3788" s="86"/>
    </x:row>
    <x:row r="3789">
      <x:c r="A3789" s="85"/>
      <x:c r="B3789" s="86"/>
    </x:row>
    <x:row r="3790">
      <x:c r="A3790" s="85"/>
      <x:c r="B3790" s="86"/>
    </x:row>
    <x:row r="3791">
      <x:c r="A3791" s="85"/>
      <x:c r="B3791" s="86"/>
    </x:row>
    <x:row r="3792">
      <x:c r="A3792" s="85"/>
      <x:c r="B3792" s="86"/>
    </x:row>
    <x:row r="3793">
      <x:c r="A3793" s="85"/>
      <x:c r="B3793" s="86"/>
    </x:row>
    <x:row r="3794">
      <x:c r="A3794" s="85"/>
      <x:c r="B3794" s="86"/>
    </x:row>
    <x:row r="3795">
      <x:c r="A3795" s="85"/>
      <x:c r="B3795" s="86"/>
    </x:row>
    <x:row r="3796">
      <x:c r="A3796" s="85"/>
      <x:c r="B3796" s="86"/>
    </x:row>
    <x:row r="3797">
      <x:c r="A3797" s="85"/>
      <x:c r="B3797" s="86"/>
    </x:row>
    <x:row r="3798">
      <x:c r="A3798" s="85"/>
      <x:c r="B3798" s="86"/>
    </x:row>
    <x:row r="3799">
      <x:c r="A3799" s="85"/>
      <x:c r="B3799" s="86"/>
    </x:row>
    <x:row r="3800">
      <x:c r="A3800" s="85"/>
      <x:c r="B3800" s="86"/>
    </x:row>
    <x:row r="3801">
      <x:c r="A3801" s="85"/>
      <x:c r="B3801" s="86"/>
    </x:row>
    <x:row r="3802">
      <x:c r="A3802" s="85"/>
      <x:c r="B3802" s="86"/>
    </x:row>
    <x:row r="3803">
      <x:c r="A3803" s="85"/>
      <x:c r="B3803" s="86"/>
    </x:row>
    <x:row r="3804">
      <x:c r="A3804" s="85"/>
      <x:c r="B3804" s="86"/>
    </x:row>
    <x:row r="3805">
      <x:c r="A3805" s="85"/>
      <x:c r="B3805" s="86"/>
    </x:row>
    <x:row r="3806">
      <x:c r="A3806" s="85"/>
      <x:c r="B3806" s="86"/>
    </x:row>
    <x:row r="3807">
      <x:c r="A3807" s="85"/>
      <x:c r="B3807" s="86"/>
    </x:row>
    <x:row r="3808">
      <x:c r="A3808" s="85"/>
      <x:c r="B3808" s="86"/>
    </x:row>
    <x:row r="3809">
      <x:c r="A3809" s="85"/>
      <x:c r="B3809" s="86"/>
    </x:row>
    <x:row r="3810">
      <x:c r="A3810" s="85"/>
      <x:c r="B3810" s="86"/>
    </x:row>
    <x:row r="3811">
      <x:c r="A3811" s="85"/>
      <x:c r="B3811" s="86"/>
    </x:row>
    <x:row r="3812">
      <x:c r="A3812" s="85"/>
      <x:c r="B3812" s="86"/>
    </x:row>
    <x:row r="3813">
      <x:c r="A3813" s="85"/>
      <x:c r="B3813" s="86"/>
    </x:row>
    <x:row r="3814">
      <x:c r="A3814" s="85"/>
      <x:c r="B3814" s="86"/>
    </x:row>
    <x:row r="3815">
      <x:c r="A3815" s="85"/>
      <x:c r="B3815" s="86"/>
    </x:row>
    <x:row r="3816">
      <x:c r="A3816" s="85"/>
      <x:c r="B3816" s="86"/>
    </x:row>
    <x:row r="3817">
      <x:c r="A3817" s="85"/>
      <x:c r="B3817" s="86"/>
    </x:row>
    <x:row r="3818">
      <x:c r="A3818" s="85"/>
      <x:c r="B3818" s="86"/>
    </x:row>
    <x:row r="3819">
      <x:c r="A3819" s="85"/>
      <x:c r="B3819" s="86"/>
    </x:row>
    <x:row r="3820">
      <x:c r="A3820" s="85"/>
      <x:c r="B3820" s="86"/>
    </x:row>
    <x:row r="3821">
      <x:c r="A3821" s="85"/>
      <x:c r="B3821" s="86"/>
    </x:row>
    <x:row r="3822">
      <x:c r="A3822" s="85"/>
      <x:c r="B3822" s="86"/>
    </x:row>
    <x:row r="3823">
      <x:c r="A3823" s="85"/>
      <x:c r="B3823" s="86"/>
    </x:row>
    <x:row r="3824">
      <x:c r="A3824" s="85"/>
      <x:c r="B3824" s="86"/>
    </x:row>
    <x:row r="3825">
      <x:c r="A3825" s="85"/>
      <x:c r="B3825" s="86"/>
    </x:row>
    <x:row r="3826">
      <x:c r="A3826" s="85"/>
      <x:c r="B3826" s="86"/>
    </x:row>
    <x:row r="3827">
      <x:c r="A3827" s="85"/>
      <x:c r="B3827" s="86"/>
    </x:row>
    <x:row r="3828">
      <x:c r="A3828" s="85"/>
      <x:c r="B3828" s="86"/>
    </x:row>
    <x:row r="3829">
      <x:c r="A3829" s="85"/>
      <x:c r="B3829" s="86"/>
    </x:row>
    <x:row r="3830">
      <x:c r="A3830" s="85"/>
      <x:c r="B3830" s="86"/>
    </x:row>
    <x:row r="3831">
      <x:c r="A3831" s="85"/>
      <x:c r="B3831" s="86"/>
    </x:row>
    <x:row r="3832">
      <x:c r="A3832" s="85"/>
      <x:c r="B3832" s="86"/>
    </x:row>
    <x:row r="3833">
      <x:c r="A3833" s="85"/>
      <x:c r="B3833" s="86"/>
    </x:row>
    <x:row r="3834">
      <x:c r="A3834" s="85"/>
      <x:c r="B3834" s="86"/>
    </x:row>
    <x:row r="3835">
      <x:c r="A3835" s="85"/>
      <x:c r="B3835" s="86"/>
    </x:row>
    <x:row r="3836">
      <x:c r="A3836" s="85"/>
      <x:c r="B3836" s="86"/>
    </x:row>
    <x:row r="3837">
      <x:c r="A3837" s="85"/>
      <x:c r="B3837" s="86"/>
    </x:row>
    <x:row r="3838">
      <x:c r="A3838" s="85"/>
      <x:c r="B3838" s="86"/>
    </x:row>
    <x:row r="3839">
      <x:c r="A3839" s="85"/>
      <x:c r="B3839" s="86"/>
    </x:row>
    <x:row r="3840">
      <x:c r="A3840" s="85"/>
      <x:c r="B3840" s="86"/>
    </x:row>
    <x:row r="3841">
      <x:c r="A3841" s="85"/>
      <x:c r="B3841" s="86"/>
    </x:row>
    <x:row r="3842">
      <x:c r="A3842" s="85"/>
      <x:c r="B3842" s="86"/>
    </x:row>
    <x:row r="3843">
      <x:c r="A3843" s="85"/>
      <x:c r="B3843" s="86"/>
    </x:row>
    <x:row r="3844">
      <x:c r="A3844" s="85"/>
      <x:c r="B3844" s="86"/>
    </x:row>
    <x:row r="3845">
      <x:c r="A3845" s="85"/>
      <x:c r="B3845" s="86"/>
    </x:row>
    <x:row r="3846">
      <x:c r="A3846" s="85"/>
      <x:c r="B3846" s="86"/>
    </x:row>
    <x:row r="3847">
      <x:c r="A3847" s="85"/>
      <x:c r="B3847" s="86"/>
    </x:row>
    <x:row r="3848">
      <x:c r="A3848" s="85"/>
      <x:c r="B3848" s="86"/>
    </x:row>
    <x:row r="3849">
      <x:c r="A3849" s="85"/>
      <x:c r="B3849" s="86"/>
    </x:row>
    <x:row r="3850">
      <x:c r="A3850" s="85"/>
      <x:c r="B3850" s="86"/>
    </x:row>
    <x:row r="3851">
      <x:c r="A3851" s="85"/>
      <x:c r="B3851" s="86"/>
    </x:row>
    <x:row r="3852">
      <x:c r="A3852" s="85"/>
      <x:c r="B3852" s="86"/>
    </x:row>
    <x:row r="3853">
      <x:c r="A3853" s="85"/>
      <x:c r="B3853" s="86"/>
    </x:row>
    <x:row r="3854">
      <x:c r="A3854" s="85"/>
      <x:c r="B3854" s="86"/>
    </x:row>
    <x:row r="3855">
      <x:c r="A3855" s="85"/>
      <x:c r="B3855" s="86"/>
    </x:row>
    <x:row r="3856">
      <x:c r="A3856" s="85"/>
      <x:c r="B3856" s="86"/>
    </x:row>
    <x:row r="3857">
      <x:c r="A3857" s="85"/>
      <x:c r="B3857" s="86"/>
    </x:row>
    <x:row r="3858">
      <x:c r="A3858" s="85"/>
      <x:c r="B3858" s="86"/>
    </x:row>
    <x:row r="3859">
      <x:c r="A3859" s="85"/>
      <x:c r="B3859" s="86"/>
    </x:row>
    <x:row r="3860">
      <x:c r="A3860" s="85"/>
      <x:c r="B3860" s="86"/>
    </x:row>
    <x:row r="3861">
      <x:c r="A3861" s="85"/>
      <x:c r="B3861" s="86"/>
    </x:row>
    <x:row r="3862">
      <x:c r="A3862" s="85"/>
      <x:c r="B3862" s="86"/>
    </x:row>
    <x:row r="3863">
      <x:c r="A3863" s="85"/>
      <x:c r="B3863" s="86"/>
    </x:row>
    <x:row r="3864">
      <x:c r="A3864" s="85"/>
      <x:c r="B3864" s="86"/>
    </x:row>
    <x:row r="3865">
      <x:c r="A3865" s="85"/>
      <x:c r="B3865" s="86"/>
    </x:row>
    <x:row r="3866">
      <x:c r="A3866" s="85"/>
      <x:c r="B3866" s="86"/>
    </x:row>
    <x:row r="3867">
      <x:c r="A3867" s="85"/>
      <x:c r="B3867" s="86"/>
    </x:row>
    <x:row r="3868">
      <x:c r="A3868" s="85"/>
      <x:c r="B3868" s="86"/>
    </x:row>
    <x:row r="3869">
      <x:c r="A3869" s="85"/>
      <x:c r="B3869" s="86"/>
    </x:row>
    <x:row r="3870">
      <x:c r="A3870" s="85"/>
      <x:c r="B3870" s="86"/>
    </x:row>
    <x:row r="3871">
      <x:c r="A3871" s="85"/>
      <x:c r="B3871" s="86"/>
    </x:row>
    <x:row r="3872">
      <x:c r="A3872" s="85"/>
      <x:c r="B3872" s="86"/>
    </x:row>
    <x:row r="3873">
      <x:c r="A3873" s="85"/>
      <x:c r="B3873" s="86"/>
    </x:row>
    <x:row r="3874">
      <x:c r="A3874" s="85"/>
      <x:c r="B3874" s="86"/>
    </x:row>
    <x:row r="3875">
      <x:c r="A3875" s="85"/>
      <x:c r="B3875" s="86"/>
    </x:row>
    <x:row r="3876">
      <x:c r="A3876" s="85"/>
      <x:c r="B3876" s="86"/>
    </x:row>
    <x:row r="3877">
      <x:c r="A3877" s="85"/>
      <x:c r="B3877" s="86"/>
    </x:row>
    <x:row r="3878">
      <x:c r="A3878" s="85"/>
      <x:c r="B3878" s="86"/>
    </x:row>
    <x:row r="3879">
      <x:c r="A3879" s="85"/>
      <x:c r="B3879" s="86"/>
    </x:row>
    <x:row r="3880">
      <x:c r="A3880" s="85"/>
      <x:c r="B3880" s="86"/>
    </x:row>
    <x:row r="3881">
      <x:c r="A3881" s="85"/>
      <x:c r="B3881" s="86"/>
    </x:row>
    <x:row r="3882">
      <x:c r="A3882" s="85"/>
      <x:c r="B3882" s="86"/>
    </x:row>
    <x:row r="3883">
      <x:c r="A3883" s="85"/>
      <x:c r="B3883" s="86"/>
    </x:row>
    <x:row r="3884">
      <x:c r="A3884" s="85"/>
      <x:c r="B3884" s="86"/>
    </x:row>
    <x:row r="3885">
      <x:c r="A3885" s="85"/>
      <x:c r="B3885" s="86"/>
    </x:row>
    <x:row r="3886">
      <x:c r="A3886" s="85"/>
      <x:c r="B3886" s="86"/>
    </x:row>
    <x:row r="3887">
      <x:c r="A3887" s="85"/>
      <x:c r="B3887" s="86"/>
    </x:row>
    <x:row r="3888">
      <x:c r="A3888" s="85"/>
      <x:c r="B3888" s="86"/>
    </x:row>
    <x:row r="3889">
      <x:c r="A3889" s="85"/>
      <x:c r="B3889" s="86"/>
    </x:row>
    <x:row r="3890">
      <x:c r="A3890" s="85"/>
      <x:c r="B3890" s="86"/>
    </x:row>
    <x:row r="3891">
      <x:c r="A3891" s="85"/>
      <x:c r="B3891" s="86"/>
    </x:row>
    <x:row r="3892">
      <x:c r="A3892" s="85"/>
      <x:c r="B3892" s="86"/>
    </x:row>
    <x:row r="3893">
      <x:c r="A3893" s="85"/>
      <x:c r="B3893" s="86"/>
    </x:row>
    <x:row r="3894">
      <x:c r="A3894" s="85"/>
      <x:c r="B3894" s="86"/>
    </x:row>
    <x:row r="3895">
      <x:c r="A3895" s="85"/>
      <x:c r="B3895" s="86"/>
    </x:row>
    <x:row r="3896">
      <x:c r="A3896" s="85"/>
      <x:c r="B3896" s="86"/>
    </x:row>
    <x:row r="3897">
      <x:c r="A3897" s="85"/>
      <x:c r="B3897" s="86"/>
    </x:row>
    <x:row r="3898">
      <x:c r="A3898" s="85"/>
      <x:c r="B3898" s="86"/>
    </x:row>
    <x:row r="3899">
      <x:c r="A3899" s="85"/>
      <x:c r="B3899" s="86"/>
    </x:row>
    <x:row r="3900">
      <x:c r="A3900" s="85"/>
      <x:c r="B3900" s="86"/>
    </x:row>
    <x:row r="3901">
      <x:c r="A3901" s="85"/>
      <x:c r="B3901" s="86"/>
    </x:row>
    <x:row r="3902">
      <x:c r="A3902" s="85"/>
      <x:c r="B3902" s="86"/>
    </x:row>
    <x:row r="3903">
      <x:c r="A3903" s="85"/>
      <x:c r="B3903" s="86"/>
    </x:row>
    <x:row r="3904">
      <x:c r="A3904" s="85"/>
      <x:c r="B3904" s="86"/>
    </x:row>
    <x:row r="3905">
      <x:c r="A3905" s="85"/>
      <x:c r="B3905" s="86"/>
    </x:row>
    <x:row r="3906">
      <x:c r="A3906" s="85"/>
      <x:c r="B3906" s="86"/>
    </x:row>
    <x:row r="3907">
      <x:c r="A3907" s="85"/>
      <x:c r="B3907" s="86"/>
    </x:row>
    <x:row r="3908">
      <x:c r="A3908" s="85"/>
      <x:c r="B3908" s="86"/>
    </x:row>
    <x:row r="3909">
      <x:c r="A3909" s="85"/>
      <x:c r="B3909" s="86"/>
    </x:row>
    <x:row r="3910">
      <x:c r="A3910" s="85"/>
      <x:c r="B3910" s="86"/>
    </x:row>
    <x:row r="3911">
      <x:c r="A3911" s="85"/>
      <x:c r="B3911" s="86"/>
    </x:row>
    <x:row r="3912">
      <x:c r="A3912" s="85"/>
      <x:c r="B3912" s="86"/>
    </x:row>
    <x:row r="3913">
      <x:c r="A3913" s="85"/>
      <x:c r="B3913" s="86"/>
    </x:row>
    <x:row r="3914">
      <x:c r="A3914" s="85"/>
      <x:c r="B3914" s="86"/>
    </x:row>
    <x:row r="3915">
      <x:c r="A3915" s="85"/>
      <x:c r="B3915" s="86"/>
    </x:row>
    <x:row r="3916">
      <x:c r="A3916" s="85"/>
      <x:c r="B3916" s="86"/>
    </x:row>
    <x:row r="3917">
      <x:c r="A3917" s="85"/>
      <x:c r="B3917" s="86"/>
    </x:row>
    <x:row r="3918">
      <x:c r="A3918" s="85"/>
      <x:c r="B3918" s="86"/>
    </x:row>
    <x:row r="3919">
      <x:c r="A3919" s="85"/>
      <x:c r="B3919" s="86"/>
    </x:row>
    <x:row r="3920">
      <x:c r="A3920" s="85"/>
      <x:c r="B3920" s="86"/>
    </x:row>
    <x:row r="3921">
      <x:c r="A3921" s="85"/>
      <x:c r="B3921" s="86"/>
    </x:row>
    <x:row r="3922">
      <x:c r="A3922" s="85"/>
      <x:c r="B3922" s="86"/>
    </x:row>
    <x:row r="3923">
      <x:c r="A3923" s="85"/>
      <x:c r="B3923" s="86"/>
    </x:row>
    <x:row r="3924">
      <x:c r="A3924" s="85"/>
      <x:c r="B3924" s="86"/>
    </x:row>
    <x:row r="3925">
      <x:c r="A3925" s="85"/>
      <x:c r="B3925" s="86"/>
    </x:row>
    <x:row r="3926">
      <x:c r="A3926" s="85"/>
      <x:c r="B3926" s="86"/>
    </x:row>
    <x:row r="3927">
      <x:c r="A3927" s="85"/>
      <x:c r="B3927" s="86"/>
    </x:row>
    <x:row r="3928">
      <x:c r="A3928" s="85"/>
      <x:c r="B3928" s="86"/>
    </x:row>
    <x:row r="3929">
      <x:c r="A3929" s="85"/>
      <x:c r="B3929" s="86"/>
    </x:row>
    <x:row r="3930">
      <x:c r="A3930" s="85"/>
      <x:c r="B3930" s="86"/>
    </x:row>
    <x:row r="3931">
      <x:c r="A3931" s="85"/>
      <x:c r="B3931" s="86"/>
    </x:row>
    <x:row r="3932">
      <x:c r="A3932" s="85"/>
      <x:c r="B3932" s="86"/>
    </x:row>
    <x:row r="3933">
      <x:c r="A3933" s="85"/>
      <x:c r="B3933" s="86"/>
    </x:row>
    <x:row r="3934">
      <x:c r="A3934" s="85"/>
      <x:c r="B3934" s="86"/>
    </x:row>
    <x:row r="3935">
      <x:c r="A3935" s="85"/>
      <x:c r="B3935" s="86"/>
    </x:row>
    <x:row r="3936">
      <x:c r="A3936" s="85"/>
      <x:c r="B3936" s="86"/>
    </x:row>
    <x:row r="3937">
      <x:c r="A3937" s="85"/>
      <x:c r="B3937" s="86"/>
    </x:row>
    <x:row r="3938">
      <x:c r="A3938" s="85"/>
      <x:c r="B3938" s="86"/>
    </x:row>
    <x:row r="3939">
      <x:c r="A3939" s="85"/>
      <x:c r="B3939" s="86"/>
    </x:row>
    <x:row r="3940">
      <x:c r="A3940" s="85"/>
      <x:c r="B3940" s="86"/>
    </x:row>
    <x:row r="3941">
      <x:c r="A3941" s="85"/>
      <x:c r="B3941" s="86"/>
    </x:row>
    <x:row r="3942">
      <x:c r="A3942" s="85"/>
      <x:c r="B3942" s="86"/>
    </x:row>
    <x:row r="3943">
      <x:c r="A3943" s="85"/>
      <x:c r="B3943" s="86"/>
    </x:row>
    <x:row r="3944">
      <x:c r="A3944" s="85"/>
      <x:c r="B3944" s="86"/>
    </x:row>
    <x:row r="3945">
      <x:c r="A3945" s="85"/>
      <x:c r="B3945" s="86"/>
    </x:row>
    <x:row r="3946">
      <x:c r="A3946" s="85"/>
      <x:c r="B3946" s="86"/>
    </x:row>
    <x:row r="3947">
      <x:c r="A3947" s="85"/>
      <x:c r="B3947" s="86"/>
    </x:row>
    <x:row r="3948">
      <x:c r="A3948" s="85"/>
      <x:c r="B3948" s="86"/>
    </x:row>
    <x:row r="3949">
      <x:c r="A3949" s="85"/>
      <x:c r="B3949" s="86"/>
    </x:row>
    <x:row r="3950">
      <x:c r="A3950" s="85"/>
      <x:c r="B3950" s="86"/>
    </x:row>
    <x:row r="3951">
      <x:c r="A3951" s="85"/>
      <x:c r="B3951" s="86"/>
    </x:row>
    <x:row r="3952">
      <x:c r="A3952" s="85"/>
      <x:c r="B3952" s="86"/>
    </x:row>
    <x:row r="3953">
      <x:c r="A3953" s="85"/>
      <x:c r="B3953" s="86"/>
    </x:row>
    <x:row r="3954">
      <x:c r="A3954" s="85"/>
      <x:c r="B3954" s="86"/>
    </x:row>
    <x:row r="3955">
      <x:c r="A3955" s="85"/>
      <x:c r="B3955" s="86"/>
    </x:row>
    <x:row r="3956">
      <x:c r="A3956" s="85"/>
      <x:c r="B3956" s="86"/>
    </x:row>
    <x:row r="3957">
      <x:c r="A3957" s="85"/>
      <x:c r="B3957" s="86"/>
    </x:row>
    <x:row r="3958">
      <x:c r="A3958" s="85"/>
      <x:c r="B3958" s="86"/>
    </x:row>
    <x:row r="3959">
      <x:c r="A3959" s="85"/>
      <x:c r="B3959" s="86"/>
    </x:row>
    <x:row r="3960">
      <x:c r="A3960" s="85"/>
      <x:c r="B3960" s="86"/>
    </x:row>
    <x:row r="3961">
      <x:c r="A3961" s="85"/>
      <x:c r="B3961" s="86"/>
    </x:row>
    <x:row r="3962">
      <x:c r="A3962" s="85"/>
      <x:c r="B3962" s="86"/>
    </x:row>
    <x:row r="3963">
      <x:c r="A3963" s="85"/>
      <x:c r="B3963" s="86"/>
    </x:row>
    <x:row r="3964">
      <x:c r="A3964" s="85"/>
      <x:c r="B3964" s="86"/>
    </x:row>
    <x:row r="3965">
      <x:c r="A3965" s="85"/>
      <x:c r="B3965" s="86"/>
    </x:row>
    <x:row r="3966">
      <x:c r="A3966" s="85"/>
      <x:c r="B3966" s="86"/>
    </x:row>
    <x:row r="3967">
      <x:c r="A3967" s="85"/>
      <x:c r="B3967" s="86"/>
    </x:row>
    <x:row r="3968">
      <x:c r="A3968" s="85"/>
      <x:c r="B3968" s="86"/>
    </x:row>
    <x:row r="3969">
      <x:c r="A3969" s="85"/>
      <x:c r="B3969" s="86"/>
    </x:row>
    <x:row r="3970">
      <x:c r="A3970" s="85"/>
      <x:c r="B3970" s="86"/>
    </x:row>
    <x:row r="3971">
      <x:c r="A3971" s="85"/>
      <x:c r="B3971" s="86"/>
    </x:row>
    <x:row r="3972">
      <x:c r="A3972" s="85"/>
      <x:c r="B3972" s="86"/>
    </x:row>
    <x:row r="3973">
      <x:c r="A3973" s="85"/>
      <x:c r="B3973" s="86"/>
    </x:row>
    <x:row r="3974">
      <x:c r="A3974" s="85"/>
      <x:c r="B3974" s="86"/>
    </x:row>
    <x:row r="3975">
      <x:c r="A3975" s="85"/>
      <x:c r="B3975" s="86"/>
    </x:row>
    <x:row r="3976">
      <x:c r="A3976" s="85"/>
      <x:c r="B3976" s="86"/>
    </x:row>
    <x:row r="3977">
      <x:c r="A3977" s="85"/>
      <x:c r="B3977" s="86"/>
    </x:row>
    <x:row r="3978">
      <x:c r="A3978" s="85"/>
      <x:c r="B3978" s="86"/>
    </x:row>
    <x:row r="3979">
      <x:c r="A3979" s="85"/>
      <x:c r="B3979" s="86"/>
    </x:row>
    <x:row r="3980">
      <x:c r="A3980" s="85"/>
      <x:c r="B3980" s="86"/>
    </x:row>
    <x:row r="3981">
      <x:c r="A3981" s="85"/>
      <x:c r="B3981" s="86"/>
    </x:row>
    <x:row r="3982">
      <x:c r="A3982" s="85"/>
      <x:c r="B3982" s="86"/>
    </x:row>
    <x:row r="3983">
      <x:c r="A3983" s="85"/>
      <x:c r="B3983" s="86"/>
    </x:row>
    <x:row r="3984">
      <x:c r="A3984" s="85"/>
      <x:c r="B3984" s="86"/>
    </x:row>
    <x:row r="3985">
      <x:c r="A3985" s="85"/>
      <x:c r="B3985" s="86"/>
    </x:row>
    <x:row r="3986">
      <x:c r="A3986" s="85"/>
      <x:c r="B3986" s="86"/>
    </x:row>
    <x:row r="3987">
      <x:c r="A3987" s="85"/>
      <x:c r="B3987" s="86"/>
    </x:row>
    <x:row r="3988">
      <x:c r="A3988" s="85"/>
      <x:c r="B3988" s="86"/>
    </x:row>
    <x:row r="3989">
      <x:c r="A3989" s="85"/>
      <x:c r="B3989" s="86"/>
    </x:row>
    <x:row r="3990">
      <x:c r="A3990" s="85"/>
      <x:c r="B3990" s="86"/>
    </x:row>
    <x:row r="3991">
      <x:c r="A3991" s="85"/>
      <x:c r="B3991" s="86"/>
    </x:row>
    <x:row r="3992">
      <x:c r="A3992" s="85"/>
      <x:c r="B3992" s="86"/>
    </x:row>
    <x:row r="3993">
      <x:c r="A3993" s="85"/>
      <x:c r="B3993" s="86"/>
    </x:row>
    <x:row r="3994">
      <x:c r="A3994" s="85"/>
      <x:c r="B3994" s="86"/>
    </x:row>
    <x:row r="3995">
      <x:c r="A3995" s="85"/>
      <x:c r="B3995" s="86"/>
    </x:row>
    <x:row r="3996">
      <x:c r="A3996" s="85"/>
      <x:c r="B3996" s="86"/>
    </x:row>
    <x:row r="3997">
      <x:c r="A3997" s="85"/>
      <x:c r="B3997" s="86"/>
    </x:row>
    <x:row r="3998">
      <x:c r="A3998" s="85"/>
      <x:c r="B3998" s="86"/>
    </x:row>
    <x:row r="3999">
      <x:c r="A3999" s="85"/>
      <x:c r="B3999" s="86"/>
    </x:row>
    <x:row r="4000">
      <x:c r="A4000" s="85"/>
      <x:c r="B4000" s="86"/>
    </x:row>
    <x:row r="4001">
      <x:c r="A4001" s="85"/>
      <x:c r="B4001" s="86"/>
    </x:row>
    <x:row r="4002">
      <x:c r="A4002" s="85"/>
      <x:c r="B4002" s="86"/>
    </x:row>
    <x:row r="4003">
      <x:c r="A4003" s="85"/>
      <x:c r="B4003" s="86"/>
    </x:row>
    <x:row r="4004">
      <x:c r="A4004" s="85"/>
      <x:c r="B4004" s="86"/>
    </x:row>
    <x:row r="4005">
      <x:c r="A4005" s="85"/>
      <x:c r="B4005" s="86"/>
    </x:row>
    <x:row r="4006">
      <x:c r="A4006" s="85"/>
      <x:c r="B4006" s="86"/>
    </x:row>
    <x:row r="4007">
      <x:c r="A4007" s="85"/>
      <x:c r="B4007" s="86"/>
    </x:row>
    <x:row r="4008">
      <x:c r="A4008" s="85"/>
      <x:c r="B4008" s="86"/>
    </x:row>
    <x:row r="4009">
      <x:c r="A4009" s="85"/>
      <x:c r="B4009" s="86"/>
    </x:row>
    <x:row r="4010">
      <x:c r="A4010" s="85"/>
      <x:c r="B4010" s="86"/>
    </x:row>
    <x:row r="4011">
      <x:c r="A4011" s="85"/>
      <x:c r="B4011" s="86"/>
    </x:row>
    <x:row r="4012">
      <x:c r="A4012" s="85"/>
      <x:c r="B4012" s="86"/>
    </x:row>
    <x:row r="4013">
      <x:c r="A4013" s="85"/>
      <x:c r="B4013" s="86"/>
    </x:row>
    <x:row r="4014">
      <x:c r="A4014" s="85"/>
      <x:c r="B4014" s="86"/>
    </x:row>
    <x:row r="4015">
      <x:c r="A4015" s="85"/>
      <x:c r="B4015" s="86"/>
    </x:row>
    <x:row r="4016">
      <x:c r="A4016" s="85"/>
      <x:c r="B4016" s="86"/>
    </x:row>
    <x:row r="4017">
      <x:c r="A4017" s="85"/>
      <x:c r="B4017" s="86"/>
    </x:row>
    <x:row r="4018">
      <x:c r="A4018" s="85"/>
      <x:c r="B4018" s="86"/>
    </x:row>
    <x:row r="4019">
      <x:c r="A4019" s="85"/>
      <x:c r="B4019" s="86"/>
    </x:row>
    <x:row r="4020">
      <x:c r="A4020" s="85"/>
      <x:c r="B4020" s="86"/>
    </x:row>
    <x:row r="4021">
      <x:c r="A4021" s="85"/>
      <x:c r="B4021" s="86"/>
    </x:row>
    <x:row r="4022">
      <x:c r="A4022" s="85"/>
      <x:c r="B4022" s="86"/>
    </x:row>
    <x:row r="4023">
      <x:c r="A4023" s="85"/>
      <x:c r="B4023" s="86"/>
    </x:row>
    <x:row r="4024">
      <x:c r="A4024" s="85"/>
      <x:c r="B4024" s="86"/>
    </x:row>
    <x:row r="4025">
      <x:c r="A4025" s="85"/>
      <x:c r="B4025" s="86"/>
    </x:row>
    <x:row r="4026">
      <x:c r="A4026" s="85"/>
      <x:c r="B4026" s="86"/>
    </x:row>
    <x:row r="4027">
      <x:c r="A4027" s="85"/>
      <x:c r="B4027" s="86"/>
    </x:row>
    <x:row r="4028">
      <x:c r="A4028" s="85"/>
      <x:c r="B4028" s="86"/>
    </x:row>
    <x:row r="4029">
      <x:c r="A4029" s="85"/>
      <x:c r="B4029" s="86"/>
    </x:row>
    <x:row r="4030">
      <x:c r="A4030" s="85"/>
      <x:c r="B4030" s="86"/>
    </x:row>
    <x:row r="4031">
      <x:c r="A4031" s="85"/>
      <x:c r="B4031" s="86"/>
    </x:row>
    <x:row r="4032">
      <x:c r="A4032" s="85"/>
      <x:c r="B4032" s="86"/>
    </x:row>
    <x:row r="4033">
      <x:c r="A4033" s="85"/>
      <x:c r="B4033" s="86"/>
    </x:row>
    <x:row r="4034">
      <x:c r="A4034" s="85"/>
      <x:c r="B4034" s="86"/>
    </x:row>
    <x:row r="4035">
      <x:c r="A4035" s="85"/>
      <x:c r="B4035" s="86"/>
    </x:row>
    <x:row r="4036">
      <x:c r="A4036" s="85"/>
      <x:c r="B4036" s="86"/>
    </x:row>
    <x:row r="4037">
      <x:c r="A4037" s="85"/>
      <x:c r="B4037" s="86"/>
    </x:row>
    <x:row r="4038">
      <x:c r="A4038" s="85"/>
      <x:c r="B4038" s="86"/>
    </x:row>
    <x:row r="4039">
      <x:c r="A4039" s="85"/>
      <x:c r="B4039" s="86"/>
    </x:row>
    <x:row r="4040">
      <x:c r="A4040" s="85"/>
      <x:c r="B4040" s="86"/>
    </x:row>
    <x:row r="4041">
      <x:c r="A4041" s="85"/>
      <x:c r="B4041" s="86"/>
    </x:row>
    <x:row r="4042">
      <x:c r="A4042" s="85"/>
      <x:c r="B4042" s="86"/>
    </x:row>
    <x:row r="4043">
      <x:c r="A4043" s="85"/>
      <x:c r="B4043" s="86"/>
    </x:row>
    <x:row r="4044">
      <x:c r="A4044" s="85"/>
      <x:c r="B4044" s="86"/>
    </x:row>
    <x:row r="4045">
      <x:c r="A4045" s="85"/>
      <x:c r="B4045" s="86"/>
    </x:row>
    <x:row r="4046">
      <x:c r="A4046" s="85"/>
      <x:c r="B4046" s="86"/>
    </x:row>
    <x:row r="4047">
      <x:c r="A4047" s="85"/>
      <x:c r="B4047" s="86"/>
    </x:row>
    <x:row r="4048">
      <x:c r="A4048" s="85"/>
      <x:c r="B4048" s="86"/>
    </x:row>
    <x:row r="4049">
      <x:c r="A4049" s="85"/>
      <x:c r="B4049" s="86"/>
    </x:row>
    <x:row r="4050">
      <x:c r="A4050" s="85"/>
      <x:c r="B4050" s="86"/>
    </x:row>
    <x:row r="4051">
      <x:c r="A4051" s="85"/>
      <x:c r="B4051" s="86"/>
    </x:row>
    <x:row r="4052">
      <x:c r="A4052" s="85"/>
      <x:c r="B4052" s="86"/>
    </x:row>
    <x:row r="4053">
      <x:c r="A4053" s="85"/>
      <x:c r="B4053" s="86"/>
    </x:row>
    <x:row r="4054">
      <x:c r="A4054" s="85"/>
      <x:c r="B4054" s="86"/>
    </x:row>
    <x:row r="4055">
      <x:c r="A4055" s="85"/>
      <x:c r="B4055" s="86"/>
    </x:row>
    <x:row r="4056">
      <x:c r="A4056" s="85"/>
      <x:c r="B4056" s="86"/>
    </x:row>
    <x:row r="4057">
      <x:c r="A4057" s="85"/>
      <x:c r="B4057" s="86"/>
    </x:row>
    <x:row r="4058">
      <x:c r="A4058" s="85"/>
      <x:c r="B4058" s="86"/>
    </x:row>
    <x:row r="4059">
      <x:c r="A4059" s="85"/>
      <x:c r="B4059" s="86"/>
    </x:row>
    <x:row r="4060">
      <x:c r="A4060" s="85"/>
      <x:c r="B4060" s="86"/>
    </x:row>
    <x:row r="4061">
      <x:c r="A4061" s="85"/>
      <x:c r="B4061" s="86"/>
    </x:row>
    <x:row r="4062">
      <x:c r="A4062" s="85"/>
      <x:c r="B4062" s="86"/>
    </x:row>
    <x:row r="4063">
      <x:c r="A4063" s="85"/>
      <x:c r="B4063" s="86"/>
    </x:row>
    <x:row r="4064">
      <x:c r="A4064" s="85"/>
      <x:c r="B4064" s="86"/>
    </x:row>
    <x:row r="4065">
      <x:c r="A4065" s="85"/>
      <x:c r="B4065" s="86"/>
    </x:row>
    <x:row r="4066">
      <x:c r="A4066" s="85"/>
      <x:c r="B4066" s="86"/>
    </x:row>
    <x:row r="4067">
      <x:c r="A4067" s="85"/>
      <x:c r="B4067" s="86"/>
    </x:row>
    <x:row r="4068">
      <x:c r="A4068" s="85"/>
      <x:c r="B4068" s="86"/>
    </x:row>
    <x:row r="4069">
      <x:c r="A4069" s="85"/>
      <x:c r="B4069" s="86"/>
    </x:row>
    <x:row r="4070">
      <x:c r="A4070" s="85"/>
      <x:c r="B4070" s="86"/>
    </x:row>
    <x:row r="4071">
      <x:c r="A4071" s="85"/>
      <x:c r="B4071" s="86"/>
    </x:row>
    <x:row r="4072">
      <x:c r="A4072" s="85"/>
      <x:c r="B4072" s="86"/>
    </x:row>
    <x:row r="4073">
      <x:c r="A4073" s="85"/>
      <x:c r="B4073" s="86"/>
    </x:row>
    <x:row r="4074">
      <x:c r="A4074" s="85"/>
      <x:c r="B4074" s="86"/>
    </x:row>
    <x:row r="4075">
      <x:c r="A4075" s="85"/>
      <x:c r="B4075" s="86"/>
    </x:row>
    <x:row r="4076">
      <x:c r="A4076" s="85"/>
      <x:c r="B4076" s="86"/>
    </x:row>
    <x:row r="4077">
      <x:c r="A4077" s="85"/>
      <x:c r="B4077" s="86"/>
    </x:row>
    <x:row r="4078">
      <x:c r="A4078" s="85"/>
      <x:c r="B4078" s="86"/>
    </x:row>
    <x:row r="4079">
      <x:c r="A4079" s="85"/>
      <x:c r="B4079" s="86"/>
    </x:row>
    <x:row r="4080">
      <x:c r="A4080" s="85"/>
      <x:c r="B4080" s="86"/>
    </x:row>
    <x:row r="4081">
      <x:c r="A4081" s="85"/>
      <x:c r="B4081" s="86"/>
    </x:row>
    <x:row r="4082">
      <x:c r="A4082" s="85"/>
      <x:c r="B4082" s="86"/>
    </x:row>
    <x:row r="4083">
      <x:c r="A4083" s="85"/>
      <x:c r="B4083" s="86"/>
    </x:row>
    <x:row r="4084">
      <x:c r="A4084" s="85"/>
      <x:c r="B4084" s="86"/>
    </x:row>
    <x:row r="4085">
      <x:c r="A4085" s="85"/>
      <x:c r="B4085" s="86"/>
    </x:row>
    <x:row r="4086">
      <x:c r="A4086" s="85"/>
      <x:c r="B4086" s="86"/>
    </x:row>
    <x:row r="4087">
      <x:c r="A4087" s="85"/>
      <x:c r="B4087" s="86"/>
    </x:row>
    <x:row r="4088">
      <x:c r="A4088" s="85"/>
      <x:c r="B4088" s="86"/>
    </x:row>
    <x:row r="4089">
      <x:c r="A4089" s="85"/>
      <x:c r="B4089" s="86"/>
    </x:row>
    <x:row r="4090">
      <x:c r="A4090" s="85"/>
      <x:c r="B4090" s="86"/>
    </x:row>
    <x:row r="4091">
      <x:c r="A4091" s="85"/>
      <x:c r="B4091" s="86"/>
    </x:row>
    <x:row r="4092">
      <x:c r="A4092" s="85"/>
      <x:c r="B4092" s="86"/>
    </x:row>
    <x:row r="4093">
      <x:c r="A4093" s="85"/>
      <x:c r="B4093" s="86"/>
    </x:row>
    <x:row r="4094">
      <x:c r="A4094" s="85"/>
      <x:c r="B4094" s="86"/>
    </x:row>
    <x:row r="4095">
      <x:c r="A4095" s="85"/>
      <x:c r="B4095" s="86"/>
    </x:row>
    <x:row r="4096">
      <x:c r="A4096" s="85"/>
      <x:c r="B4096" s="86"/>
    </x:row>
    <x:row r="4097">
      <x:c r="A4097" s="85"/>
      <x:c r="B4097" s="86"/>
    </x:row>
    <x:row r="4098">
      <x:c r="A4098" s="85"/>
      <x:c r="B4098" s="86"/>
    </x:row>
    <x:row r="4099">
      <x:c r="A4099" s="85"/>
      <x:c r="B4099" s="86"/>
    </x:row>
    <x:row r="4100">
      <x:c r="A4100" s="85"/>
      <x:c r="B4100" s="86"/>
    </x:row>
    <x:row r="4101">
      <x:c r="A4101" s="85"/>
      <x:c r="B4101" s="86"/>
    </x:row>
    <x:row r="4102">
      <x:c r="A4102" s="85"/>
      <x:c r="B4102" s="86"/>
    </x:row>
    <x:row r="4103">
      <x:c r="A4103" s="85"/>
      <x:c r="B4103" s="86"/>
    </x:row>
    <x:row r="4104">
      <x:c r="A4104" s="85"/>
      <x:c r="B4104" s="86"/>
    </x:row>
    <x:row r="4105">
      <x:c r="A4105" s="85"/>
      <x:c r="B4105" s="86"/>
    </x:row>
    <x:row r="4106">
      <x:c r="A4106" s="85"/>
      <x:c r="B4106" s="86"/>
    </x:row>
    <x:row r="4107">
      <x:c r="A4107" s="85"/>
      <x:c r="B4107" s="86"/>
    </x:row>
    <x:row r="4108">
      <x:c r="A4108" s="85"/>
      <x:c r="B4108" s="86"/>
    </x:row>
    <x:row r="4109">
      <x:c r="A4109" s="85"/>
      <x:c r="B4109" s="86"/>
    </x:row>
    <x:row r="4110">
      <x:c r="A4110" s="85"/>
      <x:c r="B4110" s="86"/>
    </x:row>
    <x:row r="4111">
      <x:c r="A4111" s="85"/>
      <x:c r="B4111" s="86"/>
    </x:row>
    <x:row r="4112">
      <x:c r="A4112" s="85"/>
      <x:c r="B4112" s="86"/>
    </x:row>
    <x:row r="4113">
      <x:c r="A4113" s="85"/>
      <x:c r="B4113" s="86"/>
    </x:row>
    <x:row r="4114">
      <x:c r="A4114" s="85"/>
      <x:c r="B4114" s="86"/>
    </x:row>
    <x:row r="4115">
      <x:c r="A4115" s="85"/>
      <x:c r="B4115" s="86"/>
    </x:row>
    <x:row r="4116">
      <x:c r="A4116" s="85"/>
      <x:c r="B4116" s="86"/>
    </x:row>
    <x:row r="4117">
      <x:c r="A4117" s="85"/>
      <x:c r="B4117" s="86"/>
    </x:row>
    <x:row r="4118">
      <x:c r="A4118" s="85"/>
      <x:c r="B4118" s="86"/>
    </x:row>
    <x:row r="4119">
      <x:c r="A4119" s="85"/>
      <x:c r="B4119" s="86"/>
    </x:row>
    <x:row r="4120">
      <x:c r="A4120" s="85"/>
      <x:c r="B4120" s="86"/>
    </x:row>
    <x:row r="4121">
      <x:c r="A4121" s="85"/>
      <x:c r="B4121" s="86"/>
    </x:row>
    <x:row r="4122">
      <x:c r="A4122" s="85"/>
      <x:c r="B4122" s="86"/>
    </x:row>
    <x:row r="4123">
      <x:c r="A4123" s="85"/>
      <x:c r="B4123" s="86"/>
    </x:row>
    <x:row r="4124">
      <x:c r="A4124" s="85"/>
      <x:c r="B4124" s="86"/>
    </x:row>
    <x:row r="4125">
      <x:c r="A4125" s="85"/>
      <x:c r="B4125" s="86"/>
    </x:row>
    <x:row r="4126">
      <x:c r="A4126" s="85"/>
      <x:c r="B4126" s="86"/>
    </x:row>
    <x:row r="4127">
      <x:c r="A4127" s="85"/>
      <x:c r="B4127" s="86"/>
    </x:row>
    <x:row r="4128">
      <x:c r="A4128" s="85"/>
      <x:c r="B4128" s="86"/>
    </x:row>
    <x:row r="4129">
      <x:c r="A4129" s="85"/>
      <x:c r="B4129" s="86"/>
    </x:row>
    <x:row r="4130">
      <x:c r="A4130" s="85"/>
      <x:c r="B4130" s="86"/>
    </x:row>
    <x:row r="4131">
      <x:c r="A4131" s="85"/>
      <x:c r="B4131" s="86"/>
    </x:row>
    <x:row r="4132">
      <x:c r="A4132" s="85"/>
      <x:c r="B4132" s="86"/>
    </x:row>
    <x:row r="4133">
      <x:c r="A4133" s="85"/>
      <x:c r="B4133" s="86"/>
    </x:row>
    <x:row r="4134">
      <x:c r="A4134" s="85"/>
      <x:c r="B4134" s="86"/>
    </x:row>
    <x:row r="4135">
      <x:c r="A4135" s="85"/>
      <x:c r="B4135" s="86"/>
    </x:row>
    <x:row r="4136">
      <x:c r="A4136" s="85"/>
      <x:c r="B4136" s="86"/>
    </x:row>
    <x:row r="4137">
      <x:c r="A4137" s="85"/>
      <x:c r="B4137" s="86"/>
    </x:row>
    <x:row r="4138">
      <x:c r="A4138" s="85"/>
      <x:c r="B4138" s="86"/>
    </x:row>
    <x:row r="4139">
      <x:c r="A4139" s="85"/>
      <x:c r="B4139" s="86"/>
    </x:row>
    <x:row r="4140">
      <x:c r="A4140" s="85"/>
      <x:c r="B4140" s="86"/>
    </x:row>
    <x:row r="4141">
      <x:c r="A4141" s="85"/>
      <x:c r="B4141" s="86"/>
    </x:row>
    <x:row r="4142">
      <x:c r="A4142" s="85"/>
      <x:c r="B4142" s="86"/>
    </x:row>
    <x:row r="4143">
      <x:c r="A4143" s="85"/>
      <x:c r="B4143" s="86"/>
    </x:row>
    <x:row r="4144">
      <x:c r="A4144" s="85"/>
      <x:c r="B4144" s="86"/>
    </x:row>
    <x:row r="4145">
      <x:c r="A4145" s="85"/>
      <x:c r="B4145" s="86"/>
    </x:row>
    <x:row r="4146">
      <x:c r="A4146" s="85"/>
      <x:c r="B4146" s="86"/>
    </x:row>
    <x:row r="4147">
      <x:c r="A4147" s="85"/>
      <x:c r="B4147" s="86"/>
    </x:row>
    <x:row r="4148">
      <x:c r="A4148" s="85"/>
      <x:c r="B4148" s="86"/>
    </x:row>
    <x:row r="4149">
      <x:c r="A4149" s="85"/>
      <x:c r="B4149" s="86"/>
    </x:row>
    <x:row r="4150">
      <x:c r="A4150" s="85"/>
      <x:c r="B4150" s="86"/>
    </x:row>
    <x:row r="4151">
      <x:c r="A4151" s="85"/>
      <x:c r="B4151" s="86"/>
    </x:row>
    <x:row r="4152">
      <x:c r="A4152" s="85"/>
      <x:c r="B4152" s="86"/>
    </x:row>
    <x:row r="4153">
      <x:c r="A4153" s="85"/>
      <x:c r="B4153" s="86"/>
    </x:row>
    <x:row r="4154">
      <x:c r="A4154" s="85"/>
      <x:c r="B4154" s="86"/>
    </x:row>
    <x:row r="4155">
      <x:c r="A4155" s="85"/>
      <x:c r="B4155" s="86"/>
    </x:row>
    <x:row r="4156">
      <x:c r="A4156" s="85"/>
      <x:c r="B4156" s="86"/>
    </x:row>
    <x:row r="4157">
      <x:c r="A4157" s="85"/>
      <x:c r="B4157" s="86"/>
    </x:row>
    <x:row r="4158">
      <x:c r="A4158" s="85"/>
      <x:c r="B4158" s="86"/>
    </x:row>
    <x:row r="4159">
      <x:c r="A4159" s="85"/>
      <x:c r="B4159" s="86"/>
    </x:row>
    <x:row r="4160">
      <x:c r="A4160" s="85"/>
      <x:c r="B4160" s="86"/>
    </x:row>
    <x:row r="4161">
      <x:c r="A4161" s="85"/>
      <x:c r="B4161" s="86"/>
    </x:row>
    <x:row r="4162">
      <x:c r="A4162" s="85"/>
      <x:c r="B4162" s="86"/>
    </x:row>
    <x:row r="4163">
      <x:c r="A4163" s="85"/>
      <x:c r="B4163" s="86"/>
    </x:row>
    <x:row r="4164">
      <x:c r="A4164" s="85"/>
      <x:c r="B4164" s="86"/>
    </x:row>
    <x:row r="4165">
      <x:c r="A4165" s="85"/>
      <x:c r="B4165" s="86"/>
    </x:row>
    <x:row r="4166">
      <x:c r="A4166" s="85"/>
      <x:c r="B4166" s="86"/>
    </x:row>
    <x:row r="4167">
      <x:c r="A4167" s="85"/>
      <x:c r="B4167" s="86"/>
    </x:row>
    <x:row r="4168">
      <x:c r="A4168" s="85"/>
      <x:c r="B4168" s="86"/>
    </x:row>
    <x:row r="4169">
      <x:c r="A4169" s="85"/>
      <x:c r="B4169" s="86"/>
    </x:row>
    <x:row r="4170">
      <x:c r="A4170" s="85"/>
      <x:c r="B4170" s="86"/>
    </x:row>
    <x:row r="4171">
      <x:c r="A4171" s="85"/>
      <x:c r="B4171" s="86"/>
    </x:row>
    <x:row r="4172">
      <x:c r="A4172" s="85"/>
      <x:c r="B4172" s="86"/>
    </x:row>
    <x:row r="4173">
      <x:c r="A4173" s="85"/>
      <x:c r="B4173" s="86"/>
    </x:row>
    <x:row r="4174">
      <x:c r="A4174" s="85"/>
      <x:c r="B4174" s="86"/>
    </x:row>
    <x:row r="4175">
      <x:c r="A4175" s="85"/>
      <x:c r="B4175" s="86"/>
    </x:row>
    <x:row r="4176">
      <x:c r="A4176" s="85"/>
      <x:c r="B4176" s="86"/>
    </x:row>
    <x:row r="4177">
      <x:c r="A4177" s="85"/>
      <x:c r="B4177" s="86"/>
    </x:row>
    <x:row r="4178">
      <x:c r="A4178" s="85"/>
      <x:c r="B4178" s="86"/>
    </x:row>
    <x:row r="4179">
      <x:c r="A4179" s="85"/>
      <x:c r="B4179" s="86"/>
    </x:row>
    <x:row r="4180">
      <x:c r="A4180" s="85"/>
      <x:c r="B4180" s="86"/>
    </x:row>
    <x:row r="4181">
      <x:c r="A4181" s="85"/>
      <x:c r="B4181" s="86"/>
    </x:row>
    <x:row r="4182">
      <x:c r="A4182" s="85"/>
      <x:c r="B4182" s="86"/>
    </x:row>
    <x:row r="4183">
      <x:c r="A4183" s="85"/>
      <x:c r="B4183" s="86"/>
    </x:row>
    <x:row r="4184">
      <x:c r="A4184" s="85"/>
      <x:c r="B4184" s="86"/>
    </x:row>
    <x:row r="4185">
      <x:c r="A4185" s="85"/>
      <x:c r="B4185" s="86"/>
    </x:row>
    <x:row r="4186">
      <x:c r="A4186" s="85"/>
      <x:c r="B4186" s="86"/>
    </x:row>
    <x:row r="4187">
      <x:c r="A4187" s="85"/>
      <x:c r="B4187" s="86"/>
    </x:row>
    <x:row r="4188">
      <x:c r="A4188" s="85"/>
      <x:c r="B4188" s="86"/>
    </x:row>
    <x:row r="4189">
      <x:c r="A4189" s="85"/>
      <x:c r="B4189" s="86"/>
    </x:row>
    <x:row r="4190">
      <x:c r="A4190" s="85"/>
      <x:c r="B4190" s="86"/>
    </x:row>
    <x:row r="4191">
      <x:c r="A4191" s="85"/>
      <x:c r="B4191" s="86"/>
    </x:row>
    <x:row r="4192">
      <x:c r="A4192" s="85"/>
      <x:c r="B4192" s="86"/>
    </x:row>
    <x:row r="4193">
      <x:c r="A4193" s="85"/>
      <x:c r="B4193" s="86"/>
    </x:row>
    <x:row r="4194">
      <x:c r="A4194" s="85"/>
      <x:c r="B4194" s="86"/>
    </x:row>
    <x:row r="4195">
      <x:c r="A4195" s="85"/>
      <x:c r="B4195" s="86"/>
    </x:row>
    <x:row r="4196">
      <x:c r="A4196" s="85"/>
      <x:c r="B4196" s="86"/>
    </x:row>
    <x:row r="4197">
      <x:c r="A4197" s="85"/>
      <x:c r="B4197" s="86"/>
    </x:row>
    <x:row r="4198">
      <x:c r="A4198" s="85"/>
      <x:c r="B4198" s="86"/>
    </x:row>
    <x:row r="4199">
      <x:c r="A4199" s="85"/>
      <x:c r="B4199" s="86"/>
    </x:row>
    <x:row r="4200">
      <x:c r="A4200" s="85"/>
      <x:c r="B4200" s="86"/>
    </x:row>
    <x:row r="4201">
      <x:c r="A4201" s="85"/>
      <x:c r="B4201" s="86"/>
    </x:row>
    <x:row r="4202">
      <x:c r="A4202" s="85"/>
      <x:c r="B4202" s="86"/>
    </x:row>
    <x:row r="4203">
      <x:c r="A4203" s="85"/>
      <x:c r="B4203" s="86"/>
    </x:row>
    <x:row r="4204">
      <x:c r="A4204" s="85"/>
      <x:c r="B4204" s="86"/>
    </x:row>
    <x:row r="4205">
      <x:c r="A4205" s="85"/>
      <x:c r="B4205" s="86"/>
    </x:row>
    <x:row r="4206">
      <x:c r="A4206" s="85"/>
      <x:c r="B4206" s="86"/>
    </x:row>
    <x:row r="4207">
      <x:c r="A4207" s="85"/>
      <x:c r="B4207" s="86"/>
    </x:row>
    <x:row r="4208">
      <x:c r="A4208" s="85"/>
      <x:c r="B4208" s="86"/>
    </x:row>
    <x:row r="4209">
      <x:c r="A4209" s="85"/>
      <x:c r="B4209" s="86"/>
    </x:row>
    <x:row r="4210">
      <x:c r="A4210" s="85"/>
      <x:c r="B4210" s="86"/>
    </x:row>
    <x:row r="4211">
      <x:c r="A4211" s="85"/>
      <x:c r="B4211" s="86"/>
    </x:row>
    <x:row r="4212">
      <x:c r="A4212" s="85"/>
      <x:c r="B4212" s="86"/>
    </x:row>
    <x:row r="4213">
      <x:c r="A4213" s="85"/>
      <x:c r="B4213" s="86"/>
    </x:row>
    <x:row r="4214">
      <x:c r="A4214" s="85"/>
      <x:c r="B4214" s="86"/>
    </x:row>
    <x:row r="4215">
      <x:c r="A4215" s="85"/>
      <x:c r="B4215" s="86"/>
    </x:row>
    <x:row r="4216">
      <x:c r="A4216" s="85"/>
      <x:c r="B4216" s="86"/>
    </x:row>
    <x:row r="4217">
      <x:c r="A4217" s="85"/>
      <x:c r="B4217" s="86"/>
    </x:row>
    <x:row r="4218">
      <x:c r="A4218" s="85"/>
      <x:c r="B4218" s="86"/>
    </x:row>
    <x:row r="4219">
      <x:c r="A4219" s="85"/>
      <x:c r="B4219" s="86"/>
    </x:row>
    <x:row r="4220">
      <x:c r="A4220" s="85"/>
      <x:c r="B4220" s="86"/>
    </x:row>
    <x:row r="4221">
      <x:c r="A4221" s="85"/>
      <x:c r="B4221" s="86"/>
    </x:row>
    <x:row r="4222">
      <x:c r="A4222" s="85"/>
      <x:c r="B4222" s="86"/>
    </x:row>
    <x:row r="4223">
      <x:c r="A4223" s="85"/>
      <x:c r="B4223" s="86"/>
    </x:row>
    <x:row r="4224">
      <x:c r="A4224" s="85"/>
      <x:c r="B4224" s="86"/>
    </x:row>
    <x:row r="4225">
      <x:c r="A4225" s="85"/>
      <x:c r="B4225" s="86"/>
    </x:row>
    <x:row r="4226">
      <x:c r="A4226" s="85"/>
      <x:c r="B4226" s="86"/>
    </x:row>
    <x:row r="4227">
      <x:c r="A4227" s="85"/>
      <x:c r="B4227" s="86"/>
    </x:row>
    <x:row r="4228">
      <x:c r="A4228" s="85"/>
      <x:c r="B4228" s="86"/>
    </x:row>
    <x:row r="4229">
      <x:c r="A4229" s="85"/>
      <x:c r="B4229" s="86"/>
    </x:row>
    <x:row r="4230">
      <x:c r="A4230" s="85"/>
      <x:c r="B4230" s="86"/>
    </x:row>
    <x:row r="4231">
      <x:c r="A4231" s="85"/>
      <x:c r="B4231" s="86"/>
    </x:row>
    <x:row r="4232">
      <x:c r="A4232" s="85"/>
      <x:c r="B4232" s="86"/>
    </x:row>
    <x:row r="4233">
      <x:c r="A4233" s="85"/>
      <x:c r="B4233" s="86"/>
    </x:row>
    <x:row r="4234">
      <x:c r="A4234" s="85"/>
      <x:c r="B4234" s="86"/>
    </x:row>
    <x:row r="4235">
      <x:c r="A4235" s="85"/>
      <x:c r="B4235" s="86"/>
    </x:row>
    <x:row r="4236">
      <x:c r="A4236" s="85"/>
      <x:c r="B4236" s="86"/>
    </x:row>
    <x:row r="4237">
      <x:c r="A4237" s="85"/>
      <x:c r="B4237" s="86"/>
    </x:row>
    <x:row r="4238">
      <x:c r="A4238" s="85"/>
      <x:c r="B4238" s="86"/>
    </x:row>
    <x:row r="4239">
      <x:c r="A4239" s="85"/>
      <x:c r="B4239" s="86"/>
    </x:row>
    <x:row r="4240">
      <x:c r="A4240" s="85"/>
      <x:c r="B4240" s="86"/>
    </x:row>
    <x:row r="4241">
      <x:c r="A4241" s="85"/>
      <x:c r="B4241" s="86"/>
    </x:row>
    <x:row r="4242">
      <x:c r="A4242" s="85"/>
      <x:c r="B4242" s="86"/>
    </x:row>
    <x:row r="4243">
      <x:c r="A4243" s="85"/>
      <x:c r="B4243" s="86"/>
    </x:row>
    <x:row r="4244">
      <x:c r="A4244" s="85"/>
      <x:c r="B4244" s="86"/>
    </x:row>
    <x:row r="4245">
      <x:c r="A4245" s="85"/>
      <x:c r="B4245" s="86"/>
    </x:row>
    <x:row r="4246">
      <x:c r="A4246" s="85"/>
      <x:c r="B4246" s="86"/>
    </x:row>
    <x:row r="4247">
      <x:c r="A4247" s="85"/>
      <x:c r="B4247" s="86"/>
    </x:row>
    <x:row r="4248">
      <x:c r="A4248" s="85"/>
      <x:c r="B4248" s="86"/>
    </x:row>
    <x:row r="4249">
      <x:c r="A4249" s="85"/>
      <x:c r="B4249" s="86"/>
    </x:row>
    <x:row r="4250">
      <x:c r="A4250" s="85"/>
      <x:c r="B4250" s="86"/>
    </x:row>
    <x:row r="4251">
      <x:c r="A4251" s="85"/>
      <x:c r="B4251" s="86"/>
    </x:row>
    <x:row r="4252">
      <x:c r="A4252" s="85"/>
      <x:c r="B4252" s="86"/>
    </x:row>
    <x:row r="4253">
      <x:c r="A4253" s="85"/>
      <x:c r="B4253" s="86"/>
    </x:row>
    <x:row r="4254">
      <x:c r="A4254" s="85"/>
      <x:c r="B4254" s="86"/>
    </x:row>
    <x:row r="4255">
      <x:c r="A4255" s="85"/>
      <x:c r="B4255" s="86"/>
    </x:row>
    <x:row r="4256">
      <x:c r="A4256" s="85"/>
      <x:c r="B4256" s="86"/>
    </x:row>
    <x:row r="4257">
      <x:c r="A4257" s="85"/>
      <x:c r="B4257" s="86"/>
    </x:row>
    <x:row r="4258">
      <x:c r="A4258" s="85"/>
      <x:c r="B4258" s="86"/>
    </x:row>
    <x:row r="4259">
      <x:c r="A4259" s="85"/>
      <x:c r="B4259" s="86"/>
    </x:row>
    <x:row r="4260">
      <x:c r="A4260" s="85"/>
      <x:c r="B4260" s="86"/>
    </x:row>
    <x:row r="4261">
      <x:c r="A4261" s="85"/>
      <x:c r="B4261" s="86"/>
    </x:row>
    <x:row r="4262">
      <x:c r="A4262" s="85"/>
      <x:c r="B4262" s="86"/>
    </x:row>
    <x:row r="4263">
      <x:c r="A4263" s="85"/>
      <x:c r="B4263" s="86"/>
    </x:row>
    <x:row r="4264">
      <x:c r="A4264" s="85"/>
      <x:c r="B4264" s="86"/>
    </x:row>
    <x:row r="4265">
      <x:c r="A4265" s="85"/>
      <x:c r="B4265" s="86"/>
    </x:row>
    <x:row r="4266">
      <x:c r="A4266" s="85"/>
      <x:c r="B4266" s="86"/>
    </x:row>
    <x:row r="4267">
      <x:c r="A4267" s="85"/>
      <x:c r="B4267" s="86"/>
    </x:row>
    <x:row r="4268">
      <x:c r="A4268" s="85"/>
      <x:c r="B4268" s="86"/>
    </x:row>
    <x:row r="4269">
      <x:c r="A4269" s="85"/>
      <x:c r="B4269" s="86"/>
    </x:row>
    <x:row r="4270">
      <x:c r="A4270" s="85"/>
      <x:c r="B4270" s="86"/>
    </x:row>
    <x:row r="4271">
      <x:c r="A4271" s="85"/>
      <x:c r="B4271" s="86"/>
    </x:row>
    <x:row r="4272">
      <x:c r="A4272" s="85"/>
      <x:c r="B4272" s="86"/>
    </x:row>
    <x:row r="4273">
      <x:c r="A4273" s="85"/>
      <x:c r="B4273" s="86"/>
    </x:row>
    <x:row r="4274">
      <x:c r="A4274" s="85"/>
      <x:c r="B4274" s="86"/>
    </x:row>
    <x:row r="4275">
      <x:c r="A4275" s="85"/>
      <x:c r="B4275" s="86"/>
    </x:row>
    <x:row r="4276">
      <x:c r="A4276" s="85"/>
      <x:c r="B4276" s="86"/>
    </x:row>
    <x:row r="4277">
      <x:c r="A4277" s="85"/>
      <x:c r="B4277" s="86"/>
    </x:row>
    <x:row r="4278">
      <x:c r="A4278" s="85"/>
      <x:c r="B4278" s="86"/>
    </x:row>
    <x:row r="4279">
      <x:c r="A4279" s="85"/>
      <x:c r="B4279" s="86"/>
    </x:row>
    <x:row r="4280">
      <x:c r="A4280" s="85"/>
      <x:c r="B4280" s="86"/>
    </x:row>
    <x:row r="4281">
      <x:c r="A4281" s="85"/>
      <x:c r="B4281" s="86"/>
    </x:row>
    <x:row r="4282">
      <x:c r="A4282" s="85"/>
      <x:c r="B4282" s="86"/>
    </x:row>
    <x:row r="4283">
      <x:c r="A4283" s="85"/>
      <x:c r="B4283" s="86"/>
    </x:row>
    <x:row r="4284">
      <x:c r="A4284" s="85"/>
      <x:c r="B4284" s="86"/>
    </x:row>
    <x:row r="4285">
      <x:c r="A4285" s="85"/>
      <x:c r="B4285" s="86"/>
    </x:row>
    <x:row r="4286">
      <x:c r="A4286" s="85"/>
      <x:c r="B4286" s="86"/>
    </x:row>
    <x:row r="4287">
      <x:c r="A4287" s="85"/>
      <x:c r="B4287" s="86"/>
    </x:row>
    <x:row r="4288">
      <x:c r="A4288" s="85"/>
      <x:c r="B4288" s="86"/>
    </x:row>
    <x:row r="4289">
      <x:c r="A4289" s="85"/>
      <x:c r="B4289" s="86"/>
    </x:row>
    <x:row r="4290">
      <x:c r="A4290" s="85"/>
      <x:c r="B4290" s="86"/>
    </x:row>
    <x:row r="4291">
      <x:c r="A4291" s="85"/>
      <x:c r="B4291" s="86"/>
    </x:row>
    <x:row r="4292">
      <x:c r="A4292" s="85"/>
      <x:c r="B4292" s="86"/>
    </x:row>
    <x:row r="4293">
      <x:c r="A4293" s="85"/>
      <x:c r="B4293" s="86"/>
    </x:row>
    <x:row r="4294">
      <x:c r="A4294" s="85"/>
      <x:c r="B4294" s="86"/>
    </x:row>
    <x:row r="4295">
      <x:c r="A4295" s="85"/>
      <x:c r="B4295" s="86"/>
    </x:row>
    <x:row r="4296">
      <x:c r="A4296" s="85"/>
      <x:c r="B4296" s="86"/>
    </x:row>
    <x:row r="4297">
      <x:c r="A4297" s="85"/>
      <x:c r="B4297" s="86"/>
    </x:row>
    <x:row r="4298">
      <x:c r="A4298" s="85"/>
      <x:c r="B4298" s="86"/>
    </x:row>
    <x:row r="4299">
      <x:c r="A4299" s="85"/>
      <x:c r="B4299" s="86"/>
    </x:row>
    <x:row r="4300">
      <x:c r="A4300" s="85"/>
      <x:c r="B4300" s="86"/>
    </x:row>
    <x:row r="4301">
      <x:c r="A4301" s="85"/>
      <x:c r="B4301" s="86"/>
    </x:row>
    <x:row r="4302">
      <x:c r="A4302" s="85"/>
      <x:c r="B4302" s="86"/>
    </x:row>
    <x:row r="4303">
      <x:c r="A4303" s="85"/>
      <x:c r="B4303" s="86"/>
    </x:row>
    <x:row r="4304">
      <x:c r="A4304" s="85"/>
      <x:c r="B4304" s="86"/>
    </x:row>
    <x:row r="4305">
      <x:c r="A4305" s="85"/>
      <x:c r="B4305" s="86"/>
    </x:row>
    <x:row r="4306">
      <x:c r="A4306" s="85"/>
      <x:c r="B4306" s="86"/>
    </x:row>
    <x:row r="4307">
      <x:c r="A4307" s="85"/>
      <x:c r="B4307" s="86"/>
    </x:row>
    <x:row r="4308">
      <x:c r="A4308" s="85"/>
      <x:c r="B4308" s="86"/>
    </x:row>
    <x:row r="4309">
      <x:c r="A4309" s="85"/>
      <x:c r="B4309" s="86"/>
    </x:row>
    <x:row r="4310">
      <x:c r="A4310" s="85"/>
      <x:c r="B4310" s="86"/>
    </x:row>
    <x:row r="4311">
      <x:c r="A4311" s="85"/>
      <x:c r="B4311" s="86"/>
    </x:row>
    <x:row r="4312">
      <x:c r="A4312" s="85"/>
      <x:c r="B4312" s="86"/>
    </x:row>
    <x:row r="4313">
      <x:c r="A4313" s="85"/>
      <x:c r="B4313" s="86"/>
    </x:row>
    <x:row r="4314">
      <x:c r="A4314" s="85"/>
      <x:c r="B4314" s="86"/>
    </x:row>
    <x:row r="4315">
      <x:c r="A4315" s="85"/>
      <x:c r="B4315" s="86"/>
    </x:row>
    <x:row r="4316">
      <x:c r="A4316" s="85"/>
      <x:c r="B4316" s="86"/>
    </x:row>
    <x:row r="4317">
      <x:c r="A4317" s="85"/>
      <x:c r="B4317" s="86"/>
    </x:row>
    <x:row r="4318">
      <x:c r="A4318" s="85"/>
      <x:c r="B4318" s="86"/>
    </x:row>
    <x:row r="4319">
      <x:c r="A4319" s="85"/>
      <x:c r="B4319" s="86"/>
    </x:row>
    <x:row r="4320">
      <x:c r="A4320" s="85"/>
      <x:c r="B4320" s="86"/>
    </x:row>
    <x:row r="4321">
      <x:c r="A4321" s="85"/>
      <x:c r="B4321" s="86"/>
    </x:row>
    <x:row r="4322">
      <x:c r="A4322" s="85"/>
      <x:c r="B4322" s="86"/>
    </x:row>
    <x:row r="4323">
      <x:c r="A4323" s="85"/>
      <x:c r="B4323" s="86"/>
    </x:row>
    <x:row r="4324">
      <x:c r="A4324" s="85"/>
      <x:c r="B4324" s="86"/>
    </x:row>
    <x:row r="4325">
      <x:c r="A4325" s="85"/>
      <x:c r="B4325" s="86"/>
    </x:row>
    <x:row r="4326">
      <x:c r="A4326" s="85"/>
      <x:c r="B4326" s="86"/>
    </x:row>
    <x:row r="4327">
      <x:c r="A4327" s="85"/>
      <x:c r="B4327" s="86"/>
    </x:row>
    <x:row r="4328">
      <x:c r="A4328" s="85"/>
      <x:c r="B4328" s="86"/>
    </x:row>
    <x:row r="4329">
      <x:c r="A4329" s="85"/>
      <x:c r="B4329" s="86"/>
    </x:row>
    <x:row r="4330">
      <x:c r="A4330" s="85"/>
      <x:c r="B4330" s="86"/>
    </x:row>
    <x:row r="4331">
      <x:c r="A4331" s="85"/>
      <x:c r="B4331" s="86"/>
    </x:row>
    <x:row r="4332">
      <x:c r="A4332" s="85"/>
      <x:c r="B4332" s="86"/>
    </x:row>
    <x:row r="4333">
      <x:c r="A4333" s="85"/>
      <x:c r="B4333" s="86"/>
    </x:row>
    <x:row r="4334">
      <x:c r="A4334" s="85"/>
      <x:c r="B4334" s="86"/>
    </x:row>
    <x:row r="4335">
      <x:c r="A4335" s="85"/>
      <x:c r="B4335" s="86"/>
    </x:row>
    <x:row r="4336">
      <x:c r="A4336" s="85"/>
      <x:c r="B4336" s="86"/>
    </x:row>
    <x:row r="4337">
      <x:c r="A4337" s="85"/>
      <x:c r="B4337" s="86"/>
    </x:row>
    <x:row r="4338">
      <x:c r="A4338" s="85"/>
      <x:c r="B4338" s="86"/>
    </x:row>
    <x:row r="4339">
      <x:c r="A4339" s="85"/>
      <x:c r="B4339" s="86"/>
    </x:row>
    <x:row r="4340">
      <x:c r="A4340" s="85"/>
      <x:c r="B4340" s="86"/>
    </x:row>
    <x:row r="4341">
      <x:c r="A4341" s="85"/>
      <x:c r="B4341" s="86"/>
    </x:row>
    <x:row r="4342">
      <x:c r="A4342" s="85"/>
      <x:c r="B4342" s="86"/>
    </x:row>
    <x:row r="4343">
      <x:c r="A4343" s="85"/>
      <x:c r="B4343" s="86"/>
    </x:row>
    <x:row r="4344">
      <x:c r="A4344" s="85"/>
      <x:c r="B4344" s="86"/>
    </x:row>
    <x:row r="4345">
      <x:c r="A4345" s="85"/>
      <x:c r="B4345" s="86"/>
    </x:row>
    <x:row r="4346">
      <x:c r="A4346" s="85"/>
      <x:c r="B4346" s="86"/>
    </x:row>
    <x:row r="4347">
      <x:c r="A4347" s="85"/>
      <x:c r="B4347" s="86"/>
    </x:row>
    <x:row r="4348">
      <x:c r="A4348" s="85"/>
      <x:c r="B4348" s="86"/>
    </x:row>
    <x:row r="4349">
      <x:c r="A4349" s="85"/>
      <x:c r="B4349" s="86"/>
    </x:row>
    <x:row r="4350">
      <x:c r="A4350" s="85"/>
      <x:c r="B4350" s="86"/>
    </x:row>
    <x:row r="4351">
      <x:c r="A4351" s="85"/>
      <x:c r="B4351" s="86"/>
    </x:row>
    <x:row r="4352">
      <x:c r="A4352" s="85"/>
      <x:c r="B4352" s="86"/>
    </x:row>
    <x:row r="4353">
      <x:c r="A4353" s="85"/>
      <x:c r="B4353" s="86"/>
    </x:row>
    <x:row r="4354">
      <x:c r="A4354" s="85"/>
      <x:c r="B4354" s="86"/>
    </x:row>
    <x:row r="4355">
      <x:c r="A4355" s="85"/>
      <x:c r="B4355" s="86"/>
    </x:row>
    <x:row r="4356">
      <x:c r="A4356" s="85"/>
      <x:c r="B4356" s="86"/>
    </x:row>
    <x:row r="4357">
      <x:c r="A4357" s="85"/>
      <x:c r="B4357" s="86"/>
    </x:row>
    <x:row r="4358">
      <x:c r="A4358" s="85"/>
      <x:c r="B4358" s="86"/>
    </x:row>
    <x:row r="4359">
      <x:c r="A4359" s="85"/>
      <x:c r="B4359" s="86"/>
    </x:row>
    <x:row r="4360">
      <x:c r="A4360" s="85"/>
      <x:c r="B4360" s="86"/>
    </x:row>
    <x:row r="4361">
      <x:c r="A4361" s="85"/>
      <x:c r="B4361" s="86"/>
    </x:row>
    <x:row r="4362">
      <x:c r="A4362" s="85"/>
      <x:c r="B4362" s="86"/>
    </x:row>
    <x:row r="4363">
      <x:c r="A4363" s="85"/>
      <x:c r="B4363" s="86"/>
    </x:row>
    <x:row r="4364">
      <x:c r="A4364" s="85"/>
      <x:c r="B4364" s="86"/>
    </x:row>
    <x:row r="4365">
      <x:c r="A4365" s="85"/>
      <x:c r="B4365" s="86"/>
    </x:row>
    <x:row r="4366">
      <x:c r="A4366" s="85"/>
      <x:c r="B4366" s="86"/>
    </x:row>
    <x:row r="4367">
      <x:c r="A4367" s="85"/>
      <x:c r="B4367" s="86"/>
    </x:row>
    <x:row r="4368">
      <x:c r="A4368" s="85"/>
      <x:c r="B4368" s="86"/>
    </x:row>
    <x:row r="4369">
      <x:c r="A4369" s="85"/>
      <x:c r="B4369" s="86"/>
    </x:row>
    <x:row r="4370">
      <x:c r="A4370" s="85"/>
      <x:c r="B4370" s="86"/>
    </x:row>
    <x:row r="4371">
      <x:c r="A4371" s="85"/>
      <x:c r="B4371" s="86"/>
    </x:row>
    <x:row r="4372">
      <x:c r="A4372" s="85"/>
      <x:c r="B4372" s="86"/>
    </x:row>
    <x:row r="4373">
      <x:c r="A4373" s="85"/>
      <x:c r="B4373" s="86"/>
    </x:row>
    <x:row r="4374">
      <x:c r="A4374" s="85"/>
      <x:c r="B4374" s="86"/>
    </x:row>
    <x:row r="4375">
      <x:c r="A4375" s="85"/>
      <x:c r="B4375" s="86"/>
    </x:row>
    <x:row r="4376">
      <x:c r="A4376" s="85"/>
      <x:c r="B4376" s="86"/>
    </x:row>
    <x:row r="4377">
      <x:c r="A4377" s="85"/>
      <x:c r="B4377" s="86"/>
    </x:row>
    <x:row r="4378">
      <x:c r="A4378" s="85"/>
      <x:c r="B4378" s="86"/>
    </x:row>
    <x:row r="4379">
      <x:c r="A4379" s="85"/>
      <x:c r="B4379" s="86"/>
    </x:row>
    <x:row r="4380">
      <x:c r="A4380" s="85"/>
      <x:c r="B4380" s="86"/>
    </x:row>
    <x:row r="4381">
      <x:c r="A4381" s="85"/>
      <x:c r="B4381" s="86"/>
    </x:row>
    <x:row r="4382">
      <x:c r="A4382" s="85"/>
      <x:c r="B4382" s="86"/>
    </x:row>
    <x:row r="4383">
      <x:c r="A4383" s="85"/>
      <x:c r="B4383" s="86"/>
    </x:row>
    <x:row r="4384">
      <x:c r="A4384" s="85"/>
      <x:c r="B4384" s="86"/>
    </x:row>
    <x:row r="4385">
      <x:c r="A4385" s="85"/>
      <x:c r="B4385" s="86"/>
    </x:row>
    <x:row r="4386">
      <x:c r="A4386" s="85"/>
      <x:c r="B4386" s="86"/>
    </x:row>
    <x:row r="4387">
      <x:c r="A4387" s="85"/>
      <x:c r="B4387" s="86"/>
    </x:row>
    <x:row r="4388">
      <x:c r="A4388" s="85"/>
      <x:c r="B4388" s="86"/>
    </x:row>
    <x:row r="4389">
      <x:c r="A4389" s="85"/>
      <x:c r="B4389" s="86"/>
    </x:row>
    <x:row r="4390">
      <x:c r="A4390" s="85"/>
      <x:c r="B4390" s="86"/>
    </x:row>
    <x:row r="4391">
      <x:c r="A4391" s="85"/>
      <x:c r="B4391" s="86"/>
    </x:row>
    <x:row r="4392">
      <x:c r="A4392" s="85"/>
      <x:c r="B4392" s="86"/>
    </x:row>
    <x:row r="4393">
      <x:c r="A4393" s="85"/>
      <x:c r="B4393" s="86"/>
    </x:row>
    <x:row r="4394">
      <x:c r="A4394" s="85"/>
      <x:c r="B4394" s="86"/>
    </x:row>
    <x:row r="4395">
      <x:c r="A4395" s="85"/>
      <x:c r="B4395" s="86"/>
    </x:row>
    <x:row r="4396">
      <x:c r="A4396" s="85"/>
      <x:c r="B4396" s="86"/>
    </x:row>
    <x:row r="4397">
      <x:c r="A4397" s="85"/>
      <x:c r="B4397" s="86"/>
    </x:row>
    <x:row r="4398">
      <x:c r="A4398" s="85"/>
      <x:c r="B4398" s="86"/>
    </x:row>
    <x:row r="4399">
      <x:c r="A4399" s="85"/>
      <x:c r="B4399" s="86"/>
    </x:row>
    <x:row r="4400">
      <x:c r="A4400" s="85"/>
      <x:c r="B4400" s="86"/>
    </x:row>
    <x:row r="4401">
      <x:c r="A4401" s="85"/>
      <x:c r="B4401" s="86"/>
    </x:row>
    <x:row r="4402">
      <x:c r="A4402" s="85"/>
      <x:c r="B4402" s="86"/>
    </x:row>
    <x:row r="4403">
      <x:c r="A4403" s="85"/>
      <x:c r="B4403" s="86"/>
    </x:row>
    <x:row r="4404">
      <x:c r="A4404" s="85"/>
      <x:c r="B4404" s="86"/>
    </x:row>
    <x:row r="4405">
      <x:c r="A4405" s="85"/>
      <x:c r="B4405" s="86"/>
    </x:row>
    <x:row r="4406">
      <x:c r="A4406" s="85"/>
      <x:c r="B4406" s="86"/>
    </x:row>
    <x:row r="4407">
      <x:c r="A4407" s="85"/>
      <x:c r="B4407" s="86"/>
    </x:row>
    <x:row r="4408">
      <x:c r="A4408" s="85"/>
      <x:c r="B4408" s="86"/>
    </x:row>
    <x:row r="4409">
      <x:c r="A4409" s="85"/>
      <x:c r="B4409" s="86"/>
    </x:row>
    <x:row r="4410">
      <x:c r="A4410" s="85"/>
      <x:c r="B4410" s="86"/>
    </x:row>
    <x:row r="4411">
      <x:c r="A4411" s="85"/>
      <x:c r="B4411" s="86"/>
    </x:row>
    <x:row r="4412">
      <x:c r="A4412" s="85"/>
      <x:c r="B4412" s="86"/>
    </x:row>
    <x:row r="4413">
      <x:c r="A4413" s="85"/>
      <x:c r="B4413" s="86"/>
    </x:row>
    <x:row r="4414">
      <x:c r="A4414" s="85"/>
      <x:c r="B4414" s="86"/>
    </x:row>
    <x:row r="4415">
      <x:c r="A4415" s="85"/>
      <x:c r="B4415" s="86"/>
    </x:row>
    <x:row r="4416">
      <x:c r="A4416" s="85"/>
      <x:c r="B4416" s="86"/>
    </x:row>
    <x:row r="4417">
      <x:c r="A4417" s="85"/>
      <x:c r="B4417" s="86"/>
    </x:row>
    <x:row r="4418">
      <x:c r="A4418" s="85"/>
      <x:c r="B4418" s="86"/>
    </x:row>
    <x:row r="4419">
      <x:c r="A4419" s="85"/>
      <x:c r="B4419" s="86"/>
    </x:row>
    <x:row r="4420">
      <x:c r="A4420" s="85"/>
      <x:c r="B4420" s="86"/>
    </x:row>
    <x:row r="4421">
      <x:c r="A4421" s="85"/>
      <x:c r="B4421" s="86"/>
    </x:row>
    <x:row r="4422">
      <x:c r="A4422" s="85"/>
      <x:c r="B4422" s="86"/>
    </x:row>
    <x:row r="4423">
      <x:c r="A4423" s="85"/>
      <x:c r="B4423" s="86"/>
    </x:row>
    <x:row r="4424">
      <x:c r="A4424" s="85"/>
      <x:c r="B4424" s="86"/>
    </x:row>
    <x:row r="4425">
      <x:c r="A4425" s="85"/>
      <x:c r="B4425" s="86"/>
    </x:row>
    <x:row r="4426">
      <x:c r="A4426" s="85"/>
      <x:c r="B4426" s="86"/>
    </x:row>
    <x:row r="4427">
      <x:c r="A4427" s="85"/>
      <x:c r="B4427" s="86"/>
    </x:row>
    <x:row r="4428">
      <x:c r="A4428" s="85"/>
      <x:c r="B4428" s="86"/>
    </x:row>
    <x:row r="4429">
      <x:c r="A4429" s="85"/>
      <x:c r="B4429" s="86"/>
    </x:row>
    <x:row r="4430">
      <x:c r="A4430" s="85"/>
      <x:c r="B4430" s="86"/>
    </x:row>
    <x:row r="4431">
      <x:c r="A4431" s="85"/>
      <x:c r="B4431" s="86"/>
    </x:row>
    <x:row r="4432">
      <x:c r="A4432" s="85"/>
      <x:c r="B4432" s="86"/>
    </x:row>
    <x:row r="4433">
      <x:c r="A4433" s="85"/>
      <x:c r="B4433" s="86"/>
    </x:row>
    <x:row r="4434">
      <x:c r="A4434" s="85"/>
      <x:c r="B4434" s="86"/>
    </x:row>
    <x:row r="4435">
      <x:c r="A4435" s="85"/>
      <x:c r="B4435" s="86"/>
    </x:row>
    <x:row r="4436">
      <x:c r="A4436" s="85"/>
      <x:c r="B4436" s="86"/>
    </x:row>
    <x:row r="4437">
      <x:c r="A4437" s="85"/>
      <x:c r="B4437" s="86"/>
    </x:row>
    <x:row r="4438">
      <x:c r="A4438" s="85"/>
      <x:c r="B4438" s="86"/>
    </x:row>
    <x:row r="4439">
      <x:c r="A4439" s="85"/>
      <x:c r="B4439" s="86"/>
    </x:row>
    <x:row r="4440">
      <x:c r="A4440" s="85"/>
      <x:c r="B4440" s="86"/>
    </x:row>
    <x:row r="4441">
      <x:c r="A4441" s="85"/>
      <x:c r="B4441" s="86"/>
    </x:row>
    <x:row r="4442">
      <x:c r="A4442" s="85"/>
      <x:c r="B4442" s="86"/>
    </x:row>
    <x:row r="4443">
      <x:c r="A4443" s="85"/>
      <x:c r="B4443" s="86"/>
    </x:row>
    <x:row r="4444">
      <x:c r="A4444" s="85"/>
      <x:c r="B4444" s="86"/>
    </x:row>
    <x:row r="4445">
      <x:c r="A4445" s="85"/>
      <x:c r="B4445" s="86"/>
    </x:row>
    <x:row r="4446">
      <x:c r="A4446" s="85"/>
      <x:c r="B4446" s="86"/>
    </x:row>
    <x:row r="4447">
      <x:c r="A4447" s="85"/>
      <x:c r="B4447" s="86"/>
    </x:row>
    <x:row r="4448">
      <x:c r="A4448" s="85"/>
      <x:c r="B4448" s="86"/>
    </x:row>
    <x:row r="4449">
      <x:c r="A4449" s="85"/>
      <x:c r="B4449" s="86"/>
    </x:row>
    <x:row r="4450">
      <x:c r="A4450" s="85"/>
      <x:c r="B4450" s="86"/>
    </x:row>
    <x:row r="4451">
      <x:c r="A4451" s="85"/>
      <x:c r="B4451" s="86"/>
    </x:row>
    <x:row r="4452">
      <x:c r="A4452" s="85"/>
      <x:c r="B4452" s="86"/>
    </x:row>
    <x:row r="4453">
      <x:c r="A4453" s="85"/>
      <x:c r="B4453" s="86"/>
    </x:row>
    <x:row r="4454">
      <x:c r="A4454" s="85"/>
      <x:c r="B4454" s="86"/>
    </x:row>
    <x:row r="4455">
      <x:c r="A4455" s="85"/>
      <x:c r="B4455" s="86"/>
    </x:row>
    <x:row r="4456">
      <x:c r="A4456" s="85"/>
      <x:c r="B4456" s="86"/>
    </x:row>
    <x:row r="4457">
      <x:c r="A4457" s="85"/>
      <x:c r="B4457" s="86"/>
    </x:row>
    <x:row r="4458">
      <x:c r="A4458" s="85"/>
      <x:c r="B4458" s="86"/>
    </x:row>
    <x:row r="4459">
      <x:c r="A4459" s="85"/>
      <x:c r="B4459" s="86"/>
    </x:row>
    <x:row r="4460">
      <x:c r="A4460" s="85"/>
      <x:c r="B4460" s="86"/>
    </x:row>
    <x:row r="4461">
      <x:c r="A4461" s="85"/>
      <x:c r="B4461" s="86"/>
    </x:row>
    <x:row r="4462">
      <x:c r="A4462" s="85"/>
      <x:c r="B4462" s="86"/>
    </x:row>
    <x:row r="4463">
      <x:c r="A4463" s="85"/>
      <x:c r="B4463" s="86"/>
    </x:row>
    <x:row r="4464">
      <x:c r="A4464" s="85"/>
      <x:c r="B4464" s="86"/>
    </x:row>
    <x:row r="4465">
      <x:c r="A4465" s="85"/>
      <x:c r="B4465" s="86"/>
    </x:row>
    <x:row r="4466">
      <x:c r="A4466" s="85"/>
      <x:c r="B4466" s="86"/>
    </x:row>
    <x:row r="4467">
      <x:c r="A4467" s="85"/>
      <x:c r="B4467" s="86"/>
    </x:row>
    <x:row r="4468">
      <x:c r="A4468" s="85"/>
      <x:c r="B4468" s="86"/>
    </x:row>
    <x:row r="4469">
      <x:c r="A4469" s="85"/>
      <x:c r="B4469" s="86"/>
    </x:row>
    <x:row r="4470">
      <x:c r="A4470" s="85"/>
      <x:c r="B4470" s="86"/>
    </x:row>
    <x:row r="4471">
      <x:c r="A4471" s="85"/>
      <x:c r="B4471" s="86"/>
    </x:row>
    <x:row r="4472">
      <x:c r="A4472" s="85"/>
      <x:c r="B4472" s="86"/>
    </x:row>
    <x:row r="4473">
      <x:c r="A4473" s="85"/>
      <x:c r="B4473" s="86"/>
    </x:row>
    <x:row r="4474">
      <x:c r="A4474" s="85"/>
      <x:c r="B4474" s="86"/>
    </x:row>
    <x:row r="4475">
      <x:c r="A4475" s="85"/>
      <x:c r="B4475" s="86"/>
    </x:row>
    <x:row r="4476">
      <x:c r="A4476" s="85"/>
      <x:c r="B4476" s="86"/>
    </x:row>
    <x:row r="4477">
      <x:c r="A4477" s="85"/>
      <x:c r="B4477" s="86"/>
    </x:row>
    <x:row r="4478">
      <x:c r="A4478" s="85"/>
      <x:c r="B4478" s="86"/>
    </x:row>
    <x:row r="4479">
      <x:c r="A4479" s="85"/>
      <x:c r="B4479" s="86"/>
    </x:row>
    <x:row r="4480">
      <x:c r="A4480" s="85"/>
      <x:c r="B4480" s="86"/>
    </x:row>
    <x:row r="4481">
      <x:c r="A4481" s="85"/>
      <x:c r="B4481" s="86"/>
    </x:row>
    <x:row r="4482">
      <x:c r="A4482" s="85"/>
      <x:c r="B4482" s="86"/>
    </x:row>
    <x:row r="4483">
      <x:c r="A4483" s="85"/>
      <x:c r="B4483" s="86"/>
    </x:row>
    <x:row r="4484">
      <x:c r="A4484" s="85"/>
      <x:c r="B4484" s="86"/>
    </x:row>
    <x:row r="4485">
      <x:c r="A4485" s="85"/>
      <x:c r="B4485" s="86"/>
    </x:row>
    <x:row r="4486">
      <x:c r="A4486" s="85"/>
      <x:c r="B4486" s="86"/>
    </x:row>
    <x:row r="4487">
      <x:c r="A4487" s="85"/>
      <x:c r="B4487" s="86"/>
    </x:row>
    <x:row r="4488">
      <x:c r="A4488" s="85"/>
      <x:c r="B4488" s="86"/>
    </x:row>
    <x:row r="4489">
      <x:c r="A4489" s="85"/>
      <x:c r="B4489" s="86"/>
    </x:row>
    <x:row r="4490">
      <x:c r="A4490" s="85"/>
      <x:c r="B4490" s="86"/>
    </x:row>
    <x:row r="4491">
      <x:c r="A4491" s="85"/>
      <x:c r="B4491" s="86"/>
    </x:row>
    <x:row r="4492">
      <x:c r="A4492" s="85"/>
      <x:c r="B4492" s="86"/>
    </x:row>
    <x:row r="4493">
      <x:c r="A4493" s="85"/>
      <x:c r="B4493" s="86"/>
    </x:row>
    <x:row r="4494">
      <x:c r="A4494" s="85"/>
      <x:c r="B4494" s="86"/>
    </x:row>
    <x:row r="4495">
      <x:c r="A4495" s="85"/>
      <x:c r="B4495" s="86"/>
    </x:row>
    <x:row r="4496">
      <x:c r="A4496" s="85"/>
      <x:c r="B4496" s="86"/>
    </x:row>
    <x:row r="4497">
      <x:c r="A4497" s="85"/>
      <x:c r="B4497" s="86"/>
    </x:row>
    <x:row r="4498">
      <x:c r="A4498" s="85"/>
      <x:c r="B4498" s="86"/>
    </x:row>
    <x:row r="4499">
      <x:c r="A4499" s="85"/>
      <x:c r="B4499" s="86"/>
    </x:row>
    <x:row r="4500">
      <x:c r="A4500" s="85"/>
      <x:c r="B4500" s="86"/>
    </x:row>
    <x:row r="4501">
      <x:c r="A4501" s="85"/>
      <x:c r="B4501" s="86"/>
    </x:row>
    <x:row r="4502">
      <x:c r="A4502" s="85"/>
      <x:c r="B4502" s="86"/>
    </x:row>
    <x:row r="4503">
      <x:c r="A4503" s="85"/>
      <x:c r="B4503" s="86"/>
    </x:row>
    <x:row r="4504">
      <x:c r="A4504" s="85"/>
      <x:c r="B4504" s="86"/>
    </x:row>
    <x:row r="4505">
      <x:c r="A4505" s="85"/>
      <x:c r="B4505" s="86"/>
    </x:row>
    <x:row r="4506">
      <x:c r="A4506" s="85"/>
      <x:c r="B4506" s="86"/>
    </x:row>
    <x:row r="4507">
      <x:c r="A4507" s="85"/>
      <x:c r="B4507" s="86"/>
    </x:row>
    <x:row r="4508">
      <x:c r="A4508" s="85"/>
      <x:c r="B4508" s="86"/>
    </x:row>
    <x:row r="4509">
      <x:c r="A4509" s="85"/>
      <x:c r="B4509" s="86"/>
    </x:row>
    <x:row r="4510">
      <x:c r="A4510" s="85"/>
      <x:c r="B4510" s="86"/>
    </x:row>
    <x:row r="4511">
      <x:c r="A4511" s="85"/>
      <x:c r="B4511" s="86"/>
    </x:row>
    <x:row r="4512">
      <x:c r="A4512" s="85"/>
      <x:c r="B4512" s="86"/>
    </x:row>
    <x:row r="4513">
      <x:c r="A4513" s="85"/>
      <x:c r="B4513" s="86"/>
    </x:row>
    <x:row r="4514">
      <x:c r="A4514" s="85"/>
      <x:c r="B4514" s="86"/>
    </x:row>
    <x:row r="4515">
      <x:c r="A4515" s="85"/>
      <x:c r="B4515" s="86"/>
    </x:row>
    <x:row r="4516">
      <x:c r="A4516" s="85"/>
      <x:c r="B4516" s="86"/>
    </x:row>
    <x:row r="4517">
      <x:c r="A4517" s="85"/>
      <x:c r="B4517" s="86"/>
    </x:row>
    <x:row r="4518">
      <x:c r="A4518" s="85"/>
      <x:c r="B4518" s="86"/>
    </x:row>
    <x:row r="4519">
      <x:c r="A4519" s="85"/>
      <x:c r="B4519" s="86"/>
    </x:row>
    <x:row r="4520">
      <x:c r="A4520" s="85"/>
      <x:c r="B4520" s="86"/>
    </x:row>
    <x:row r="4521">
      <x:c r="A4521" s="85"/>
      <x:c r="B4521" s="86"/>
    </x:row>
    <x:row r="4522">
      <x:c r="A4522" s="85"/>
      <x:c r="B4522" s="86"/>
    </x:row>
    <x:row r="4523">
      <x:c r="A4523" s="85"/>
      <x:c r="B4523" s="86"/>
    </x:row>
    <x:row r="4524">
      <x:c r="A4524" s="85"/>
      <x:c r="B4524" s="86"/>
    </x:row>
    <x:row r="4525">
      <x:c r="A4525" s="85"/>
      <x:c r="B4525" s="86"/>
    </x:row>
    <x:row r="4526">
      <x:c r="A4526" s="85"/>
      <x:c r="B4526" s="86"/>
    </x:row>
    <x:row r="4527">
      <x:c r="A4527" s="85"/>
      <x:c r="B4527" s="86"/>
    </x:row>
    <x:row r="4528">
      <x:c r="A4528" s="85"/>
      <x:c r="B4528" s="86"/>
    </x:row>
    <x:row r="4529">
      <x:c r="A4529" s="85"/>
      <x:c r="B4529" s="86"/>
    </x:row>
    <x:row r="4530">
      <x:c r="A4530" s="85"/>
      <x:c r="B4530" s="86"/>
    </x:row>
    <x:row r="4531">
      <x:c r="A4531" s="85"/>
      <x:c r="B4531" s="86"/>
    </x:row>
    <x:row r="4532">
      <x:c r="A4532" s="85"/>
      <x:c r="B4532" s="86"/>
    </x:row>
    <x:row r="4533">
      <x:c r="A4533" s="85"/>
      <x:c r="B4533" s="86"/>
    </x:row>
    <x:row r="4534">
      <x:c r="A4534" s="85"/>
      <x:c r="B4534" s="86"/>
    </x:row>
    <x:row r="4535">
      <x:c r="A4535" s="85"/>
      <x:c r="B4535" s="86"/>
    </x:row>
    <x:row r="4536">
      <x:c r="A4536" s="85"/>
      <x:c r="B4536" s="86"/>
    </x:row>
    <x:row r="4537">
      <x:c r="A4537" s="85"/>
      <x:c r="B4537" s="86"/>
    </x:row>
    <x:row r="4538">
      <x:c r="A4538" s="85"/>
      <x:c r="B4538" s="86"/>
    </x:row>
    <x:row r="4539">
      <x:c r="A4539" s="85"/>
      <x:c r="B4539" s="86"/>
    </x:row>
    <x:row r="4540">
      <x:c r="A4540" s="85"/>
      <x:c r="B4540" s="86"/>
    </x:row>
    <x:row r="4541">
      <x:c r="A4541" s="85"/>
      <x:c r="B4541" s="86"/>
    </x:row>
    <x:row r="4542">
      <x:c r="A4542" s="85"/>
      <x:c r="B4542" s="86"/>
    </x:row>
    <x:row r="4543">
      <x:c r="A4543" s="85"/>
      <x:c r="B4543" s="86"/>
    </x:row>
    <x:row r="4544">
      <x:c r="A4544" s="85"/>
      <x:c r="B4544" s="86"/>
    </x:row>
    <x:row r="4545">
      <x:c r="A4545" s="85"/>
      <x:c r="B4545" s="86"/>
    </x:row>
    <x:row r="4546">
      <x:c r="A4546" s="85"/>
      <x:c r="B4546" s="86"/>
    </x:row>
    <x:row r="4547">
      <x:c r="A4547" s="85"/>
      <x:c r="B4547" s="86"/>
    </x:row>
    <x:row r="4548">
      <x:c r="A4548" s="85"/>
      <x:c r="B4548" s="86"/>
    </x:row>
    <x:row r="4549">
      <x:c r="A4549" s="85"/>
      <x:c r="B4549" s="86"/>
    </x:row>
    <x:row r="4550">
      <x:c r="A4550" s="85"/>
      <x:c r="B4550" s="86"/>
    </x:row>
    <x:row r="4551">
      <x:c r="A4551" s="85"/>
      <x:c r="B4551" s="86"/>
    </x:row>
    <x:row r="4552">
      <x:c r="A4552" s="85"/>
      <x:c r="B4552" s="86"/>
    </x:row>
    <x:row r="4553">
      <x:c r="A4553" s="85"/>
      <x:c r="B4553" s="86"/>
    </x:row>
    <x:row r="4554">
      <x:c r="A4554" s="85"/>
      <x:c r="B4554" s="86"/>
    </x:row>
    <x:row r="4555">
      <x:c r="A4555" s="85"/>
      <x:c r="B4555" s="86"/>
    </x:row>
    <x:row r="4556">
      <x:c r="A4556" s="85"/>
      <x:c r="B4556" s="86"/>
    </x:row>
    <x:row r="4557">
      <x:c r="A4557" s="85"/>
      <x:c r="B4557" s="86"/>
    </x:row>
    <x:row r="4558">
      <x:c r="A4558" s="85"/>
      <x:c r="B4558" s="86"/>
    </x:row>
    <x:row r="4559">
      <x:c r="A4559" s="85"/>
      <x:c r="B4559" s="86"/>
    </x:row>
    <x:row r="4560">
      <x:c r="A4560" s="85"/>
      <x:c r="B4560" s="86"/>
    </x:row>
    <x:row r="4561">
      <x:c r="A4561" s="85"/>
      <x:c r="B4561" s="86"/>
    </x:row>
    <x:row r="4562">
      <x:c r="A4562" s="85"/>
      <x:c r="B4562" s="86"/>
    </x:row>
    <x:row r="4563">
      <x:c r="A4563" s="85"/>
      <x:c r="B4563" s="86"/>
    </x:row>
    <x:row r="4564">
      <x:c r="A4564" s="85"/>
      <x:c r="B4564" s="86"/>
    </x:row>
    <x:row r="4565">
      <x:c r="A4565" s="85"/>
      <x:c r="B4565" s="86"/>
    </x:row>
    <x:row r="4566">
      <x:c r="A4566" s="85"/>
      <x:c r="B4566" s="86"/>
    </x:row>
    <x:row r="4567">
      <x:c r="A4567" s="85"/>
      <x:c r="B4567" s="86"/>
    </x:row>
    <x:row r="4568">
      <x:c r="A4568" s="85"/>
      <x:c r="B4568" s="86"/>
    </x:row>
    <x:row r="4569">
      <x:c r="A4569" s="85"/>
      <x:c r="B4569" s="86"/>
    </x:row>
    <x:row r="4570">
      <x:c r="A4570" s="85"/>
      <x:c r="B4570" s="86"/>
    </x:row>
    <x:row r="4571">
      <x:c r="A4571" s="85"/>
      <x:c r="B4571" s="86"/>
    </x:row>
    <x:row r="4572">
      <x:c r="A4572" s="85"/>
      <x:c r="B4572" s="86"/>
    </x:row>
    <x:row r="4573">
      <x:c r="A4573" s="85"/>
      <x:c r="B4573" s="86"/>
    </x:row>
    <x:row r="4574">
      <x:c r="A4574" s="85"/>
      <x:c r="B4574" s="86"/>
    </x:row>
    <x:row r="4575">
      <x:c r="A4575" s="85"/>
      <x:c r="B4575" s="86"/>
    </x:row>
    <x:row r="4576">
      <x:c r="A4576" s="85"/>
      <x:c r="B4576" s="86"/>
    </x:row>
    <x:row r="4577">
      <x:c r="A4577" s="85"/>
      <x:c r="B4577" s="86"/>
    </x:row>
    <x:row r="4578">
      <x:c r="A4578" s="85"/>
      <x:c r="B4578" s="86"/>
    </x:row>
    <x:row r="4579">
      <x:c r="A4579" s="85"/>
      <x:c r="B4579" s="86"/>
    </x:row>
    <x:row r="4580">
      <x:c r="A4580" s="85"/>
      <x:c r="B4580" s="86"/>
    </x:row>
    <x:row r="4581">
      <x:c r="A4581" s="85"/>
      <x:c r="B4581" s="86"/>
    </x:row>
    <x:row r="4582">
      <x:c r="A4582" s="85"/>
      <x:c r="B4582" s="86"/>
    </x:row>
    <x:row r="4583">
      <x:c r="A4583" s="85"/>
      <x:c r="B4583" s="86"/>
    </x:row>
    <x:row r="4584">
      <x:c r="A4584" s="85"/>
      <x:c r="B4584" s="86"/>
    </x:row>
    <x:row r="4585">
      <x:c r="A4585" s="85"/>
      <x:c r="B4585" s="86"/>
    </x:row>
    <x:row r="4586">
      <x:c r="A4586" s="85"/>
      <x:c r="B4586" s="86"/>
    </x:row>
    <x:row r="4587">
      <x:c r="A4587" s="85"/>
      <x:c r="B4587" s="86"/>
    </x:row>
    <x:row r="4588">
      <x:c r="A4588" s="85"/>
      <x:c r="B4588" s="86"/>
    </x:row>
    <x:row r="4589">
      <x:c r="A4589" s="85"/>
      <x:c r="B4589" s="86"/>
    </x:row>
    <x:row r="4590">
      <x:c r="A4590" s="85"/>
      <x:c r="B4590" s="86"/>
    </x:row>
    <x:row r="4591">
      <x:c r="A4591" s="85"/>
      <x:c r="B4591" s="86"/>
    </x:row>
    <x:row r="4592">
      <x:c r="A4592" s="85"/>
      <x:c r="B4592" s="86"/>
    </x:row>
    <x:row r="4593">
      <x:c r="A4593" s="85"/>
      <x:c r="B4593" s="86"/>
    </x:row>
    <x:row r="4594">
      <x:c r="A4594" s="85"/>
      <x:c r="B4594" s="86"/>
    </x:row>
    <x:row r="4595">
      <x:c r="A4595" s="85"/>
      <x:c r="B4595" s="86"/>
    </x:row>
    <x:row r="4596">
      <x:c r="A4596" s="85"/>
      <x:c r="B4596" s="86"/>
    </x:row>
    <x:row r="4597">
      <x:c r="A4597" s="85"/>
      <x:c r="B4597" s="86"/>
    </x:row>
    <x:row r="4598">
      <x:c r="A4598" s="85"/>
      <x:c r="B4598" s="86"/>
    </x:row>
    <x:row r="4599">
      <x:c r="A4599" s="85"/>
      <x:c r="B4599" s="86"/>
    </x:row>
    <x:row r="4600">
      <x:c r="A4600" s="85"/>
      <x:c r="B4600" s="86"/>
    </x:row>
    <x:row r="4601">
      <x:c r="A4601" s="85"/>
      <x:c r="B4601" s="86"/>
    </x:row>
    <x:row r="4602">
      <x:c r="A4602" s="85"/>
      <x:c r="B4602" s="86"/>
    </x:row>
    <x:row r="4603">
      <x:c r="A4603" s="85"/>
      <x:c r="B4603" s="86"/>
    </x:row>
    <x:row r="4604">
      <x:c r="A4604" s="85"/>
      <x:c r="B4604" s="86"/>
    </x:row>
    <x:row r="4605">
      <x:c r="A4605" s="85"/>
      <x:c r="B4605" s="86"/>
    </x:row>
    <x:row r="4606">
      <x:c r="A4606" s="85"/>
      <x:c r="B4606" s="86"/>
    </x:row>
    <x:row r="4607">
      <x:c r="A4607" s="85"/>
      <x:c r="B4607" s="86"/>
    </x:row>
    <x:row r="4608">
      <x:c r="A4608" s="85"/>
      <x:c r="B4608" s="86"/>
    </x:row>
    <x:row r="4609">
      <x:c r="A4609" s="85"/>
      <x:c r="B4609" s="86"/>
    </x:row>
    <x:row r="4610">
      <x:c r="A4610" s="85"/>
      <x:c r="B4610" s="86"/>
    </x:row>
    <x:row r="4611">
      <x:c r="A4611" s="85"/>
      <x:c r="B4611" s="86"/>
    </x:row>
    <x:row r="4612">
      <x:c r="A4612" s="85"/>
      <x:c r="B4612" s="86"/>
    </x:row>
    <x:row r="4613">
      <x:c r="A4613" s="85"/>
      <x:c r="B4613" s="86"/>
    </x:row>
    <x:row r="4614">
      <x:c r="A4614" s="85"/>
      <x:c r="B4614" s="86"/>
    </x:row>
    <x:row r="4615">
      <x:c r="A4615" s="85"/>
      <x:c r="B4615" s="86"/>
    </x:row>
    <x:row r="4616">
      <x:c r="A4616" s="85"/>
      <x:c r="B4616" s="86"/>
    </x:row>
    <x:row r="4617">
      <x:c r="A4617" s="85"/>
      <x:c r="B4617" s="86"/>
    </x:row>
    <x:row r="4618">
      <x:c r="A4618" s="85"/>
      <x:c r="B4618" s="86"/>
    </x:row>
    <x:row r="4619">
      <x:c r="A4619" s="85"/>
      <x:c r="B4619" s="86"/>
    </x:row>
    <x:row r="4620">
      <x:c r="A4620" s="85"/>
      <x:c r="B4620" s="86"/>
    </x:row>
    <x:row r="4621">
      <x:c r="A4621" s="85"/>
      <x:c r="B4621" s="86"/>
    </x:row>
    <x:row r="4622">
      <x:c r="A4622" s="85"/>
      <x:c r="B4622" s="86"/>
    </x:row>
    <x:row r="4623">
      <x:c r="A4623" s="85"/>
      <x:c r="B4623" s="86"/>
    </x:row>
    <x:row r="4624">
      <x:c r="A4624" s="85"/>
      <x:c r="B4624" s="86"/>
    </x:row>
    <x:row r="4625">
      <x:c r="A4625" s="85"/>
      <x:c r="B4625" s="86"/>
    </x:row>
    <x:row r="4626">
      <x:c r="A4626" s="85"/>
      <x:c r="B4626" s="86"/>
    </x:row>
    <x:row r="4627">
      <x:c r="A4627" s="85"/>
      <x:c r="B4627" s="86"/>
    </x:row>
    <x:row r="4628">
      <x:c r="A4628" s="85"/>
      <x:c r="B4628" s="86"/>
    </x:row>
    <x:row r="4629">
      <x:c r="A4629" s="85"/>
      <x:c r="B4629" s="86"/>
    </x:row>
    <x:row r="4630">
      <x:c r="A4630" s="85"/>
      <x:c r="B4630" s="86"/>
    </x:row>
    <x:row r="4631">
      <x:c r="A4631" s="85"/>
      <x:c r="B4631" s="86"/>
    </x:row>
    <x:row r="4632">
      <x:c r="A4632" s="85"/>
      <x:c r="B4632" s="86"/>
    </x:row>
    <x:row r="4633">
      <x:c r="A4633" s="85"/>
      <x:c r="B4633" s="86"/>
    </x:row>
    <x:row r="4634">
      <x:c r="A4634" s="85"/>
      <x:c r="B4634" s="86"/>
    </x:row>
    <x:row r="4635">
      <x:c r="A4635" s="85"/>
      <x:c r="B4635" s="86"/>
    </x:row>
    <x:row r="4636">
      <x:c r="A4636" s="85"/>
      <x:c r="B4636" s="86"/>
    </x:row>
    <x:row r="4637">
      <x:c r="A4637" s="85"/>
      <x:c r="B4637" s="86"/>
    </x:row>
    <x:row r="4638">
      <x:c r="A4638" s="85"/>
      <x:c r="B4638" s="86"/>
    </x:row>
    <x:row r="4639">
      <x:c r="A4639" s="85"/>
      <x:c r="B4639" s="86"/>
    </x:row>
    <x:row r="4640">
      <x:c r="A4640" s="85"/>
      <x:c r="B4640" s="86"/>
    </x:row>
    <x:row r="4641">
      <x:c r="A4641" s="85"/>
      <x:c r="B4641" s="86"/>
    </x:row>
    <x:row r="4642">
      <x:c r="A4642" s="85"/>
      <x:c r="B4642" s="86"/>
    </x:row>
    <x:row r="4643">
      <x:c r="A4643" s="85"/>
      <x:c r="B4643" s="86"/>
    </x:row>
    <x:row r="4644">
      <x:c r="A4644" s="85"/>
      <x:c r="B4644" s="86"/>
    </x:row>
    <x:row r="4645">
      <x:c r="A4645" s="85"/>
      <x:c r="B4645" s="86"/>
    </x:row>
    <x:row r="4646">
      <x:c r="A4646" s="85"/>
      <x:c r="B4646" s="86"/>
    </x:row>
    <x:row r="4647">
      <x:c r="A4647" s="85"/>
      <x:c r="B4647" s="86"/>
    </x:row>
    <x:row r="4648">
      <x:c r="A4648" s="85"/>
      <x:c r="B4648" s="86"/>
    </x:row>
    <x:row r="4649">
      <x:c r="A4649" s="85"/>
      <x:c r="B4649" s="86"/>
    </x:row>
    <x:row r="4650">
      <x:c r="A4650" s="85"/>
      <x:c r="B4650" s="86"/>
    </x:row>
    <x:row r="4651">
      <x:c r="A4651" s="85"/>
      <x:c r="B4651" s="86"/>
    </x:row>
    <x:row r="4652">
      <x:c r="A4652" s="85"/>
      <x:c r="B4652" s="86"/>
    </x:row>
    <x:row r="4653">
      <x:c r="A4653" s="85"/>
      <x:c r="B4653" s="86"/>
    </x:row>
    <x:row r="4654">
      <x:c r="A4654" s="85"/>
      <x:c r="B4654" s="86"/>
    </x:row>
    <x:row r="4655">
      <x:c r="A4655" s="85"/>
      <x:c r="B4655" s="86"/>
    </x:row>
    <x:row r="4656">
      <x:c r="A4656" s="85"/>
      <x:c r="B4656" s="86"/>
    </x:row>
    <x:row r="4657">
      <x:c r="A4657" s="85"/>
      <x:c r="B4657" s="86"/>
    </x:row>
    <x:row r="4658">
      <x:c r="A4658" s="85"/>
      <x:c r="B4658" s="86"/>
    </x:row>
    <x:row r="4659">
      <x:c r="A4659" s="85"/>
      <x:c r="B4659" s="86"/>
    </x:row>
    <x:row r="4660">
      <x:c r="A4660" s="85"/>
      <x:c r="B4660" s="86"/>
    </x:row>
    <x:row r="4661">
      <x:c r="A4661" s="85"/>
      <x:c r="B4661" s="86"/>
    </x:row>
    <x:row r="4662">
      <x:c r="A4662" s="85"/>
      <x:c r="B4662" s="86"/>
    </x:row>
    <x:row r="4663">
      <x:c r="A4663" s="85"/>
      <x:c r="B4663" s="86"/>
    </x:row>
    <x:row r="4664">
      <x:c r="A4664" s="85"/>
      <x:c r="B4664" s="86"/>
    </x:row>
    <x:row r="4665">
      <x:c r="A4665" s="85"/>
      <x:c r="B4665" s="86"/>
    </x:row>
    <x:row r="4666">
      <x:c r="A4666" s="85"/>
      <x:c r="B4666" s="86"/>
    </x:row>
    <x:row r="4667">
      <x:c r="A4667" s="85"/>
      <x:c r="B4667" s="86"/>
    </x:row>
    <x:row r="4668">
      <x:c r="A4668" s="85"/>
      <x:c r="B4668" s="86"/>
    </x:row>
    <x:row r="4669">
      <x:c r="A4669" s="85"/>
      <x:c r="B4669" s="86"/>
    </x:row>
    <x:row r="4670">
      <x:c r="A4670" s="85"/>
      <x:c r="B4670" s="86"/>
    </x:row>
    <x:row r="4671">
      <x:c r="A4671" s="85"/>
      <x:c r="B4671" s="86"/>
    </x:row>
    <x:row r="4672">
      <x:c r="A4672" s="85"/>
      <x:c r="B4672" s="86"/>
    </x:row>
    <x:row r="4673">
      <x:c r="A4673" s="85"/>
      <x:c r="B4673" s="86"/>
    </x:row>
    <x:row r="4674">
      <x:c r="A4674" s="85"/>
      <x:c r="B4674" s="86"/>
    </x:row>
    <x:row r="4675">
      <x:c r="A4675" s="85"/>
      <x:c r="B4675" s="86"/>
    </x:row>
    <x:row r="4676">
      <x:c r="A4676" s="85"/>
      <x:c r="B4676" s="86"/>
    </x:row>
    <x:row r="4677">
      <x:c r="A4677" s="85"/>
      <x:c r="B4677" s="86"/>
    </x:row>
    <x:row r="4678">
      <x:c r="A4678" s="85"/>
      <x:c r="B4678" s="86"/>
    </x:row>
    <x:row r="4679">
      <x:c r="A4679" s="85"/>
      <x:c r="B4679" s="86"/>
    </x:row>
    <x:row r="4680">
      <x:c r="A4680" s="85"/>
      <x:c r="B4680" s="86"/>
    </x:row>
    <x:row r="4681">
      <x:c r="A4681" s="85"/>
      <x:c r="B4681" s="86"/>
    </x:row>
    <x:row r="4682">
      <x:c r="A4682" s="85"/>
      <x:c r="B4682" s="86"/>
    </x:row>
    <x:row r="4683">
      <x:c r="A4683" s="85"/>
      <x:c r="B4683" s="86"/>
    </x:row>
    <x:row r="4684">
      <x:c r="A4684" s="85"/>
      <x:c r="B4684" s="86"/>
    </x:row>
    <x:row r="4685">
      <x:c r="A4685" s="85"/>
      <x:c r="B4685" s="86"/>
    </x:row>
    <x:row r="4686">
      <x:c r="A4686" s="85"/>
      <x:c r="B4686" s="86"/>
    </x:row>
    <x:row r="4687">
      <x:c r="A4687" s="85"/>
      <x:c r="B4687" s="86"/>
    </x:row>
    <x:row r="4688">
      <x:c r="A4688" s="85"/>
      <x:c r="B4688" s="86"/>
    </x:row>
    <x:row r="4689">
      <x:c r="A4689" s="85"/>
      <x:c r="B4689" s="86"/>
    </x:row>
    <x:row r="4690">
      <x:c r="A4690" s="85"/>
      <x:c r="B4690" s="86"/>
    </x:row>
    <x:row r="4691">
      <x:c r="A4691" s="85"/>
      <x:c r="B4691" s="86"/>
    </x:row>
    <x:row r="4692">
      <x:c r="A4692" s="85"/>
      <x:c r="B4692" s="86"/>
    </x:row>
    <x:row r="4693">
      <x:c r="A4693" s="85"/>
      <x:c r="B4693" s="86"/>
    </x:row>
    <x:row r="4694">
      <x:c r="A4694" s="85"/>
      <x:c r="B4694" s="86"/>
    </x:row>
    <x:row r="4695">
      <x:c r="A4695" s="85"/>
      <x:c r="B4695" s="86"/>
    </x:row>
    <x:row r="4696">
      <x:c r="A4696" s="85"/>
      <x:c r="B4696" s="86"/>
    </x:row>
    <x:row r="4697">
      <x:c r="A4697" s="85"/>
      <x:c r="B4697" s="86"/>
    </x:row>
    <x:row r="4698">
      <x:c r="A4698" s="85"/>
      <x:c r="B4698" s="86"/>
    </x:row>
    <x:row r="4699">
      <x:c r="A4699" s="85"/>
      <x:c r="B4699" s="86"/>
    </x:row>
    <x:row r="4700">
      <x:c r="A4700" s="85"/>
      <x:c r="B4700" s="86"/>
    </x:row>
    <x:row r="4701">
      <x:c r="A4701" s="85"/>
      <x:c r="B4701" s="86"/>
    </x:row>
    <x:row r="4702">
      <x:c r="A4702" s="85"/>
      <x:c r="B4702" s="86"/>
    </x:row>
    <x:row r="4703">
      <x:c r="A4703" s="85"/>
      <x:c r="B4703" s="86"/>
    </x:row>
    <x:row r="4704">
      <x:c r="A4704" s="85"/>
      <x:c r="B4704" s="86"/>
    </x:row>
    <x:row r="4705">
      <x:c r="A4705" s="85"/>
      <x:c r="B4705" s="86"/>
    </x:row>
    <x:row r="4706">
      <x:c r="A4706" s="85"/>
      <x:c r="B4706" s="86"/>
    </x:row>
    <x:row r="4707">
      <x:c r="A4707" s="85"/>
      <x:c r="B4707" s="86"/>
    </x:row>
    <x:row r="4708">
      <x:c r="A4708" s="85"/>
      <x:c r="B4708" s="86"/>
    </x:row>
    <x:row r="4709">
      <x:c r="A4709" s="85"/>
      <x:c r="B4709" s="86"/>
    </x:row>
    <x:row r="4710">
      <x:c r="A4710" s="85"/>
      <x:c r="B4710" s="86"/>
    </x:row>
    <x:row r="4711">
      <x:c r="A4711" s="85"/>
      <x:c r="B4711" s="86"/>
    </x:row>
    <x:row r="4712">
      <x:c r="A4712" s="85"/>
      <x:c r="B4712" s="86"/>
    </x:row>
    <x:row r="4713">
      <x:c r="A4713" s="85"/>
      <x:c r="B4713" s="86"/>
    </x:row>
    <x:row r="4714">
      <x:c r="A4714" s="85"/>
      <x:c r="B4714" s="86"/>
    </x:row>
    <x:row r="4715">
      <x:c r="A4715" s="85"/>
      <x:c r="B4715" s="86"/>
    </x:row>
    <x:row r="4716">
      <x:c r="A4716" s="85"/>
      <x:c r="B4716" s="86"/>
    </x:row>
    <x:row r="4717">
      <x:c r="A4717" s="85"/>
      <x:c r="B4717" s="86"/>
    </x:row>
    <x:row r="4718">
      <x:c r="A4718" s="85"/>
      <x:c r="B4718" s="86"/>
    </x:row>
    <x:row r="4719">
      <x:c r="A4719" s="85"/>
      <x:c r="B4719" s="86"/>
    </x:row>
    <x:row r="4720">
      <x:c r="A4720" s="85"/>
      <x:c r="B4720" s="86"/>
    </x:row>
    <x:row r="4721">
      <x:c r="A4721" s="85"/>
      <x:c r="B4721" s="86"/>
    </x:row>
    <x:row r="4722">
      <x:c r="A4722" s="85"/>
      <x:c r="B4722" s="86"/>
    </x:row>
    <x:row r="4723">
      <x:c r="A4723" s="85"/>
      <x:c r="B4723" s="86"/>
    </x:row>
    <x:row r="4724">
      <x:c r="A4724" s="85"/>
      <x:c r="B4724" s="86"/>
    </x:row>
    <x:row r="4725">
      <x:c r="A4725" s="85"/>
      <x:c r="B4725" s="86"/>
    </x:row>
    <x:row r="4726">
      <x:c r="A4726" s="85"/>
      <x:c r="B4726" s="86"/>
    </x:row>
    <x:row r="4727">
      <x:c r="A4727" s="85"/>
      <x:c r="B4727" s="86"/>
    </x:row>
    <x:row r="4728">
      <x:c r="A4728" s="85"/>
      <x:c r="B4728" s="86"/>
    </x:row>
    <x:row r="4729">
      <x:c r="A4729" s="85"/>
      <x:c r="B4729" s="86"/>
    </x:row>
    <x:row r="4730">
      <x:c r="A4730" s="85"/>
      <x:c r="B4730" s="86"/>
    </x:row>
    <x:row r="4731">
      <x:c r="A4731" s="85"/>
      <x:c r="B4731" s="86"/>
    </x:row>
    <x:row r="4732">
      <x:c r="A4732" s="85"/>
      <x:c r="B4732" s="86"/>
    </x:row>
    <x:row r="4733">
      <x:c r="A4733" s="85"/>
      <x:c r="B4733" s="86"/>
    </x:row>
    <x:row r="4734">
      <x:c r="A4734" s="85"/>
      <x:c r="B4734" s="86"/>
    </x:row>
    <x:row r="4735">
      <x:c r="A4735" s="85"/>
      <x:c r="B4735" s="86"/>
    </x:row>
    <x:row r="4736">
      <x:c r="A4736" s="85"/>
      <x:c r="B4736" s="86"/>
    </x:row>
    <x:row r="4737">
      <x:c r="A4737" s="85"/>
      <x:c r="B4737" s="86"/>
    </x:row>
    <x:row r="4738">
      <x:c r="A4738" s="85"/>
      <x:c r="B4738" s="86"/>
    </x:row>
    <x:row r="4739">
      <x:c r="A4739" s="85"/>
      <x:c r="B4739" s="86"/>
    </x:row>
    <x:row r="4740">
      <x:c r="A4740" s="85"/>
      <x:c r="B4740" s="86"/>
    </x:row>
    <x:row r="4741">
      <x:c r="A4741" s="85"/>
      <x:c r="B4741" s="86"/>
    </x:row>
    <x:row r="4742">
      <x:c r="A4742" s="85"/>
      <x:c r="B4742" s="86"/>
    </x:row>
    <x:row r="4743">
      <x:c r="A4743" s="85"/>
      <x:c r="B4743" s="86"/>
    </x:row>
    <x:row r="4744">
      <x:c r="A4744" s="85"/>
      <x:c r="B4744" s="86"/>
    </x:row>
    <x:row r="4745">
      <x:c r="A4745" s="85"/>
      <x:c r="B4745" s="86"/>
    </x:row>
    <x:row r="4746">
      <x:c r="A4746" s="85"/>
      <x:c r="B4746" s="86"/>
    </x:row>
    <x:row r="4747">
      <x:c r="A4747" s="85"/>
      <x:c r="B4747" s="86"/>
    </x:row>
    <x:row r="4748">
      <x:c r="A4748" s="85"/>
      <x:c r="B4748" s="86"/>
    </x:row>
    <x:row r="4749">
      <x:c r="A4749" s="85"/>
      <x:c r="B4749" s="86"/>
    </x:row>
    <x:row r="4750">
      <x:c r="A4750" s="85"/>
      <x:c r="B4750" s="86"/>
    </x:row>
    <x:row r="4751">
      <x:c r="A4751" s="85"/>
      <x:c r="B4751" s="86"/>
    </x:row>
    <x:row r="4752">
      <x:c r="A4752" s="85"/>
      <x:c r="B4752" s="86"/>
    </x:row>
    <x:row r="4753">
      <x:c r="A4753" s="85"/>
      <x:c r="B4753" s="86"/>
    </x:row>
    <x:row r="4754">
      <x:c r="A4754" s="85"/>
      <x:c r="B4754" s="86"/>
    </x:row>
    <x:row r="4755">
      <x:c r="A4755" s="85"/>
      <x:c r="B4755" s="86"/>
    </x:row>
    <x:row r="4756">
      <x:c r="A4756" s="85"/>
      <x:c r="B4756" s="86"/>
    </x:row>
    <x:row r="4757">
      <x:c r="A4757" s="85"/>
      <x:c r="B4757" s="86"/>
    </x:row>
    <x:row r="4758">
      <x:c r="A4758" s="85"/>
      <x:c r="B4758" s="86"/>
    </x:row>
    <x:row r="4759">
      <x:c r="A4759" s="85"/>
      <x:c r="B4759" s="86"/>
    </x:row>
    <x:row r="4760">
      <x:c r="A4760" s="85"/>
      <x:c r="B4760" s="86"/>
    </x:row>
    <x:row r="4761">
      <x:c r="A4761" s="85"/>
      <x:c r="B4761" s="86"/>
    </x:row>
    <x:row r="4762">
      <x:c r="A4762" s="85"/>
      <x:c r="B4762" s="86"/>
    </x:row>
    <x:row r="4763">
      <x:c r="A4763" s="85"/>
      <x:c r="B4763" s="86"/>
    </x:row>
    <x:row r="4764">
      <x:c r="A4764" s="85"/>
      <x:c r="B4764" s="86"/>
    </x:row>
    <x:row r="4765">
      <x:c r="A4765" s="85"/>
      <x:c r="B4765" s="86"/>
    </x:row>
    <x:row r="4766">
      <x:c r="A4766" s="85"/>
      <x:c r="B4766" s="86"/>
    </x:row>
    <x:row r="4767">
      <x:c r="A4767" s="85"/>
      <x:c r="B4767" s="86"/>
    </x:row>
    <x:row r="4768">
      <x:c r="A4768" s="85"/>
      <x:c r="B4768" s="86"/>
    </x:row>
    <x:row r="4769">
      <x:c r="A4769" s="85"/>
      <x:c r="B4769" s="86"/>
    </x:row>
    <x:row r="4770">
      <x:c r="A4770" s="85"/>
      <x:c r="B4770" s="86"/>
    </x:row>
    <x:row r="4771">
      <x:c r="A4771" s="85"/>
      <x:c r="B4771" s="86"/>
    </x:row>
    <x:row r="4772">
      <x:c r="A4772" s="85"/>
      <x:c r="B4772" s="86"/>
    </x:row>
    <x:row r="4773">
      <x:c r="A4773" s="85"/>
      <x:c r="B4773" s="86"/>
    </x:row>
    <x:row r="4774">
      <x:c r="A4774" s="85"/>
      <x:c r="B4774" s="86"/>
    </x:row>
    <x:row r="4775">
      <x:c r="A4775" s="85"/>
      <x:c r="B4775" s="86"/>
    </x:row>
    <x:row r="4776">
      <x:c r="A4776" s="85"/>
      <x:c r="B4776" s="86"/>
    </x:row>
    <x:row r="4777">
      <x:c r="A4777" s="85"/>
      <x:c r="B4777" s="86"/>
    </x:row>
    <x:row r="4778">
      <x:c r="A4778" s="85"/>
      <x:c r="B4778" s="86"/>
    </x:row>
    <x:row r="4779">
      <x:c r="A4779" s="85"/>
      <x:c r="B4779" s="86"/>
    </x:row>
    <x:row r="4780">
      <x:c r="A4780" s="85"/>
      <x:c r="B4780" s="86"/>
    </x:row>
    <x:row r="4781">
      <x:c r="A4781" s="85"/>
      <x:c r="B4781" s="86"/>
    </x:row>
    <x:row r="4782">
      <x:c r="A4782" s="85"/>
      <x:c r="B4782" s="86"/>
    </x:row>
    <x:row r="4783">
      <x:c r="A4783" s="85"/>
      <x:c r="B4783" s="86"/>
    </x:row>
    <x:row r="4784">
      <x:c r="A4784" s="85"/>
      <x:c r="B4784" s="86"/>
    </x:row>
    <x:row r="4785">
      <x:c r="A4785" s="85"/>
      <x:c r="B4785" s="86"/>
    </x:row>
    <x:row r="4786">
      <x:c r="A4786" s="85"/>
      <x:c r="B4786" s="86"/>
    </x:row>
    <x:row r="4787">
      <x:c r="A4787" s="85"/>
      <x:c r="B4787" s="86"/>
    </x:row>
    <x:row r="4788">
      <x:c r="A4788" s="85"/>
      <x:c r="B4788" s="86"/>
    </x:row>
    <x:row r="4789">
      <x:c r="A4789" s="85"/>
      <x:c r="B4789" s="86"/>
    </x:row>
    <x:row r="4790">
      <x:c r="A4790" s="85"/>
      <x:c r="B4790" s="86"/>
    </x:row>
    <x:row r="4791">
      <x:c r="A4791" s="85"/>
      <x:c r="B4791" s="86"/>
    </x:row>
    <x:row r="4792">
      <x:c r="A4792" s="85"/>
      <x:c r="B4792" s="86"/>
    </x:row>
    <x:row r="4793">
      <x:c r="A4793" s="85"/>
      <x:c r="B4793" s="86"/>
    </x:row>
    <x:row r="4794">
      <x:c r="A4794" s="85"/>
      <x:c r="B4794" s="86"/>
    </x:row>
    <x:row r="4795">
      <x:c r="A4795" s="85"/>
      <x:c r="B4795" s="86"/>
    </x:row>
    <x:row r="4796">
      <x:c r="A4796" s="85"/>
      <x:c r="B4796" s="86"/>
    </x:row>
    <x:row r="4797">
      <x:c r="A4797" s="85"/>
      <x:c r="B4797" s="86"/>
    </x:row>
    <x:row r="4798">
      <x:c r="A4798" s="85"/>
      <x:c r="B4798" s="86"/>
    </x:row>
    <x:row r="4799">
      <x:c r="A4799" s="85"/>
      <x:c r="B4799" s="86"/>
    </x:row>
    <x:row r="4800">
      <x:c r="A4800" s="85"/>
      <x:c r="B4800" s="86"/>
    </x:row>
    <x:row r="4801">
      <x:c r="A4801" s="85"/>
      <x:c r="B4801" s="86"/>
    </x:row>
    <x:row r="4802">
      <x:c r="A4802" s="85"/>
      <x:c r="B4802" s="86"/>
    </x:row>
    <x:row r="4803">
      <x:c r="A4803" s="85"/>
      <x:c r="B4803" s="86"/>
    </x:row>
    <x:row r="4804">
      <x:c r="A4804" s="85"/>
      <x:c r="B4804" s="86"/>
    </x:row>
    <x:row r="4805">
      <x:c r="A4805" s="85"/>
      <x:c r="B4805" s="86"/>
    </x:row>
    <x:row r="4806">
      <x:c r="A4806" s="85"/>
      <x:c r="B4806" s="86"/>
    </x:row>
    <x:row r="4807">
      <x:c r="A4807" s="85"/>
      <x:c r="B4807" s="86"/>
    </x:row>
    <x:row r="4808">
      <x:c r="A4808" s="85"/>
      <x:c r="B4808" s="86"/>
    </x:row>
    <x:row r="4809">
      <x:c r="A4809" s="85"/>
      <x:c r="B4809" s="86"/>
    </x:row>
    <x:row r="4810">
      <x:c r="A4810" s="85"/>
      <x:c r="B4810" s="86"/>
    </x:row>
    <x:row r="4811">
      <x:c r="A4811" s="85"/>
      <x:c r="B4811" s="86"/>
    </x:row>
    <x:row r="4812">
      <x:c r="A4812" s="85"/>
      <x:c r="B4812" s="86"/>
    </x:row>
    <x:row r="4813">
      <x:c r="A4813" s="85"/>
      <x:c r="B4813" s="86"/>
    </x:row>
    <x:row r="4814">
      <x:c r="A4814" s="85"/>
      <x:c r="B4814" s="86"/>
    </x:row>
    <x:row r="4815">
      <x:c r="A4815" s="85"/>
      <x:c r="B4815" s="86"/>
    </x:row>
    <x:row r="4816">
      <x:c r="A4816" s="85"/>
      <x:c r="B4816" s="86"/>
    </x:row>
    <x:row r="4817">
      <x:c r="A4817" s="85"/>
      <x:c r="B4817" s="86"/>
    </x:row>
    <x:row r="4818">
      <x:c r="A4818" s="85"/>
      <x:c r="B4818" s="86"/>
    </x:row>
    <x:row r="4819">
      <x:c r="A4819" s="85"/>
      <x:c r="B4819" s="86"/>
    </x:row>
    <x:row r="4820">
      <x:c r="A4820" s="85"/>
      <x:c r="B4820" s="86"/>
    </x:row>
    <x:row r="4821">
      <x:c r="A4821" s="85"/>
      <x:c r="B4821" s="86"/>
    </x:row>
    <x:row r="4822">
      <x:c r="A4822" s="85"/>
      <x:c r="B4822" s="86"/>
    </x:row>
    <x:row r="4823">
      <x:c r="A4823" s="85"/>
      <x:c r="B4823" s="86"/>
    </x:row>
    <x:row r="4824">
      <x:c r="A4824" s="85"/>
      <x:c r="B4824" s="86"/>
    </x:row>
    <x:row r="4825">
      <x:c r="A4825" s="85"/>
      <x:c r="B4825" s="86"/>
    </x:row>
    <x:row r="4826">
      <x:c r="A4826" s="85"/>
      <x:c r="B4826" s="86"/>
    </x:row>
    <x:row r="4827">
      <x:c r="A4827" s="85"/>
      <x:c r="B4827" s="86"/>
    </x:row>
    <x:row r="4828">
      <x:c r="A4828" s="85"/>
      <x:c r="B4828" s="86"/>
    </x:row>
    <x:row r="4829">
      <x:c r="A4829" s="85"/>
      <x:c r="B4829" s="86"/>
    </x:row>
    <x:row r="4830">
      <x:c r="A4830" s="85"/>
      <x:c r="B4830" s="86"/>
    </x:row>
    <x:row r="4831">
      <x:c r="A4831" s="85"/>
      <x:c r="B4831" s="86"/>
    </x:row>
    <x:row r="4832">
      <x:c r="A4832" s="85"/>
      <x:c r="B4832" s="86"/>
    </x:row>
    <x:row r="4833">
      <x:c r="A4833" s="85"/>
      <x:c r="B4833" s="86"/>
    </x:row>
    <x:row r="4834">
      <x:c r="A4834" s="85"/>
      <x:c r="B4834" s="86"/>
    </x:row>
    <x:row r="4835">
      <x:c r="A4835" s="85"/>
      <x:c r="B4835" s="86"/>
    </x:row>
    <x:row r="4836">
      <x:c r="A4836" s="85"/>
      <x:c r="B4836" s="86"/>
    </x:row>
    <x:row r="4837">
      <x:c r="A4837" s="85"/>
      <x:c r="B4837" s="86"/>
    </x:row>
    <x:row r="4838">
      <x:c r="A4838" s="85"/>
      <x:c r="B4838" s="86"/>
    </x:row>
    <x:row r="4839">
      <x:c r="A4839" s="85"/>
      <x:c r="B4839" s="86"/>
    </x:row>
    <x:row r="4840">
      <x:c r="A4840" s="85"/>
      <x:c r="B4840" s="86"/>
    </x:row>
    <x:row r="4841">
      <x:c r="A4841" s="85"/>
      <x:c r="B4841" s="86"/>
    </x:row>
    <x:row r="4842">
      <x:c r="A4842" s="85"/>
      <x:c r="B4842" s="86"/>
    </x:row>
    <x:row r="4843">
      <x:c r="A4843" s="85"/>
      <x:c r="B4843" s="86"/>
    </x:row>
    <x:row r="4844">
      <x:c r="A4844" s="85"/>
      <x:c r="B4844" s="86"/>
    </x:row>
    <x:row r="4845">
      <x:c r="A4845" s="85"/>
      <x:c r="B4845" s="86"/>
    </x:row>
    <x:row r="4846">
      <x:c r="A4846" s="85"/>
      <x:c r="B4846" s="86"/>
    </x:row>
    <x:row r="4847">
      <x:c r="A4847" s="85"/>
      <x:c r="B4847" s="86"/>
    </x:row>
    <x:row r="4848">
      <x:c r="A4848" s="85"/>
      <x:c r="B4848" s="86"/>
    </x:row>
    <x:row r="4849">
      <x:c r="A4849" s="85"/>
      <x:c r="B4849" s="86"/>
    </x:row>
    <x:row r="4850">
      <x:c r="A4850" s="85"/>
      <x:c r="B4850" s="86"/>
    </x:row>
    <x:row r="4851">
      <x:c r="A4851" s="85"/>
      <x:c r="B4851" s="86"/>
    </x:row>
    <x:row r="4852">
      <x:c r="A4852" s="85"/>
      <x:c r="B4852" s="86"/>
    </x:row>
    <x:row r="4853">
      <x:c r="A4853" s="85"/>
      <x:c r="B4853" s="86"/>
    </x:row>
    <x:row r="4854">
      <x:c r="A4854" s="85"/>
      <x:c r="B4854" s="86"/>
    </x:row>
    <x:row r="4855">
      <x:c r="A4855" s="85"/>
      <x:c r="B4855" s="86"/>
    </x:row>
    <x:row r="4856">
      <x:c r="A4856" s="85"/>
      <x:c r="B4856" s="86"/>
    </x:row>
    <x:row r="4857">
      <x:c r="A4857" s="85"/>
      <x:c r="B4857" s="86"/>
    </x:row>
    <x:row r="4858">
      <x:c r="A4858" s="85"/>
      <x:c r="B4858" s="86"/>
    </x:row>
    <x:row r="4859">
      <x:c r="A4859" s="85"/>
      <x:c r="B4859" s="86"/>
    </x:row>
    <x:row r="4860">
      <x:c r="A4860" s="85"/>
      <x:c r="B4860" s="86"/>
    </x:row>
    <x:row r="4861">
      <x:c r="A4861" s="85"/>
      <x:c r="B4861" s="86"/>
    </x:row>
    <x:row r="4862">
      <x:c r="A4862" s="85"/>
      <x:c r="B4862" s="86"/>
    </x:row>
    <x:row r="4863">
      <x:c r="A4863" s="85"/>
      <x:c r="B4863" s="86"/>
    </x:row>
    <x:row r="4864">
      <x:c r="A4864" s="85"/>
      <x:c r="B4864" s="86"/>
    </x:row>
    <x:row r="4865">
      <x:c r="A4865" s="85"/>
      <x:c r="B4865" s="86"/>
    </x:row>
    <x:row r="4866">
      <x:c r="A4866" s="85"/>
      <x:c r="B4866" s="86"/>
    </x:row>
    <x:row r="4867">
      <x:c r="A4867" s="85"/>
      <x:c r="B4867" s="86"/>
    </x:row>
    <x:row r="4868">
      <x:c r="A4868" s="85"/>
      <x:c r="B4868" s="86"/>
    </x:row>
    <x:row r="4869">
      <x:c r="A4869" s="85"/>
      <x:c r="B4869" s="86"/>
    </x:row>
    <x:row r="4870">
      <x:c r="A4870" s="85"/>
      <x:c r="B4870" s="86"/>
    </x:row>
    <x:row r="4871">
      <x:c r="A4871" s="85"/>
      <x:c r="B4871" s="86"/>
    </x:row>
    <x:row r="4872">
      <x:c r="A4872" s="85"/>
      <x:c r="B4872" s="86"/>
    </x:row>
    <x:row r="4873">
      <x:c r="A4873" s="85"/>
      <x:c r="B4873" s="86"/>
    </x:row>
    <x:row r="4874">
      <x:c r="A4874" s="85"/>
      <x:c r="B4874" s="86"/>
    </x:row>
    <x:row r="4875">
      <x:c r="A4875" s="85"/>
      <x:c r="B4875" s="86"/>
    </x:row>
    <x:row r="4876">
      <x:c r="A4876" s="85"/>
      <x:c r="B4876" s="86"/>
    </x:row>
    <x:row r="4877">
      <x:c r="A4877" s="85"/>
      <x:c r="B4877" s="86"/>
    </x:row>
    <x:row r="4878">
      <x:c r="A4878" s="85"/>
      <x:c r="B4878" s="86"/>
    </x:row>
    <x:row r="4879">
      <x:c r="A4879" s="85"/>
      <x:c r="B4879" s="86"/>
    </x:row>
    <x:row r="4880">
      <x:c r="A4880" s="85"/>
      <x:c r="B4880" s="86"/>
    </x:row>
    <x:row r="4881">
      <x:c r="A4881" s="85"/>
      <x:c r="B4881" s="86"/>
    </x:row>
    <x:row r="4882">
      <x:c r="A4882" s="85"/>
      <x:c r="B4882" s="86"/>
    </x:row>
    <x:row r="4883">
      <x:c r="A4883" s="85"/>
      <x:c r="B4883" s="86"/>
    </x:row>
    <x:row r="4884">
      <x:c r="A4884" s="85"/>
      <x:c r="B4884" s="86"/>
    </x:row>
    <x:row r="4885">
      <x:c r="A4885" s="85"/>
      <x:c r="B4885" s="86"/>
    </x:row>
    <x:row r="4886">
      <x:c r="A4886" s="85"/>
      <x:c r="B4886" s="86"/>
    </x:row>
    <x:row r="4887">
      <x:c r="A4887" s="85"/>
      <x:c r="B4887" s="86"/>
    </x:row>
    <x:row r="4888">
      <x:c r="A4888" s="85"/>
      <x:c r="B4888" s="86"/>
    </x:row>
    <x:row r="4889">
      <x:c r="A4889" s="85"/>
      <x:c r="B4889" s="86"/>
    </x:row>
    <x:row r="4890">
      <x:c r="A4890" s="85"/>
      <x:c r="B4890" s="86"/>
    </x:row>
    <x:row r="4891">
      <x:c r="A4891" s="85"/>
      <x:c r="B4891" s="86"/>
    </x:row>
    <x:row r="4892">
      <x:c r="A4892" s="85"/>
      <x:c r="B4892" s="86"/>
    </x:row>
    <x:row r="4893">
      <x:c r="A4893" s="85"/>
      <x:c r="B4893" s="86"/>
    </x:row>
    <x:row r="4894">
      <x:c r="A4894" s="85"/>
      <x:c r="B4894" s="86"/>
    </x:row>
    <x:row r="4895">
      <x:c r="A4895" s="85"/>
      <x:c r="B4895" s="86"/>
    </x:row>
    <x:row r="4896">
      <x:c r="A4896" s="85"/>
      <x:c r="B4896" s="86"/>
    </x:row>
    <x:row r="4897">
      <x:c r="A4897" s="85"/>
      <x:c r="B4897" s="86"/>
    </x:row>
    <x:row r="4898">
      <x:c r="A4898" s="85"/>
      <x:c r="B4898" s="86"/>
    </x:row>
    <x:row r="4899">
      <x:c r="A4899" s="85"/>
      <x:c r="B4899" s="86"/>
    </x:row>
    <x:row r="4900">
      <x:c r="A4900" s="85"/>
      <x:c r="B4900" s="86"/>
    </x:row>
    <x:row r="4901">
      <x:c r="A4901" s="85"/>
      <x:c r="B4901" s="86"/>
    </x:row>
    <x:row r="4902">
      <x:c r="A4902" s="85"/>
      <x:c r="B4902" s="86"/>
    </x:row>
    <x:row r="4903">
      <x:c r="A4903" s="85"/>
      <x:c r="B4903" s="86"/>
    </x:row>
    <x:row r="4904">
      <x:c r="A4904" s="85"/>
      <x:c r="B4904" s="86"/>
    </x:row>
    <x:row r="4905">
      <x:c r="A4905" s="85"/>
      <x:c r="B4905" s="86"/>
    </x:row>
    <x:row r="4906">
      <x:c r="A4906" s="85"/>
      <x:c r="B4906" s="86"/>
    </x:row>
    <x:row r="4907">
      <x:c r="A4907" s="85"/>
      <x:c r="B4907" s="86"/>
    </x:row>
    <x:row r="4908">
      <x:c r="A4908" s="85"/>
      <x:c r="B4908" s="86"/>
    </x:row>
    <x:row r="4909">
      <x:c r="A4909" s="85"/>
      <x:c r="B4909" s="86"/>
    </x:row>
    <x:row r="4910">
      <x:c r="A4910" s="85"/>
      <x:c r="B4910" s="86"/>
    </x:row>
    <x:row r="4911">
      <x:c r="A4911" s="85"/>
      <x:c r="B4911" s="86"/>
    </x:row>
    <x:row r="4912">
      <x:c r="A4912" s="85"/>
      <x:c r="B4912" s="86"/>
    </x:row>
    <x:row r="4913">
      <x:c r="A4913" s="85"/>
      <x:c r="B4913" s="86"/>
    </x:row>
    <x:row r="4914">
      <x:c r="A4914" s="85"/>
      <x:c r="B4914" s="86"/>
    </x:row>
    <x:row r="4915">
      <x:c r="A4915" s="85"/>
      <x:c r="B4915" s="86"/>
    </x:row>
    <x:row r="4916">
      <x:c r="A4916" s="85"/>
      <x:c r="B4916" s="86"/>
    </x:row>
    <x:row r="4917">
      <x:c r="A4917" s="85"/>
      <x:c r="B4917" s="86"/>
    </x:row>
    <x:row r="4918">
      <x:c r="A4918" s="85"/>
      <x:c r="B4918" s="86"/>
    </x:row>
    <x:row r="4919">
      <x:c r="A4919" s="85"/>
      <x:c r="B4919" s="86"/>
    </x:row>
    <x:row r="4920">
      <x:c r="A4920" s="85"/>
      <x:c r="B4920" s="86"/>
    </x:row>
    <x:row r="4921">
      <x:c r="A4921" s="85"/>
      <x:c r="B4921" s="86"/>
    </x:row>
    <x:row r="4922">
      <x:c r="A4922" s="85"/>
      <x:c r="B4922" s="86"/>
    </x:row>
    <x:row r="4923">
      <x:c r="A4923" s="85"/>
      <x:c r="B4923" s="86"/>
    </x:row>
    <x:row r="4924">
      <x:c r="A4924" s="85"/>
      <x:c r="B4924" s="86"/>
    </x:row>
    <x:row r="4925">
      <x:c r="A4925" s="85"/>
      <x:c r="B4925" s="86"/>
    </x:row>
    <x:row r="4926">
      <x:c r="A4926" s="85"/>
      <x:c r="B4926" s="86"/>
    </x:row>
    <x:row r="4927">
      <x:c r="A4927" s="85"/>
      <x:c r="B4927" s="86"/>
    </x:row>
    <x:row r="4928">
      <x:c r="A4928" s="85"/>
      <x:c r="B4928" s="86"/>
    </x:row>
    <x:row r="4929">
      <x:c r="A4929" s="85"/>
      <x:c r="B4929" s="86"/>
    </x:row>
    <x:row r="4930">
      <x:c r="A4930" s="85"/>
      <x:c r="B4930" s="86"/>
    </x:row>
    <x:row r="4931">
      <x:c r="A4931" s="85"/>
      <x:c r="B4931" s="86"/>
    </x:row>
    <x:row r="4932">
      <x:c r="A4932" s="85"/>
      <x:c r="B4932" s="86"/>
    </x:row>
    <x:row r="4933">
      <x:c r="A4933" s="85"/>
      <x:c r="B4933" s="86"/>
    </x:row>
    <x:row r="4934">
      <x:c r="A4934" s="85"/>
      <x:c r="B4934" s="86"/>
    </x:row>
    <x:row r="4935">
      <x:c r="A4935" s="85"/>
      <x:c r="B4935" s="86"/>
    </x:row>
    <x:row r="4936">
      <x:c r="A4936" s="85"/>
      <x:c r="B4936" s="86"/>
    </x:row>
    <x:row r="4937">
      <x:c r="A4937" s="85"/>
      <x:c r="B4937" s="86"/>
    </x:row>
    <x:row r="4938">
      <x:c r="A4938" s="85"/>
      <x:c r="B4938" s="86"/>
    </x:row>
    <x:row r="4939">
      <x:c r="A4939" s="85"/>
      <x:c r="B4939" s="86"/>
    </x:row>
    <x:row r="4940">
      <x:c r="A4940" s="85"/>
      <x:c r="B4940" s="86"/>
    </x:row>
    <x:row r="4941">
      <x:c r="A4941" s="85"/>
      <x:c r="B4941" s="86"/>
    </x:row>
    <x:row r="4942">
      <x:c r="A4942" s="85"/>
      <x:c r="B4942" s="86"/>
    </x:row>
    <x:row r="4943">
      <x:c r="A4943" s="85"/>
      <x:c r="B4943" s="86"/>
    </x:row>
    <x:row r="4944">
      <x:c r="A4944" s="85"/>
      <x:c r="B4944" s="86"/>
    </x:row>
    <x:row r="4945">
      <x:c r="A4945" s="85"/>
      <x:c r="B4945" s="86"/>
    </x:row>
    <x:row r="4946">
      <x:c r="A4946" s="85"/>
      <x:c r="B4946" s="86"/>
    </x:row>
    <x:row r="4947">
      <x:c r="A4947" s="85"/>
      <x:c r="B4947" s="86"/>
    </x:row>
    <x:row r="4948">
      <x:c r="A4948" s="85"/>
      <x:c r="B4948" s="86"/>
    </x:row>
    <x:row r="4949">
      <x:c r="A4949" s="85"/>
      <x:c r="B4949" s="86"/>
    </x:row>
    <x:row r="4950">
      <x:c r="A4950" s="85"/>
      <x:c r="B4950" s="86"/>
    </x:row>
    <x:row r="4951">
      <x:c r="A4951" s="85"/>
      <x:c r="B4951" s="86"/>
    </x:row>
    <x:row r="4952">
      <x:c r="A4952" s="85"/>
      <x:c r="B4952" s="86"/>
    </x:row>
    <x:row r="4953">
      <x:c r="A4953" s="85"/>
      <x:c r="B4953" s="86"/>
    </x:row>
    <x:row r="4954">
      <x:c r="A4954" s="85"/>
      <x:c r="B4954" s="86"/>
    </x:row>
    <x:row r="4955">
      <x:c r="A4955" s="85"/>
      <x:c r="B4955" s="86"/>
    </x:row>
    <x:row r="4956">
      <x:c r="A4956" s="85"/>
      <x:c r="B4956" s="86"/>
    </x:row>
    <x:row r="4957">
      <x:c r="A4957" s="85"/>
      <x:c r="B4957" s="86"/>
    </x:row>
    <x:row r="4958">
      <x:c r="A4958" s="85"/>
      <x:c r="B4958" s="86"/>
    </x:row>
    <x:row r="4959">
      <x:c r="A4959" s="85"/>
      <x:c r="B4959" s="86"/>
    </x:row>
    <x:row r="4960">
      <x:c r="A4960" s="85"/>
      <x:c r="B4960" s="86"/>
    </x:row>
    <x:row r="4961">
      <x:c r="A4961" s="85"/>
      <x:c r="B4961" s="86"/>
    </x:row>
    <x:row r="4962">
      <x:c r="A4962" s="85"/>
      <x:c r="B4962" s="86"/>
    </x:row>
    <x:row r="4963">
      <x:c r="A4963" s="85"/>
      <x:c r="B4963" s="86"/>
    </x:row>
    <x:row r="4964">
      <x:c r="A4964" s="85"/>
      <x:c r="B4964" s="86"/>
    </x:row>
    <x:row r="4965">
      <x:c r="A4965" s="85"/>
      <x:c r="B4965" s="86"/>
    </x:row>
    <x:row r="4966">
      <x:c r="A4966" s="85"/>
      <x:c r="B4966" s="86"/>
    </x:row>
    <x:row r="4967">
      <x:c r="A4967" s="85"/>
      <x:c r="B4967" s="86"/>
    </x:row>
    <x:row r="4968">
      <x:c r="A4968" s="85"/>
      <x:c r="B4968" s="86"/>
    </x:row>
    <x:row r="4969">
      <x:c r="A4969" s="85"/>
      <x:c r="B4969" s="86"/>
    </x:row>
    <x:row r="4970">
      <x:c r="A4970" s="85"/>
      <x:c r="B4970" s="86"/>
    </x:row>
    <x:row r="4971">
      <x:c r="A4971" s="85"/>
      <x:c r="B4971" s="86"/>
    </x:row>
    <x:row r="4972">
      <x:c r="A4972" s="85"/>
      <x:c r="B4972" s="86"/>
    </x:row>
    <x:row r="4973">
      <x:c r="A4973" s="85"/>
      <x:c r="B4973" s="86"/>
    </x:row>
    <x:row r="4974">
      <x:c r="A4974" s="85"/>
      <x:c r="B4974" s="86"/>
    </x:row>
    <x:row r="4975">
      <x:c r="A4975" s="85"/>
      <x:c r="B4975" s="86"/>
    </x:row>
    <x:row r="4976">
      <x:c r="A4976" s="85"/>
      <x:c r="B4976" s="86"/>
    </x:row>
    <x:row r="4977">
      <x:c r="A4977" s="85"/>
      <x:c r="B4977" s="86"/>
    </x:row>
    <x:row r="4978">
      <x:c r="A4978" s="85"/>
      <x:c r="B4978" s="86"/>
    </x:row>
    <x:row r="4979">
      <x:c r="A4979" s="85"/>
      <x:c r="B4979" s="86"/>
    </x:row>
    <x:row r="4980">
      <x:c r="A4980" s="85"/>
      <x:c r="B4980" s="86"/>
    </x:row>
    <x:row r="4981">
      <x:c r="A4981" s="85"/>
      <x:c r="B4981" s="86"/>
    </x:row>
    <x:row r="4982">
      <x:c r="A4982" s="85"/>
      <x:c r="B4982" s="86"/>
    </x:row>
    <x:row r="4983">
      <x:c r="A4983" s="85"/>
      <x:c r="B4983" s="86"/>
    </x:row>
    <x:row r="4984">
      <x:c r="A4984" s="85"/>
      <x:c r="B4984" s="86"/>
    </x:row>
    <x:row r="4985">
      <x:c r="A4985" s="85"/>
      <x:c r="B4985" s="86"/>
    </x:row>
    <x:row r="4986">
      <x:c r="A4986" s="85"/>
      <x:c r="B4986" s="86"/>
    </x:row>
    <x:row r="4987">
      <x:c r="A4987" s="85"/>
      <x:c r="B4987" s="86"/>
    </x:row>
    <x:row r="4988">
      <x:c r="A4988" s="85"/>
      <x:c r="B4988" s="86"/>
    </x:row>
    <x:row r="4989">
      <x:c r="A4989" s="85"/>
      <x:c r="B4989" s="86"/>
    </x:row>
    <x:row r="4990">
      <x:c r="A4990" s="85"/>
      <x:c r="B4990" s="86"/>
    </x:row>
    <x:row r="4991">
      <x:c r="A4991" s="85"/>
      <x:c r="B4991" s="86"/>
    </x:row>
    <x:row r="4992">
      <x:c r="A4992" s="85"/>
      <x:c r="B4992" s="86"/>
    </x:row>
    <x:row r="4993">
      <x:c r="A4993" s="85"/>
      <x:c r="B4993" s="86"/>
    </x:row>
    <x:row r="4994">
      <x:c r="A4994" s="85"/>
      <x:c r="B4994" s="86"/>
    </x:row>
    <x:row r="4995">
      <x:c r="A4995" s="85"/>
      <x:c r="B4995" s="86"/>
    </x:row>
    <x:row r="4996">
      <x:c r="A4996" s="85"/>
      <x:c r="B4996" s="86"/>
    </x:row>
    <x:row r="4997">
      <x:c r="A4997" s="85"/>
      <x:c r="B4997" s="86"/>
    </x:row>
    <x:row r="4998">
      <x:c r="A4998" s="85"/>
      <x:c r="B4998" s="86"/>
    </x:row>
    <x:row r="4999">
      <x:c r="A4999" s="85"/>
      <x:c r="B4999" s="86"/>
    </x:row>
    <x:row r="5000">
      <x:c r="A5000" s="85"/>
      <x:c r="B5000" s="86"/>
    </x:row>
    <x:row r="5001">
      <x:c r="A5001" s="85"/>
      <x:c r="B5001" s="86"/>
    </x:row>
    <x:row r="5002">
      <x:c r="A5002" s="85"/>
      <x:c r="B5002" s="86"/>
    </x:row>
    <x:row r="5003">
      <x:c r="A5003" s="85"/>
      <x:c r="B5003" s="86"/>
    </x:row>
    <x:row r="5004">
      <x:c r="A5004" s="85"/>
      <x:c r="B5004" s="86"/>
    </x:row>
    <x:row r="5005">
      <x:c r="A5005" s="85"/>
      <x:c r="B5005" s="86"/>
    </x:row>
    <x:row r="5006">
      <x:c r="A5006" s="85"/>
      <x:c r="B5006" s="86"/>
    </x:row>
    <x:row r="5007">
      <x:c r="A5007" s="85"/>
      <x:c r="B5007" s="86"/>
    </x:row>
    <x:row r="5008">
      <x:c r="A5008" s="85"/>
      <x:c r="B5008" s="86"/>
    </x:row>
    <x:row r="5009">
      <x:c r="A5009" s="85"/>
      <x:c r="B5009" s="86"/>
    </x:row>
    <x:row r="5010">
      <x:c r="A5010" s="85"/>
      <x:c r="B5010" s="86"/>
    </x:row>
    <x:row r="5011">
      <x:c r="A5011" s="85"/>
      <x:c r="B5011" s="86"/>
    </x:row>
    <x:row r="5012">
      <x:c r="A5012" s="85"/>
      <x:c r="B5012" s="86"/>
    </x:row>
    <x:row r="5013">
      <x:c r="A5013" s="85"/>
      <x:c r="B5013" s="86"/>
    </x:row>
    <x:row r="5014">
      <x:c r="A5014" s="85"/>
      <x:c r="B5014" s="86"/>
    </x:row>
    <x:row r="5015">
      <x:c r="A5015" s="85"/>
      <x:c r="B5015" s="86"/>
    </x:row>
    <x:row r="5016">
      <x:c r="A5016" s="85"/>
      <x:c r="B5016" s="86"/>
    </x:row>
    <x:row r="5017">
      <x:c r="A5017" s="85"/>
      <x:c r="B5017" s="86"/>
    </x:row>
    <x:row r="5018">
      <x:c r="A5018" s="85"/>
      <x:c r="B5018" s="86"/>
    </x:row>
    <x:row r="5019">
      <x:c r="A5019" s="85"/>
      <x:c r="B5019" s="86"/>
    </x:row>
    <x:row r="5020">
      <x:c r="A5020" s="85"/>
      <x:c r="B5020" s="86"/>
    </x:row>
    <x:row r="5021">
      <x:c r="A5021" s="85"/>
      <x:c r="B5021" s="86"/>
    </x:row>
    <x:row r="5022">
      <x:c r="A5022" s="85"/>
      <x:c r="B5022" s="86"/>
    </x:row>
    <x:row r="5023">
      <x:c r="A5023" s="85"/>
      <x:c r="B5023" s="86"/>
    </x:row>
    <x:row r="5024">
      <x:c r="A5024" s="85"/>
      <x:c r="B5024" s="86"/>
    </x:row>
    <x:row r="5025">
      <x:c r="A5025" s="85"/>
      <x:c r="B5025" s="86"/>
    </x:row>
    <x:row r="5026">
      <x:c r="A5026" s="85"/>
      <x:c r="B5026" s="86"/>
    </x:row>
    <x:row r="5027">
      <x:c r="A5027" s="85"/>
      <x:c r="B5027" s="86"/>
    </x:row>
    <x:row r="5028">
      <x:c r="A5028" s="85"/>
      <x:c r="B5028" s="86"/>
    </x:row>
    <x:row r="5029">
      <x:c r="A5029" s="85"/>
      <x:c r="B5029" s="86"/>
    </x:row>
    <x:row r="5030">
      <x:c r="A5030" s="85"/>
      <x:c r="B5030" s="86"/>
    </x:row>
    <x:row r="5031">
      <x:c r="A5031" s="85"/>
      <x:c r="B5031" s="86"/>
    </x:row>
    <x:row r="5032">
      <x:c r="A5032" s="85"/>
      <x:c r="B5032" s="86"/>
    </x:row>
    <x:row r="5033">
      <x:c r="A5033" s="85"/>
      <x:c r="B5033" s="86"/>
    </x:row>
    <x:row r="5034">
      <x:c r="A5034" s="85"/>
      <x:c r="B5034" s="86"/>
    </x:row>
    <x:row r="5035">
      <x:c r="A5035" s="85"/>
      <x:c r="B5035" s="86"/>
    </x:row>
    <x:row r="5036">
      <x:c r="A5036" s="85"/>
      <x:c r="B5036" s="86"/>
    </x:row>
    <x:row r="5037">
      <x:c r="A5037" s="85"/>
      <x:c r="B5037" s="86"/>
    </x:row>
    <x:row r="5038">
      <x:c r="A5038" s="85"/>
      <x:c r="B5038" s="86"/>
    </x:row>
    <x:row r="5039">
      <x:c r="A5039" s="85"/>
      <x:c r="B5039" s="86"/>
    </x:row>
    <x:row r="5040">
      <x:c r="A5040" s="85"/>
      <x:c r="B5040" s="86"/>
    </x:row>
    <x:row r="5041">
      <x:c r="A5041" s="85"/>
      <x:c r="B5041" s="86"/>
    </x:row>
    <x:row r="5042">
      <x:c r="A5042" s="85"/>
      <x:c r="B5042" s="86"/>
    </x:row>
    <x:row r="5043">
      <x:c r="A5043" s="85"/>
      <x:c r="B5043" s="86"/>
    </x:row>
    <x:row r="5044">
      <x:c r="A5044" s="85"/>
      <x:c r="B5044" s="86"/>
    </x:row>
    <x:row r="5045">
      <x:c r="A5045" s="85"/>
      <x:c r="B5045" s="86"/>
    </x:row>
    <x:row r="5046">
      <x:c r="A5046" s="85"/>
      <x:c r="B5046" s="86"/>
    </x:row>
    <x:row r="5047">
      <x:c r="A5047" s="85"/>
      <x:c r="B5047" s="86"/>
    </x:row>
    <x:row r="5048">
      <x:c r="A5048" s="85"/>
      <x:c r="B5048" s="86"/>
    </x:row>
    <x:row r="5049">
      <x:c r="A5049" s="85"/>
      <x:c r="B5049" s="86"/>
    </x:row>
    <x:row r="5050">
      <x:c r="A5050" s="85"/>
      <x:c r="B5050" s="86"/>
    </x:row>
    <x:row r="5051">
      <x:c r="A5051" s="85"/>
      <x:c r="B5051" s="86"/>
    </x:row>
    <x:row r="5052">
      <x:c r="A5052" s="85"/>
      <x:c r="B5052" s="86"/>
    </x:row>
    <x:row r="5053">
      <x:c r="A5053" s="85"/>
      <x:c r="B5053" s="86"/>
    </x:row>
    <x:row r="5054">
      <x:c r="A5054" s="85"/>
      <x:c r="B5054" s="86"/>
    </x:row>
    <x:row r="5055">
      <x:c r="A5055" s="85"/>
      <x:c r="B5055" s="86"/>
    </x:row>
    <x:row r="5056">
      <x:c r="A5056" s="85"/>
      <x:c r="B5056" s="86"/>
    </x:row>
    <x:row r="5057">
      <x:c r="A5057" s="85"/>
      <x:c r="B5057" s="86"/>
    </x:row>
    <x:row r="5058">
      <x:c r="A5058" s="85"/>
      <x:c r="B5058" s="86"/>
    </x:row>
    <x:row r="5059">
      <x:c r="A5059" s="85"/>
      <x:c r="B5059" s="86"/>
    </x:row>
    <x:row r="5060">
      <x:c r="A5060" s="85"/>
      <x:c r="B5060" s="86"/>
    </x:row>
    <x:row r="5061">
      <x:c r="A5061" s="85"/>
      <x:c r="B5061" s="86"/>
    </x:row>
    <x:row r="5062">
      <x:c r="A5062" s="85"/>
      <x:c r="B5062" s="86"/>
    </x:row>
    <x:row r="5063">
      <x:c r="A5063" s="85"/>
      <x:c r="B5063" s="86"/>
    </x:row>
    <x:row r="5064">
      <x:c r="A5064" s="85"/>
      <x:c r="B5064" s="86"/>
    </x:row>
    <x:row r="5065">
      <x:c r="A5065" s="85"/>
      <x:c r="B5065" s="86"/>
    </x:row>
    <x:row r="5066">
      <x:c r="A5066" s="85"/>
      <x:c r="B5066" s="86"/>
    </x:row>
    <x:row r="5067">
      <x:c r="A5067" s="85"/>
      <x:c r="B5067" s="86"/>
    </x:row>
    <x:row r="5068">
      <x:c r="A5068" s="85"/>
      <x:c r="B5068" s="86"/>
    </x:row>
    <x:row r="5069">
      <x:c r="A5069" s="85"/>
      <x:c r="B5069" s="86"/>
    </x:row>
    <x:row r="5070">
      <x:c r="A5070" s="85"/>
      <x:c r="B5070" s="86"/>
    </x:row>
    <x:row r="5071">
      <x:c r="A5071" s="85"/>
      <x:c r="B5071" s="86"/>
    </x:row>
    <x:row r="5072">
      <x:c r="A5072" s="85"/>
      <x:c r="B5072" s="86"/>
    </x:row>
    <x:row r="5073">
      <x:c r="A5073" s="85"/>
      <x:c r="B5073" s="86"/>
    </x:row>
    <x:row r="5074">
      <x:c r="A5074" s="85"/>
      <x:c r="B5074" s="86"/>
    </x:row>
    <x:row r="5075">
      <x:c r="A5075" s="85"/>
      <x:c r="B5075" s="86"/>
    </x:row>
    <x:row r="5076">
      <x:c r="A5076" s="85"/>
      <x:c r="B5076" s="86"/>
    </x:row>
    <x:row r="5077">
      <x:c r="A5077" s="85"/>
      <x:c r="B5077" s="86"/>
    </x:row>
    <x:row r="5078">
      <x:c r="A5078" s="85"/>
      <x:c r="B5078" s="86"/>
    </x:row>
    <x:row r="5079">
      <x:c r="A5079" s="85"/>
      <x:c r="B5079" s="86"/>
    </x:row>
    <x:row r="5080">
      <x:c r="A5080" s="85"/>
      <x:c r="B5080" s="86"/>
    </x:row>
    <x:row r="5081">
      <x:c r="A5081" s="85"/>
      <x:c r="B5081" s="86"/>
    </x:row>
    <x:row r="5082">
      <x:c r="A5082" s="85"/>
      <x:c r="B5082" s="86"/>
    </x:row>
    <x:row r="5083">
      <x:c r="A5083" s="85"/>
      <x:c r="B5083" s="86"/>
    </x:row>
    <x:row r="5084">
      <x:c r="A5084" s="85"/>
      <x:c r="B5084" s="86"/>
    </x:row>
    <x:row r="5085">
      <x:c r="A5085" s="85"/>
      <x:c r="B5085" s="86"/>
    </x:row>
    <x:row r="5086">
      <x:c r="A5086" s="85"/>
      <x:c r="B5086" s="86"/>
    </x:row>
    <x:row r="5087">
      <x:c r="A5087" s="85"/>
      <x:c r="B5087" s="86"/>
    </x:row>
    <x:row r="5088">
      <x:c r="A5088" s="85"/>
      <x:c r="B5088" s="86"/>
    </x:row>
    <x:row r="5089">
      <x:c r="A5089" s="85"/>
      <x:c r="B5089" s="86"/>
    </x:row>
    <x:row r="5090">
      <x:c r="A5090" s="85"/>
      <x:c r="B5090" s="86"/>
    </x:row>
    <x:row r="5091">
      <x:c r="A5091" s="85"/>
      <x:c r="B5091" s="86"/>
    </x:row>
    <x:row r="5092">
      <x:c r="A5092" s="85"/>
      <x:c r="B5092" s="86"/>
    </x:row>
    <x:row r="5093">
      <x:c r="A5093" s="85"/>
      <x:c r="B5093" s="86"/>
    </x:row>
    <x:row r="5094">
      <x:c r="A5094" s="85"/>
      <x:c r="B5094" s="86"/>
    </x:row>
    <x:row r="5095">
      <x:c r="A5095" s="85"/>
      <x:c r="B5095" s="86"/>
    </x:row>
    <x:row r="5096">
      <x:c r="A5096" s="85"/>
      <x:c r="B5096" s="86"/>
    </x:row>
    <x:row r="5097">
      <x:c r="A5097" s="85"/>
      <x:c r="B5097" s="86"/>
    </x:row>
    <x:row r="5098">
      <x:c r="A5098" s="85"/>
      <x:c r="B5098" s="86"/>
    </x:row>
    <x:row r="5099">
      <x:c r="A5099" s="85"/>
      <x:c r="B5099" s="86"/>
    </x:row>
    <x:row r="5100">
      <x:c r="A5100" s="85"/>
      <x:c r="B5100" s="86"/>
    </x:row>
    <x:row r="5101">
      <x:c r="A5101" s="85"/>
      <x:c r="B5101" s="86"/>
    </x:row>
    <x:row r="5102">
      <x:c r="A5102" s="85"/>
      <x:c r="B5102" s="86"/>
    </x:row>
    <x:row r="5103">
      <x:c r="A5103" s="85"/>
      <x:c r="B5103" s="86"/>
    </x:row>
    <x:row r="5104">
      <x:c r="A5104" s="85"/>
      <x:c r="B5104" s="86"/>
    </x:row>
    <x:row r="5105">
      <x:c r="A5105" s="85"/>
      <x:c r="B5105" s="86"/>
    </x:row>
    <x:row r="5106">
      <x:c r="A5106" s="85"/>
      <x:c r="B5106" s="86"/>
    </x:row>
    <x:row r="5107">
      <x:c r="A5107" s="85"/>
      <x:c r="B5107" s="86"/>
    </x:row>
    <x:row r="5108">
      <x:c r="A5108" s="85"/>
      <x:c r="B5108" s="86"/>
    </x:row>
    <x:row r="5109">
      <x:c r="A5109" s="85"/>
      <x:c r="B5109" s="86"/>
    </x:row>
    <x:row r="5110">
      <x:c r="A5110" s="85"/>
      <x:c r="B5110" s="86"/>
    </x:row>
    <x:row r="5111">
      <x:c r="A5111" s="85"/>
      <x:c r="B5111" s="86"/>
    </x:row>
    <x:row r="5112">
      <x:c r="A5112" s="85"/>
      <x:c r="B5112" s="86"/>
    </x:row>
    <x:row r="5113">
      <x:c r="A5113" s="85"/>
      <x:c r="B5113" s="86"/>
    </x:row>
    <x:row r="5114">
      <x:c r="A5114" s="85"/>
      <x:c r="B5114" s="86"/>
    </x:row>
    <x:row r="5115">
      <x:c r="A5115" s="85"/>
      <x:c r="B5115" s="86"/>
    </x:row>
    <x:row r="5116">
      <x:c r="A5116" s="85"/>
      <x:c r="B5116" s="86"/>
    </x:row>
    <x:row r="5117">
      <x:c r="A5117" s="85"/>
      <x:c r="B5117" s="86"/>
    </x:row>
    <x:row r="5118">
      <x:c r="A5118" s="85"/>
      <x:c r="B5118" s="86"/>
    </x:row>
    <x:row r="5119">
      <x:c r="A5119" s="85"/>
      <x:c r="B5119" s="86"/>
    </x:row>
    <x:row r="5120">
      <x:c r="A5120" s="85"/>
      <x:c r="B5120" s="86"/>
    </x:row>
    <x:row r="5121">
      <x:c r="A5121" s="85"/>
      <x:c r="B5121" s="86"/>
    </x:row>
    <x:row r="5122">
      <x:c r="A5122" s="85"/>
      <x:c r="B5122" s="86"/>
    </x:row>
    <x:row r="5123">
      <x:c r="A5123" s="85"/>
      <x:c r="B5123" s="86"/>
    </x:row>
    <x:row r="5124">
      <x:c r="A5124" s="85"/>
      <x:c r="B5124" s="86"/>
    </x:row>
    <x:row r="5125">
      <x:c r="A5125" s="85"/>
      <x:c r="B5125" s="86"/>
    </x:row>
    <x:row r="5126">
      <x:c r="A5126" s="85"/>
      <x:c r="B5126" s="86"/>
    </x:row>
    <x:row r="5127">
      <x:c r="A5127" s="85"/>
      <x:c r="B5127" s="86"/>
    </x:row>
    <x:row r="5128">
      <x:c r="A5128" s="85"/>
      <x:c r="B5128" s="86"/>
    </x:row>
    <x:row r="5129">
      <x:c r="A5129" s="85"/>
      <x:c r="B5129" s="86"/>
    </x:row>
    <x:row r="5130">
      <x:c r="A5130" s="85"/>
      <x:c r="B5130" s="86"/>
    </x:row>
    <x:row r="5131">
      <x:c r="A5131" s="85"/>
      <x:c r="B5131" s="86"/>
    </x:row>
    <x:row r="5132">
      <x:c r="A5132" s="85"/>
      <x:c r="B5132" s="86"/>
    </x:row>
    <x:row r="5133">
      <x:c r="A5133" s="85"/>
      <x:c r="B5133" s="86"/>
    </x:row>
    <x:row r="5134">
      <x:c r="A5134" s="85"/>
      <x:c r="B5134" s="86"/>
    </x:row>
    <x:row r="5135">
      <x:c r="A5135" s="85"/>
      <x:c r="B5135" s="86"/>
    </x:row>
    <x:row r="5136">
      <x:c r="A5136" s="85"/>
      <x:c r="B5136" s="86"/>
    </x:row>
    <x:row r="5137">
      <x:c r="A5137" s="85"/>
      <x:c r="B5137" s="86"/>
    </x:row>
    <x:row r="5138">
      <x:c r="A5138" s="85"/>
      <x:c r="B5138" s="86"/>
    </x:row>
    <x:row r="5139">
      <x:c r="A5139" s="85"/>
      <x:c r="B5139" s="86"/>
    </x:row>
    <x:row r="5140">
      <x:c r="A5140" s="85"/>
      <x:c r="B5140" s="86"/>
    </x:row>
    <x:row r="5141">
      <x:c r="A5141" s="85"/>
      <x:c r="B5141" s="86"/>
    </x:row>
    <x:row r="5142">
      <x:c r="A5142" s="85"/>
      <x:c r="B5142" s="86"/>
    </x:row>
    <x:row r="5143">
      <x:c r="A5143" s="85"/>
      <x:c r="B5143" s="86"/>
    </x:row>
    <x:row r="5144">
      <x:c r="A5144" s="85"/>
      <x:c r="B5144" s="86"/>
    </x:row>
    <x:row r="5145">
      <x:c r="A5145" s="85"/>
      <x:c r="B5145" s="86"/>
    </x:row>
    <x:row r="5146">
      <x:c r="A5146" s="85"/>
      <x:c r="B5146" s="86"/>
    </x:row>
    <x:row r="5147">
      <x:c r="A5147" s="85"/>
      <x:c r="B5147" s="86"/>
    </x:row>
    <x:row r="5148">
      <x:c r="A5148" s="85"/>
      <x:c r="B5148" s="86"/>
    </x:row>
    <x:row r="5149">
      <x:c r="A5149" s="85"/>
      <x:c r="B5149" s="86"/>
    </x:row>
    <x:row r="5150">
      <x:c r="A5150" s="85"/>
      <x:c r="B5150" s="86"/>
    </x:row>
    <x:row r="5151">
      <x:c r="A5151" s="85"/>
      <x:c r="B5151" s="86"/>
    </x:row>
    <x:row r="5152">
      <x:c r="A5152" s="85"/>
      <x:c r="B5152" s="86"/>
    </x:row>
    <x:row r="5153">
      <x:c r="A5153" s="85"/>
      <x:c r="B5153" s="86"/>
    </x:row>
    <x:row r="5154">
      <x:c r="A5154" s="85"/>
      <x:c r="B5154" s="86"/>
    </x:row>
    <x:row r="5155">
      <x:c r="A5155" s="85"/>
      <x:c r="B5155" s="86"/>
    </x:row>
    <x:row r="5156">
      <x:c r="A5156" s="85"/>
      <x:c r="B5156" s="86"/>
    </x:row>
    <x:row r="5157">
      <x:c r="A5157" s="85"/>
      <x:c r="B5157" s="86"/>
    </x:row>
    <x:row r="5158">
      <x:c r="A5158" s="85"/>
      <x:c r="B5158" s="86"/>
    </x:row>
    <x:row r="5159">
      <x:c r="A5159" s="85"/>
      <x:c r="B5159" s="86"/>
    </x:row>
    <x:row r="5160">
      <x:c r="A5160" s="85"/>
      <x:c r="B5160" s="86"/>
    </x:row>
    <x:row r="5161">
      <x:c r="A5161" s="85"/>
      <x:c r="B5161" s="86"/>
    </x:row>
    <x:row r="5162">
      <x:c r="A5162" s="85"/>
      <x:c r="B5162" s="86"/>
    </x:row>
    <x:row r="5163">
      <x:c r="A5163" s="85"/>
      <x:c r="B5163" s="86"/>
    </x:row>
    <x:row r="5164">
      <x:c r="A5164" s="85"/>
      <x:c r="B5164" s="86"/>
    </x:row>
    <x:row r="5165">
      <x:c r="A5165" s="85"/>
      <x:c r="B5165" s="86"/>
    </x:row>
    <x:row r="5166">
      <x:c r="A5166" s="85"/>
      <x:c r="B5166" s="86"/>
    </x:row>
    <x:row r="5167">
      <x:c r="A5167" s="85"/>
      <x:c r="B5167" s="86"/>
    </x:row>
    <x:row r="5168">
      <x:c r="A5168" s="85"/>
      <x:c r="B5168" s="86"/>
    </x:row>
    <x:row r="5169">
      <x:c r="A5169" s="85"/>
      <x:c r="B5169" s="86"/>
    </x:row>
    <x:row r="5170">
      <x:c r="A5170" s="85"/>
      <x:c r="B5170" s="86"/>
    </x:row>
    <x:row r="5171">
      <x:c r="A5171" s="85"/>
      <x:c r="B5171" s="86"/>
    </x:row>
    <x:row r="5172">
      <x:c r="A5172" s="85"/>
      <x:c r="B5172" s="86"/>
    </x:row>
    <x:row r="5173">
      <x:c r="A5173" s="85"/>
      <x:c r="B5173" s="86"/>
    </x:row>
    <x:row r="5174">
      <x:c r="A5174" s="85"/>
      <x:c r="B5174" s="86"/>
    </x:row>
    <x:row r="5175">
      <x:c r="A5175" s="85"/>
      <x:c r="B5175" s="86"/>
    </x:row>
    <x:row r="5176">
      <x:c r="A5176" s="85"/>
      <x:c r="B5176" s="86"/>
    </x:row>
    <x:row r="5177">
      <x:c r="A5177" s="85"/>
      <x:c r="B5177" s="86"/>
    </x:row>
    <x:row r="5178">
      <x:c r="A5178" s="85"/>
      <x:c r="B5178" s="86"/>
    </x:row>
    <x:row r="5179">
      <x:c r="A5179" s="85"/>
      <x:c r="B5179" s="86"/>
    </x:row>
    <x:row r="5180">
      <x:c r="A5180" s="85"/>
      <x:c r="B5180" s="86"/>
    </x:row>
    <x:row r="5181">
      <x:c r="A5181" s="85"/>
      <x:c r="B5181" s="86"/>
    </x:row>
    <x:row r="5182">
      <x:c r="A5182" s="85"/>
      <x:c r="B5182" s="86"/>
    </x:row>
    <x:row r="5183">
      <x:c r="A5183" s="85"/>
      <x:c r="B5183" s="86"/>
    </x:row>
    <x:row r="5184">
      <x:c r="A5184" s="85"/>
      <x:c r="B5184" s="86"/>
    </x:row>
    <x:row r="5185">
      <x:c r="A5185" s="85"/>
      <x:c r="B5185" s="86"/>
    </x:row>
    <x:row r="5186">
      <x:c r="A5186" s="85"/>
      <x:c r="B5186" s="86"/>
    </x:row>
    <x:row r="5187">
      <x:c r="A5187" s="85"/>
      <x:c r="B5187" s="86"/>
    </x:row>
    <x:row r="5188">
      <x:c r="A5188" s="85"/>
      <x:c r="B5188" s="86"/>
    </x:row>
    <x:row r="5189">
      <x:c r="A5189" s="85"/>
      <x:c r="B5189" s="86"/>
    </x:row>
    <x:row r="5190">
      <x:c r="A5190" s="85"/>
      <x:c r="B5190" s="86"/>
    </x:row>
    <x:row r="5191">
      <x:c r="A5191" s="85"/>
      <x:c r="B5191" s="86"/>
    </x:row>
    <x:row r="5192">
      <x:c r="A5192" s="85"/>
      <x:c r="B5192" s="86"/>
    </x:row>
    <x:row r="5193">
      <x:c r="A5193" s="85"/>
      <x:c r="B5193" s="86"/>
    </x:row>
    <x:row r="5194">
      <x:c r="A5194" s="85"/>
      <x:c r="B5194" s="86"/>
    </x:row>
    <x:row r="5195">
      <x:c r="A5195" s="85"/>
      <x:c r="B5195" s="86"/>
    </x:row>
    <x:row r="5196">
      <x:c r="A5196" s="85"/>
      <x:c r="B5196" s="86"/>
    </x:row>
    <x:row r="5197">
      <x:c r="A5197" s="85"/>
      <x:c r="B5197" s="86"/>
    </x:row>
    <x:row r="5198">
      <x:c r="A5198" s="85"/>
      <x:c r="B5198" s="86"/>
    </x:row>
    <x:row r="5199">
      <x:c r="A5199" s="85"/>
      <x:c r="B5199" s="86"/>
    </x:row>
    <x:row r="5200">
      <x:c r="A5200" s="85"/>
      <x:c r="B5200" s="86"/>
    </x:row>
    <x:row r="5201">
      <x:c r="A5201" s="85"/>
      <x:c r="B5201" s="86"/>
    </x:row>
    <x:row r="5202">
      <x:c r="A5202" s="85"/>
      <x:c r="B5202" s="86"/>
    </x:row>
    <x:row r="5203">
      <x:c r="A5203" s="85"/>
      <x:c r="B5203" s="86"/>
    </x:row>
    <x:row r="5204">
      <x:c r="A5204" s="85"/>
      <x:c r="B5204" s="86"/>
    </x:row>
    <x:row r="5205">
      <x:c r="A5205" s="85"/>
      <x:c r="B5205" s="86"/>
    </x:row>
    <x:row r="5206">
      <x:c r="A5206" s="85"/>
      <x:c r="B5206" s="86"/>
    </x:row>
    <x:row r="5207">
      <x:c r="A5207" s="85"/>
      <x:c r="B5207" s="86"/>
    </x:row>
    <x:row r="5208">
      <x:c r="A5208" s="85"/>
      <x:c r="B5208" s="86"/>
    </x:row>
    <x:row r="5209">
      <x:c r="A5209" s="85"/>
      <x:c r="B5209" s="86"/>
    </x:row>
    <x:row r="5210">
      <x:c r="A5210" s="85"/>
      <x:c r="B5210" s="86"/>
    </x:row>
    <x:row r="5211">
      <x:c r="A5211" s="85"/>
      <x:c r="B5211" s="86"/>
    </x:row>
    <x:row r="5212">
      <x:c r="A5212" s="85"/>
      <x:c r="B5212" s="86"/>
    </x:row>
    <x:row r="5213">
      <x:c r="A5213" s="85"/>
      <x:c r="B5213" s="86"/>
    </x:row>
    <x:row r="5214">
      <x:c r="A5214" s="85"/>
      <x:c r="B5214" s="86"/>
    </x:row>
    <x:row r="5215">
      <x:c r="A5215" s="85"/>
      <x:c r="B5215" s="86"/>
    </x:row>
    <x:row r="5216">
      <x:c r="A5216" s="85"/>
      <x:c r="B5216" s="86"/>
    </x:row>
    <x:row r="5217">
      <x:c r="A5217" s="85"/>
      <x:c r="B5217" s="86"/>
    </x:row>
    <x:row r="5218">
      <x:c r="A5218" s="85"/>
      <x:c r="B5218" s="86"/>
    </x:row>
    <x:row r="5219">
      <x:c r="A5219" s="85"/>
      <x:c r="B5219" s="86"/>
    </x:row>
    <x:row r="5220">
      <x:c r="A5220" s="85"/>
      <x:c r="B5220" s="86"/>
    </x:row>
    <x:row r="5221">
      <x:c r="A5221" s="85"/>
      <x:c r="B5221" s="86"/>
    </x:row>
    <x:row r="5222">
      <x:c r="A5222" s="85"/>
      <x:c r="B5222" s="86"/>
    </x:row>
    <x:row r="5223">
      <x:c r="A5223" s="85"/>
      <x:c r="B5223" s="86"/>
    </x:row>
    <x:row r="5224">
      <x:c r="A5224" s="85"/>
      <x:c r="B5224" s="86"/>
    </x:row>
    <x:row r="5225">
      <x:c r="A5225" s="85"/>
      <x:c r="B5225" s="86"/>
    </x:row>
    <x:row r="5226">
      <x:c r="A5226" s="85"/>
      <x:c r="B5226" s="86"/>
    </x:row>
    <x:row r="5227">
      <x:c r="A5227" s="85"/>
      <x:c r="B5227" s="86"/>
    </x:row>
    <x:row r="5228">
      <x:c r="A5228" s="85"/>
      <x:c r="B5228" s="86"/>
    </x:row>
    <x:row r="5229">
      <x:c r="A5229" s="85"/>
      <x:c r="B5229" s="86"/>
    </x:row>
    <x:row r="5230">
      <x:c r="A5230" s="85"/>
      <x:c r="B5230" s="86"/>
    </x:row>
    <x:row r="5231">
      <x:c r="A5231" s="85"/>
      <x:c r="B5231" s="86"/>
    </x:row>
    <x:row r="5232">
      <x:c r="A5232" s="85"/>
      <x:c r="B5232" s="86"/>
    </x:row>
    <x:row r="5233">
      <x:c r="A5233" s="85"/>
      <x:c r="B5233" s="86"/>
    </x:row>
    <x:row r="5234">
      <x:c r="A5234" s="85"/>
      <x:c r="B5234" s="86"/>
    </x:row>
    <x:row r="5235">
      <x:c r="A5235" s="85"/>
      <x:c r="B5235" s="86"/>
    </x:row>
    <x:row r="5236">
      <x:c r="A5236" s="85"/>
      <x:c r="B5236" s="86"/>
    </x:row>
    <x:row r="5237">
      <x:c r="A5237" s="85"/>
      <x:c r="B5237" s="86"/>
    </x:row>
    <x:row r="5238">
      <x:c r="A5238" s="85"/>
      <x:c r="B5238" s="86"/>
    </x:row>
    <x:row r="5239">
      <x:c r="A5239" s="85"/>
      <x:c r="B5239" s="86"/>
    </x:row>
    <x:row r="5240">
      <x:c r="A5240" s="85"/>
      <x:c r="B5240" s="86"/>
    </x:row>
    <x:row r="5241">
      <x:c r="A5241" s="85"/>
      <x:c r="B5241" s="86"/>
    </x:row>
    <x:row r="5242">
      <x:c r="A5242" s="85"/>
      <x:c r="B5242" s="86"/>
    </x:row>
    <x:row r="5243">
      <x:c r="A5243" s="85"/>
      <x:c r="B5243" s="86"/>
    </x:row>
    <x:row r="5244">
      <x:c r="A5244" s="85"/>
      <x:c r="B5244" s="86"/>
    </x:row>
    <x:row r="5245">
      <x:c r="A5245" s="85"/>
      <x:c r="B5245" s="86"/>
    </x:row>
    <x:row r="5246">
      <x:c r="A5246" s="85"/>
      <x:c r="B5246" s="86"/>
    </x:row>
    <x:row r="5247">
      <x:c r="A5247" s="85"/>
      <x:c r="B5247" s="86"/>
    </x:row>
    <x:row r="5248">
      <x:c r="A5248" s="85"/>
      <x:c r="B5248" s="86"/>
    </x:row>
    <x:row r="5249">
      <x:c r="A5249" s="85"/>
      <x:c r="B5249" s="86"/>
    </x:row>
    <x:row r="5250">
      <x:c r="A5250" s="85"/>
      <x:c r="B5250" s="86"/>
    </x:row>
    <x:row r="5251">
      <x:c r="A5251" s="85"/>
      <x:c r="B5251" s="86"/>
    </x:row>
    <x:row r="5252">
      <x:c r="A5252" s="85"/>
      <x:c r="B5252" s="86"/>
    </x:row>
    <x:row r="5253">
      <x:c r="A5253" s="85"/>
      <x:c r="B5253" s="86"/>
    </x:row>
    <x:row r="5254">
      <x:c r="A5254" s="85"/>
      <x:c r="B5254" s="86"/>
    </x:row>
    <x:row r="5255">
      <x:c r="A5255" s="85"/>
      <x:c r="B5255" s="86"/>
    </x:row>
    <x:row r="5256">
      <x:c r="A5256" s="85"/>
      <x:c r="B5256" s="86"/>
    </x:row>
    <x:row r="5257">
      <x:c r="A5257" s="85"/>
      <x:c r="B5257" s="86"/>
    </x:row>
    <x:row r="5258">
      <x:c r="A5258" s="85"/>
      <x:c r="B5258" s="86"/>
    </x:row>
    <x:row r="5259">
      <x:c r="A5259" s="85"/>
      <x:c r="B5259" s="86"/>
    </x:row>
    <x:row r="5260">
      <x:c r="A5260" s="85"/>
      <x:c r="B5260" s="86"/>
    </x:row>
    <x:row r="5261">
      <x:c r="A5261" s="85"/>
      <x:c r="B5261" s="86"/>
    </x:row>
    <x:row r="5262">
      <x:c r="A5262" s="85"/>
      <x:c r="B5262" s="86"/>
    </x:row>
    <x:row r="5263">
      <x:c r="A5263" s="85"/>
      <x:c r="B5263" s="86"/>
    </x:row>
    <x:row r="5264">
      <x:c r="A5264" s="85"/>
      <x:c r="B5264" s="86"/>
    </x:row>
    <x:row r="5265">
      <x:c r="A5265" s="85"/>
      <x:c r="B5265" s="86"/>
    </x:row>
    <x:row r="5266">
      <x:c r="A5266" s="85"/>
      <x:c r="B5266" s="86"/>
    </x:row>
    <x:row r="5267">
      <x:c r="A5267" s="85"/>
      <x:c r="B5267" s="86"/>
    </x:row>
    <x:row r="5268">
      <x:c r="A5268" s="85"/>
      <x:c r="B5268" s="86"/>
    </x:row>
    <x:row r="5269">
      <x:c r="A5269" s="85"/>
      <x:c r="B5269" s="86"/>
    </x:row>
    <x:row r="5270">
      <x:c r="A5270" s="85"/>
      <x:c r="B5270" s="86"/>
    </x:row>
    <x:row r="5271">
      <x:c r="A5271" s="85"/>
      <x:c r="B5271" s="86"/>
    </x:row>
    <x:row r="5272">
      <x:c r="A5272" s="85"/>
      <x:c r="B5272" s="86"/>
    </x:row>
    <x:row r="5273">
      <x:c r="A5273" s="85"/>
      <x:c r="B5273" s="86"/>
    </x:row>
    <x:row r="5274">
      <x:c r="A5274" s="85"/>
      <x:c r="B5274" s="86"/>
    </x:row>
    <x:row r="5275">
      <x:c r="A5275" s="85"/>
      <x:c r="B5275" s="86"/>
    </x:row>
    <x:row r="5276">
      <x:c r="A5276" s="85"/>
      <x:c r="B5276" s="86"/>
    </x:row>
    <x:row r="5277">
      <x:c r="A5277" s="85"/>
      <x:c r="B5277" s="86"/>
    </x:row>
    <x:row r="5278">
      <x:c r="A5278" s="85"/>
      <x:c r="B5278" s="86"/>
    </x:row>
    <x:row r="5279">
      <x:c r="A5279" s="85"/>
      <x:c r="B5279" s="86"/>
    </x:row>
    <x:row r="5280">
      <x:c r="A5280" s="85"/>
      <x:c r="B5280" s="86"/>
    </x:row>
    <x:row r="5281">
      <x:c r="A5281" s="85"/>
      <x:c r="B5281" s="86"/>
    </x:row>
    <x:row r="5282">
      <x:c r="A5282" s="85"/>
      <x:c r="B5282" s="86"/>
    </x:row>
    <x:row r="5283">
      <x:c r="A5283" s="85"/>
      <x:c r="B5283" s="86"/>
    </x:row>
    <x:row r="5284">
      <x:c r="A5284" s="85"/>
      <x:c r="B5284" s="86"/>
    </x:row>
    <x:row r="5285">
      <x:c r="A5285" s="85"/>
      <x:c r="B5285" s="86"/>
    </x:row>
    <x:row r="5286">
      <x:c r="A5286" s="85"/>
      <x:c r="B5286" s="86"/>
    </x:row>
    <x:row r="5287">
      <x:c r="A5287" s="85"/>
      <x:c r="B5287" s="86"/>
    </x:row>
    <x:row r="5288">
      <x:c r="A5288" s="85"/>
      <x:c r="B5288" s="86"/>
    </x:row>
    <x:row r="5289">
      <x:c r="A5289" s="85"/>
      <x:c r="B5289" s="86"/>
    </x:row>
    <x:row r="5290">
      <x:c r="A5290" s="85"/>
      <x:c r="B5290" s="86"/>
    </x:row>
    <x:row r="5291">
      <x:c r="A5291" s="85"/>
      <x:c r="B5291" s="86"/>
    </x:row>
    <x:row r="5292">
      <x:c r="A5292" s="85"/>
      <x:c r="B5292" s="86"/>
    </x:row>
    <x:row r="5293">
      <x:c r="A5293" s="85"/>
      <x:c r="B5293" s="86"/>
    </x:row>
    <x:row r="5294">
      <x:c r="A5294" s="85"/>
      <x:c r="B5294" s="86"/>
    </x:row>
    <x:row r="5295">
      <x:c r="A5295" s="85"/>
      <x:c r="B5295" s="86"/>
    </x:row>
    <x:row r="5296">
      <x:c r="A5296" s="85"/>
      <x:c r="B5296" s="86"/>
    </x:row>
    <x:row r="5297">
      <x:c r="A5297" s="85"/>
      <x:c r="B5297" s="86"/>
    </x:row>
    <x:row r="5298">
      <x:c r="A5298" s="85"/>
      <x:c r="B5298" s="86"/>
    </x:row>
    <x:row r="5299">
      <x:c r="A5299" s="85"/>
      <x:c r="B5299" s="86"/>
    </x:row>
    <x:row r="5300">
      <x:c r="A5300" s="85"/>
      <x:c r="B5300" s="86"/>
    </x:row>
    <x:row r="5301">
      <x:c r="A5301" s="85"/>
      <x:c r="B5301" s="86"/>
    </x:row>
    <x:row r="5302">
      <x:c r="A5302" s="85"/>
      <x:c r="B5302" s="86"/>
    </x:row>
    <x:row r="5303">
      <x:c r="A5303" s="85"/>
      <x:c r="B5303" s="86"/>
    </x:row>
    <x:row r="5304">
      <x:c r="A5304" s="85"/>
      <x:c r="B5304" s="86"/>
    </x:row>
    <x:row r="5305">
      <x:c r="A5305" s="85"/>
      <x:c r="B5305" s="86"/>
    </x:row>
    <x:row r="5306">
      <x:c r="A5306" s="85"/>
      <x:c r="B5306" s="86"/>
    </x:row>
    <x:row r="5307">
      <x:c r="A5307" s="85"/>
      <x:c r="B5307" s="86"/>
    </x:row>
    <x:row r="5308">
      <x:c r="A5308" s="85"/>
      <x:c r="B5308" s="86"/>
    </x:row>
    <x:row r="5309">
      <x:c r="A5309" s="85"/>
      <x:c r="B5309" s="86"/>
    </x:row>
    <x:row r="5310">
      <x:c r="A5310" s="85"/>
      <x:c r="B5310" s="86"/>
    </x:row>
    <x:row r="5311">
      <x:c r="A5311" s="85"/>
      <x:c r="B5311" s="86"/>
    </x:row>
    <x:row r="5312">
      <x:c r="A5312" s="85"/>
      <x:c r="B5312" s="86"/>
    </x:row>
    <x:row r="5313">
      <x:c r="A5313" s="85"/>
      <x:c r="B5313" s="86"/>
    </x:row>
    <x:row r="5314">
      <x:c r="A5314" s="85"/>
      <x:c r="B5314" s="86"/>
    </x:row>
    <x:row r="5315">
      <x:c r="A5315" s="85"/>
      <x:c r="B5315" s="86"/>
    </x:row>
    <x:row r="5316">
      <x:c r="A5316" s="85"/>
      <x:c r="B5316" s="86"/>
    </x:row>
    <x:row r="5317">
      <x:c r="A5317" s="85"/>
      <x:c r="B5317" s="86"/>
    </x:row>
    <x:row r="5318">
      <x:c r="A5318" s="85"/>
      <x:c r="B5318" s="86"/>
    </x:row>
    <x:row r="5319">
      <x:c r="A5319" s="85"/>
      <x:c r="B5319" s="86"/>
    </x:row>
    <x:row r="5320">
      <x:c r="A5320" s="85"/>
      <x:c r="B5320" s="86"/>
    </x:row>
    <x:row r="5321">
      <x:c r="A5321" s="85"/>
      <x:c r="B5321" s="86"/>
    </x:row>
    <x:row r="5322">
      <x:c r="A5322" s="85"/>
      <x:c r="B5322" s="86"/>
    </x:row>
    <x:row r="5323">
      <x:c r="A5323" s="85"/>
      <x:c r="B5323" s="86"/>
    </x:row>
    <x:row r="5324">
      <x:c r="A5324" s="85"/>
      <x:c r="B5324" s="86"/>
    </x:row>
    <x:row r="5325">
      <x:c r="A5325" s="85"/>
      <x:c r="B5325" s="86"/>
    </x:row>
    <x:row r="5326">
      <x:c r="A5326" s="85"/>
      <x:c r="B5326" s="86"/>
    </x:row>
    <x:row r="5327">
      <x:c r="A5327" s="85"/>
      <x:c r="B5327" s="86"/>
    </x:row>
    <x:row r="5328">
      <x:c r="A5328" s="85"/>
      <x:c r="B5328" s="86"/>
    </x:row>
    <x:row r="5329">
      <x:c r="A5329" s="85"/>
      <x:c r="B5329" s="86"/>
    </x:row>
    <x:row r="5330">
      <x:c r="A5330" s="85"/>
      <x:c r="B5330" s="86"/>
    </x:row>
    <x:row r="5331">
      <x:c r="A5331" s="85"/>
      <x:c r="B5331" s="86"/>
    </x:row>
    <x:row r="5332">
      <x:c r="A5332" s="85"/>
      <x:c r="B5332" s="86"/>
    </x:row>
    <x:row r="5333">
      <x:c r="A5333" s="85"/>
      <x:c r="B5333" s="86"/>
    </x:row>
    <x:row r="5334">
      <x:c r="A5334" s="85"/>
      <x:c r="B5334" s="86"/>
    </x:row>
    <x:row r="5335">
      <x:c r="A5335" s="85"/>
      <x:c r="B5335" s="86"/>
    </x:row>
    <x:row r="5336">
      <x:c r="A5336" s="85"/>
      <x:c r="B5336" s="86"/>
    </x:row>
    <x:row r="5337">
      <x:c r="A5337" s="85"/>
      <x:c r="B5337" s="86"/>
    </x:row>
    <x:row r="5338">
      <x:c r="A5338" s="85"/>
      <x:c r="B5338" s="86"/>
    </x:row>
    <x:row r="5339">
      <x:c r="A5339" s="85"/>
      <x:c r="B5339" s="86"/>
    </x:row>
    <x:row r="5340">
      <x:c r="A5340" s="85"/>
      <x:c r="B5340" s="86"/>
    </x:row>
    <x:row r="5341">
      <x:c r="A5341" s="85"/>
      <x:c r="B5341" s="86"/>
    </x:row>
    <x:row r="5342">
      <x:c r="A5342" s="85"/>
      <x:c r="B5342" s="86"/>
    </x:row>
    <x:row r="5343">
      <x:c r="A5343" s="85"/>
      <x:c r="B5343" s="86"/>
    </x:row>
    <x:row r="5344">
      <x:c r="A5344" s="85"/>
      <x:c r="B5344" s="86"/>
    </x:row>
    <x:row r="5345">
      <x:c r="A5345" s="85"/>
      <x:c r="B5345" s="86"/>
    </x:row>
    <x:row r="5346">
      <x:c r="A5346" s="85"/>
      <x:c r="B5346" s="86"/>
    </x:row>
    <x:row r="5347">
      <x:c r="A5347" s="85"/>
      <x:c r="B5347" s="86"/>
    </x:row>
    <x:row r="5348">
      <x:c r="A5348" s="85"/>
      <x:c r="B5348" s="86"/>
    </x:row>
    <x:row r="5349">
      <x:c r="A5349" s="85"/>
      <x:c r="B5349" s="86"/>
    </x:row>
    <x:row r="5350">
      <x:c r="A5350" s="85"/>
      <x:c r="B5350" s="86"/>
    </x:row>
    <x:row r="5351">
      <x:c r="A5351" s="85"/>
      <x:c r="B5351" s="86"/>
    </x:row>
    <x:row r="5352">
      <x:c r="A5352" s="85"/>
      <x:c r="B5352" s="86"/>
    </x:row>
    <x:row r="5353">
      <x:c r="A5353" s="85"/>
      <x:c r="B5353" s="86"/>
    </x:row>
    <x:row r="5354">
      <x:c r="A5354" s="85"/>
      <x:c r="B5354" s="86"/>
    </x:row>
    <x:row r="5355">
      <x:c r="A5355" s="85"/>
      <x:c r="B5355" s="86"/>
    </x:row>
    <x:row r="5356">
      <x:c r="A5356" s="85"/>
      <x:c r="B5356" s="86"/>
    </x:row>
    <x:row r="5357">
      <x:c r="A5357" s="85"/>
      <x:c r="B5357" s="86"/>
    </x:row>
    <x:row r="5358">
      <x:c r="A5358" s="85"/>
      <x:c r="B5358" s="86"/>
    </x:row>
    <x:row r="5359">
      <x:c r="A5359" s="85"/>
      <x:c r="B5359" s="86"/>
    </x:row>
    <x:row r="5360">
      <x:c r="A5360" s="85"/>
      <x:c r="B5360" s="86"/>
    </x:row>
    <x:row r="5361">
      <x:c r="A5361" s="85"/>
      <x:c r="B5361" s="86"/>
    </x:row>
    <x:row r="5362">
      <x:c r="A5362" s="85"/>
      <x:c r="B5362" s="86"/>
    </x:row>
    <x:row r="5363">
      <x:c r="A5363" s="85"/>
      <x:c r="B5363" s="86"/>
    </x:row>
    <x:row r="5364">
      <x:c r="A5364" s="85"/>
      <x:c r="B5364" s="86"/>
    </x:row>
    <x:row r="5365">
      <x:c r="A5365" s="85"/>
      <x:c r="B5365" s="86"/>
    </x:row>
    <x:row r="5366">
      <x:c r="A5366" s="85"/>
      <x:c r="B5366" s="86"/>
    </x:row>
    <x:row r="5367">
      <x:c r="A5367" s="85"/>
      <x:c r="B5367" s="86"/>
    </x:row>
    <x:row r="5368">
      <x:c r="A5368" s="85"/>
      <x:c r="B5368" s="86"/>
    </x:row>
    <x:row r="5369">
      <x:c r="A5369" s="85"/>
      <x:c r="B5369" s="86"/>
    </x:row>
    <x:row r="5370">
      <x:c r="A5370" s="85"/>
      <x:c r="B5370" s="86"/>
    </x:row>
    <x:row r="5371">
      <x:c r="A5371" s="85"/>
      <x:c r="B5371" s="86"/>
    </x:row>
    <x:row r="5372">
      <x:c r="A5372" s="85"/>
      <x:c r="B5372" s="86"/>
    </x:row>
    <x:row r="5373">
      <x:c r="A5373" s="85"/>
      <x:c r="B5373" s="86"/>
    </x:row>
    <x:row r="5374">
      <x:c r="A5374" s="85"/>
      <x:c r="B5374" s="86"/>
    </x:row>
    <x:row r="5375">
      <x:c r="A5375" s="85"/>
      <x:c r="B5375" s="86"/>
    </x:row>
    <x:row r="5376">
      <x:c r="A5376" s="85"/>
      <x:c r="B5376" s="86"/>
    </x:row>
    <x:row r="5377">
      <x:c r="A5377" s="85"/>
      <x:c r="B5377" s="86"/>
    </x:row>
    <x:row r="5378">
      <x:c r="A5378" s="85"/>
      <x:c r="B5378" s="86"/>
    </x:row>
    <x:row r="5379">
      <x:c r="A5379" s="85"/>
      <x:c r="B5379" s="86"/>
    </x:row>
    <x:row r="5380">
      <x:c r="A5380" s="85"/>
      <x:c r="B5380" s="86"/>
    </x:row>
    <x:row r="5381">
      <x:c r="A5381" s="85"/>
      <x:c r="B5381" s="86"/>
    </x:row>
    <x:row r="5382">
      <x:c r="A5382" s="85"/>
      <x:c r="B5382" s="86"/>
    </x:row>
    <x:row r="5383">
      <x:c r="A5383" s="85"/>
      <x:c r="B5383" s="86"/>
    </x:row>
    <x:row r="5384">
      <x:c r="A5384" s="85"/>
      <x:c r="B5384" s="86"/>
    </x:row>
    <x:row r="5385">
      <x:c r="A5385" s="85"/>
      <x:c r="B5385" s="86"/>
    </x:row>
    <x:row r="5386">
      <x:c r="A5386" s="85"/>
      <x:c r="B5386" s="86"/>
    </x:row>
    <x:row r="5387">
      <x:c r="A5387" s="85"/>
      <x:c r="B5387" s="86"/>
    </x:row>
    <x:row r="5388">
      <x:c r="A5388" s="85"/>
      <x:c r="B5388" s="86"/>
    </x:row>
    <x:row r="5389">
      <x:c r="A5389" s="85"/>
      <x:c r="B5389" s="86"/>
    </x:row>
    <x:row r="5390">
      <x:c r="A5390" s="85"/>
      <x:c r="B5390" s="86"/>
    </x:row>
    <x:row r="5391">
      <x:c r="A5391" s="85"/>
      <x:c r="B5391" s="86"/>
    </x:row>
    <x:row r="5392">
      <x:c r="A5392" s="85"/>
      <x:c r="B5392" s="86"/>
    </x:row>
    <x:row r="5393">
      <x:c r="A5393" s="85"/>
      <x:c r="B5393" s="86"/>
    </x:row>
    <x:row r="5394">
      <x:c r="A5394" s="85"/>
      <x:c r="B5394" s="86"/>
    </x:row>
    <x:row r="5395">
      <x:c r="A5395" s="85"/>
      <x:c r="B5395" s="86"/>
    </x:row>
    <x:row r="5396">
      <x:c r="A5396" s="85"/>
      <x:c r="B5396" s="86"/>
    </x:row>
    <x:row r="5397">
      <x:c r="A5397" s="85"/>
      <x:c r="B5397" s="86"/>
    </x:row>
    <x:row r="5398">
      <x:c r="A5398" s="85"/>
      <x:c r="B5398" s="86"/>
    </x:row>
    <x:row r="5399">
      <x:c r="A5399" s="85"/>
      <x:c r="B5399" s="86"/>
    </x:row>
    <x:row r="5400">
      <x:c r="A5400" s="85"/>
      <x:c r="B5400" s="86"/>
    </x:row>
    <x:row r="5401">
      <x:c r="A5401" s="85"/>
      <x:c r="B5401" s="86"/>
    </x:row>
    <x:row r="5402">
      <x:c r="A5402" s="85"/>
      <x:c r="B5402" s="86"/>
    </x:row>
    <x:row r="5403">
      <x:c r="A5403" s="85"/>
      <x:c r="B5403" s="86"/>
    </x:row>
    <x:row r="5404">
      <x:c r="A5404" s="85"/>
      <x:c r="B5404" s="86"/>
    </x:row>
    <x:row r="5405">
      <x:c r="A5405" s="85"/>
      <x:c r="B5405" s="86"/>
    </x:row>
    <x:row r="5406">
      <x:c r="A5406" s="85"/>
      <x:c r="B5406" s="86"/>
    </x:row>
    <x:row r="5407">
      <x:c r="A5407" s="85"/>
      <x:c r="B5407" s="86"/>
    </x:row>
    <x:row r="5408">
      <x:c r="A5408" s="85"/>
      <x:c r="B5408" s="86"/>
    </x:row>
    <x:row r="5409">
      <x:c r="A5409" s="85"/>
      <x:c r="B5409" s="86"/>
    </x:row>
    <x:row r="5410">
      <x:c r="A5410" s="85"/>
      <x:c r="B5410" s="86"/>
    </x:row>
    <x:row r="5411">
      <x:c r="A5411" s="85"/>
      <x:c r="B5411" s="86"/>
    </x:row>
    <x:row r="5412">
      <x:c r="A5412" s="85"/>
      <x:c r="B5412" s="86"/>
    </x:row>
    <x:row r="5413">
      <x:c r="A5413" s="85"/>
      <x:c r="B5413" s="86"/>
    </x:row>
    <x:row r="5414">
      <x:c r="A5414" s="85"/>
      <x:c r="B5414" s="86"/>
    </x:row>
    <x:row r="5415">
      <x:c r="A5415" s="85"/>
      <x:c r="B5415" s="86"/>
    </x:row>
    <x:row r="5416">
      <x:c r="A5416" s="85"/>
      <x:c r="B5416" s="86"/>
    </x:row>
    <x:row r="5417">
      <x:c r="A5417" s="85"/>
      <x:c r="B5417" s="86"/>
    </x:row>
    <x:row r="5418">
      <x:c r="A5418" s="85"/>
      <x:c r="B5418" s="86"/>
    </x:row>
    <x:row r="5419">
      <x:c r="A5419" s="85"/>
      <x:c r="B5419" s="86"/>
    </x:row>
    <x:row r="5420">
      <x:c r="A5420" s="85"/>
      <x:c r="B5420" s="86"/>
    </x:row>
    <x:row r="5421">
      <x:c r="A5421" s="85"/>
      <x:c r="B5421" s="86"/>
    </x:row>
    <x:row r="5422">
      <x:c r="A5422" s="85"/>
      <x:c r="B5422" s="86"/>
    </x:row>
    <x:row r="5423">
      <x:c r="A5423" s="85"/>
      <x:c r="B5423" s="86"/>
    </x:row>
    <x:row r="5424">
      <x:c r="A5424" s="85"/>
      <x:c r="B5424" s="86"/>
    </x:row>
    <x:row r="5425">
      <x:c r="A5425" s="85"/>
      <x:c r="B5425" s="86"/>
    </x:row>
    <x:row r="5426">
      <x:c r="A5426" s="85"/>
      <x:c r="B5426" s="86"/>
    </x:row>
    <x:row r="5427">
      <x:c r="A5427" s="85"/>
      <x:c r="B5427" s="86"/>
    </x:row>
    <x:row r="5428">
      <x:c r="A5428" s="85"/>
      <x:c r="B5428" s="86"/>
    </x:row>
    <x:row r="5429">
      <x:c r="A5429" s="85"/>
      <x:c r="B5429" s="86"/>
    </x:row>
    <x:row r="5430">
      <x:c r="A5430" s="85"/>
      <x:c r="B5430" s="86"/>
    </x:row>
    <x:row r="5431">
      <x:c r="A5431" s="85"/>
      <x:c r="B5431" s="86"/>
    </x:row>
    <x:row r="5432">
      <x:c r="A5432" s="85"/>
      <x:c r="B5432" s="86"/>
    </x:row>
    <x:row r="5433">
      <x:c r="A5433" s="85"/>
      <x:c r="B5433" s="86"/>
    </x:row>
    <x:row r="5434">
      <x:c r="A5434" s="85"/>
      <x:c r="B5434" s="86"/>
    </x:row>
    <x:row r="5435">
      <x:c r="A5435" s="85"/>
      <x:c r="B5435" s="86"/>
    </x:row>
    <x:row r="5436">
      <x:c r="A5436" s="85"/>
      <x:c r="B5436" s="86"/>
    </x:row>
    <x:row r="5437">
      <x:c r="A5437" s="85"/>
      <x:c r="B5437" s="86"/>
    </x:row>
    <x:row r="5438">
      <x:c r="A5438" s="85"/>
      <x:c r="B5438" s="86"/>
    </x:row>
    <x:row r="5439">
      <x:c r="A5439" s="85"/>
      <x:c r="B5439" s="86"/>
    </x:row>
    <x:row r="5440">
      <x:c r="A5440" s="85"/>
      <x:c r="B5440" s="86"/>
    </x:row>
    <x:row r="5441">
      <x:c r="A5441" s="85"/>
      <x:c r="B5441" s="86"/>
    </x:row>
    <x:row r="5442">
      <x:c r="A5442" s="85"/>
      <x:c r="B5442" s="86"/>
    </x:row>
    <x:row r="5443">
      <x:c r="A5443" s="85"/>
      <x:c r="B5443" s="86"/>
    </x:row>
    <x:row r="5444">
      <x:c r="A5444" s="85"/>
      <x:c r="B5444" s="86"/>
    </x:row>
    <x:row r="5445">
      <x:c r="A5445" s="85"/>
      <x:c r="B5445" s="86"/>
    </x:row>
    <x:row r="5446">
      <x:c r="A5446" s="85"/>
      <x:c r="B5446" s="86"/>
    </x:row>
    <x:row r="5447">
      <x:c r="A5447" s="85"/>
      <x:c r="B5447" s="86"/>
    </x:row>
    <x:row r="5448">
      <x:c r="A5448" s="85"/>
      <x:c r="B5448" s="86"/>
    </x:row>
    <x:row r="5449">
      <x:c r="A5449" s="85"/>
      <x:c r="B5449" s="86"/>
    </x:row>
    <x:row r="5450">
      <x:c r="A5450" s="85"/>
      <x:c r="B5450" s="86"/>
    </x:row>
    <x:row r="5451">
      <x:c r="A5451" s="85"/>
      <x:c r="B5451" s="86"/>
    </x:row>
    <x:row r="5452">
      <x:c r="A5452" s="85"/>
      <x:c r="B5452" s="86"/>
    </x:row>
    <x:row r="5453">
      <x:c r="A5453" s="85"/>
      <x:c r="B5453" s="86"/>
    </x:row>
    <x:row r="5454">
      <x:c r="A5454" s="85"/>
      <x:c r="B5454" s="86"/>
    </x:row>
    <x:row r="5455">
      <x:c r="A5455" s="85"/>
      <x:c r="B5455" s="86"/>
    </x:row>
    <x:row r="5456">
      <x:c r="A5456" s="85"/>
      <x:c r="B5456" s="86"/>
    </x:row>
    <x:row r="5457">
      <x:c r="A5457" s="85"/>
      <x:c r="B5457" s="86"/>
    </x:row>
    <x:row r="5458">
      <x:c r="A5458" s="85"/>
      <x:c r="B5458" s="86"/>
    </x:row>
    <x:row r="5459">
      <x:c r="A5459" s="85"/>
      <x:c r="B5459" s="86"/>
    </x:row>
    <x:row r="5460">
      <x:c r="A5460" s="85"/>
      <x:c r="B5460" s="86"/>
    </x:row>
    <x:row r="5461">
      <x:c r="A5461" s="85"/>
      <x:c r="B5461" s="86"/>
    </x:row>
    <x:row r="5462">
      <x:c r="A5462" s="85"/>
      <x:c r="B5462" s="86"/>
    </x:row>
    <x:row r="5463">
      <x:c r="A5463" s="85"/>
      <x:c r="B5463" s="86"/>
    </x:row>
    <x:row r="5464">
      <x:c r="A5464" s="85"/>
      <x:c r="B5464" s="86"/>
    </x:row>
    <x:row r="5465">
      <x:c r="A5465" s="85"/>
      <x:c r="B5465" s="86"/>
    </x:row>
    <x:row r="5466">
      <x:c r="A5466" s="85"/>
      <x:c r="B5466" s="86"/>
    </x:row>
    <x:row r="5467">
      <x:c r="A5467" s="85"/>
      <x:c r="B5467" s="86"/>
    </x:row>
    <x:row r="5468">
      <x:c r="A5468" s="85"/>
      <x:c r="B5468" s="86"/>
    </x:row>
    <x:row r="5469">
      <x:c r="A5469" s="85"/>
      <x:c r="B5469" s="86"/>
    </x:row>
    <x:row r="5470">
      <x:c r="A5470" s="85"/>
      <x:c r="B5470" s="86"/>
    </x:row>
    <x:row r="5471">
      <x:c r="A5471" s="85"/>
      <x:c r="B5471" s="86"/>
    </x:row>
    <x:row r="5472">
      <x:c r="A5472" s="85"/>
      <x:c r="B5472" s="86"/>
    </x:row>
    <x:row r="5473">
      <x:c r="A5473" s="85"/>
      <x:c r="B5473" s="86"/>
    </x:row>
    <x:row r="5474">
      <x:c r="A5474" s="85"/>
      <x:c r="B5474" s="86"/>
    </x:row>
    <x:row r="5475">
      <x:c r="A5475" s="85"/>
      <x:c r="B5475" s="86"/>
    </x:row>
    <x:row r="5476">
      <x:c r="A5476" s="85"/>
      <x:c r="B5476" s="86"/>
    </x:row>
    <x:row r="5477">
      <x:c r="A5477" s="85"/>
      <x:c r="B5477" s="86"/>
    </x:row>
    <x:row r="5478">
      <x:c r="A5478" s="85"/>
      <x:c r="B5478" s="86"/>
    </x:row>
    <x:row r="5479">
      <x:c r="A5479" s="85"/>
      <x:c r="B5479" s="86"/>
    </x:row>
    <x:row r="5480">
      <x:c r="A5480" s="85"/>
      <x:c r="B5480" s="86"/>
    </x:row>
    <x:row r="5481">
      <x:c r="A5481" s="85"/>
      <x:c r="B5481" s="86"/>
    </x:row>
    <x:row r="5482">
      <x:c r="A5482" s="85"/>
      <x:c r="B5482" s="86"/>
    </x:row>
    <x:row r="5483">
      <x:c r="A5483" s="85"/>
      <x:c r="B5483" s="86"/>
    </x:row>
    <x:row r="5484">
      <x:c r="A5484" s="85"/>
      <x:c r="B5484" s="86"/>
    </x:row>
    <x:row r="5485">
      <x:c r="A5485" s="85"/>
      <x:c r="B5485" s="86"/>
    </x:row>
    <x:row r="5486">
      <x:c r="A5486" s="85"/>
      <x:c r="B5486" s="86"/>
    </x:row>
    <x:row r="5487">
      <x:c r="A5487" s="85"/>
      <x:c r="B5487" s="86"/>
    </x:row>
    <x:row r="5488">
      <x:c r="A5488" s="85"/>
      <x:c r="B5488" s="86"/>
    </x:row>
    <x:row r="5489">
      <x:c r="A5489" s="85"/>
      <x:c r="B5489" s="86"/>
    </x:row>
    <x:row r="5490">
      <x:c r="A5490" s="85"/>
      <x:c r="B5490" s="86"/>
    </x:row>
    <x:row r="5491">
      <x:c r="A5491" s="85"/>
      <x:c r="B5491" s="86"/>
    </x:row>
    <x:row r="5492">
      <x:c r="A5492" s="85"/>
      <x:c r="B5492" s="86"/>
    </x:row>
    <x:row r="5493">
      <x:c r="A5493" s="85"/>
      <x:c r="B5493" s="86"/>
    </x:row>
    <x:row r="5494">
      <x:c r="A5494" s="85"/>
      <x:c r="B5494" s="86"/>
    </x:row>
    <x:row r="5495">
      <x:c r="A5495" s="85"/>
      <x:c r="B5495" s="86"/>
    </x:row>
    <x:row r="5496">
      <x:c r="A5496" s="85"/>
      <x:c r="B5496" s="86"/>
    </x:row>
    <x:row r="5497">
      <x:c r="A5497" s="85"/>
      <x:c r="B5497" s="86"/>
    </x:row>
    <x:row r="5498">
      <x:c r="A5498" s="85"/>
      <x:c r="B5498" s="86"/>
    </x:row>
    <x:row r="5499">
      <x:c r="A5499" s="85"/>
      <x:c r="B5499" s="86"/>
    </x:row>
    <x:row r="5500">
      <x:c r="A5500" s="85"/>
      <x:c r="B5500" s="86"/>
    </x:row>
    <x:row r="5501">
      <x:c r="A5501" s="85"/>
      <x:c r="B5501" s="86"/>
    </x:row>
    <x:row r="5502">
      <x:c r="A5502" s="85"/>
      <x:c r="B5502" s="86"/>
    </x:row>
    <x:row r="5503">
      <x:c r="A5503" s="85"/>
      <x:c r="B5503" s="86"/>
    </x:row>
    <x:row r="5504">
      <x:c r="A5504" s="85"/>
      <x:c r="B5504" s="86"/>
    </x:row>
    <x:row r="5505">
      <x:c r="A5505" s="85"/>
      <x:c r="B5505" s="86"/>
    </x:row>
    <x:row r="5506">
      <x:c r="A5506" s="85"/>
      <x:c r="B5506" s="86"/>
    </x:row>
    <x:row r="5507">
      <x:c r="A5507" s="85"/>
      <x:c r="B5507" s="86"/>
    </x:row>
    <x:row r="5508">
      <x:c r="A5508" s="85"/>
      <x:c r="B5508" s="86"/>
    </x:row>
    <x:row r="5509">
      <x:c r="A5509" s="85"/>
      <x:c r="B5509" s="86"/>
    </x:row>
    <x:row r="5510">
      <x:c r="A5510" s="85"/>
      <x:c r="B5510" s="86"/>
    </x:row>
    <x:row r="5511">
      <x:c r="A5511" s="85"/>
      <x:c r="B5511" s="86"/>
    </x:row>
    <x:row r="5512">
      <x:c r="A5512" s="85"/>
      <x:c r="B5512" s="86"/>
    </x:row>
    <x:row r="5513">
      <x:c r="A5513" s="85"/>
      <x:c r="B5513" s="86"/>
    </x:row>
    <x:row r="5514">
      <x:c r="A5514" s="85"/>
      <x:c r="B5514" s="86"/>
    </x:row>
    <x:row r="5515">
      <x:c r="A5515" s="85"/>
      <x:c r="B5515" s="86"/>
    </x:row>
    <x:row r="5516">
      <x:c r="A5516" s="85"/>
      <x:c r="B5516" s="86"/>
    </x:row>
    <x:row r="5517">
      <x:c r="A5517" s="85"/>
      <x:c r="B5517" s="86"/>
    </x:row>
    <x:row r="5518">
      <x:c r="A5518" s="85"/>
      <x:c r="B5518" s="86"/>
    </x:row>
    <x:row r="5519">
      <x:c r="A5519" s="85"/>
      <x:c r="B5519" s="86"/>
    </x:row>
    <x:row r="5520">
      <x:c r="A5520" s="85"/>
      <x:c r="B5520" s="86"/>
    </x:row>
    <x:row r="5521">
      <x:c r="A5521" s="85"/>
      <x:c r="B5521" s="86"/>
    </x:row>
    <x:row r="5522">
      <x:c r="A5522" s="85"/>
      <x:c r="B5522" s="86"/>
    </x:row>
    <x:row r="5523">
      <x:c r="A5523" s="85"/>
      <x:c r="B5523" s="86"/>
    </x:row>
    <x:row r="5524">
      <x:c r="A5524" s="85"/>
      <x:c r="B5524" s="86"/>
    </x:row>
    <x:row r="5525">
      <x:c r="A5525" s="85"/>
      <x:c r="B5525" s="86"/>
    </x:row>
    <x:row r="5526">
      <x:c r="A5526" s="85"/>
      <x:c r="B5526" s="86"/>
    </x:row>
    <x:row r="5527">
      <x:c r="A5527" s="85"/>
      <x:c r="B5527" s="86"/>
    </x:row>
    <x:row r="5528">
      <x:c r="A5528" s="85"/>
      <x:c r="B5528" s="86"/>
    </x:row>
    <x:row r="5529">
      <x:c r="A5529" s="85"/>
      <x:c r="B5529" s="86"/>
    </x:row>
    <x:row r="5530">
      <x:c r="A5530" s="85"/>
      <x:c r="B5530" s="86"/>
    </x:row>
    <x:row r="5531">
      <x:c r="A5531" s="85"/>
      <x:c r="B5531" s="86"/>
    </x:row>
    <x:row r="5532">
      <x:c r="A5532" s="85"/>
      <x:c r="B5532" s="86"/>
    </x:row>
    <x:row r="5533">
      <x:c r="A5533" s="85"/>
      <x:c r="B5533" s="86"/>
    </x:row>
    <x:row r="5534">
      <x:c r="A5534" s="85"/>
      <x:c r="B5534" s="86"/>
    </x:row>
    <x:row r="5535">
      <x:c r="A5535" s="85"/>
      <x:c r="B5535" s="86"/>
    </x:row>
    <x:row r="5536">
      <x:c r="A5536" s="85"/>
      <x:c r="B5536" s="86"/>
    </x:row>
    <x:row r="5537">
      <x:c r="A5537" s="85"/>
      <x:c r="B5537" s="86"/>
    </x:row>
    <x:row r="5538">
      <x:c r="A5538" s="85"/>
      <x:c r="B5538" s="86"/>
    </x:row>
    <x:row r="5539">
      <x:c r="A5539" s="85"/>
      <x:c r="B5539" s="86"/>
    </x:row>
    <x:row r="5540">
      <x:c r="A5540" s="85"/>
      <x:c r="B5540" s="86"/>
    </x:row>
    <x:row r="5541">
      <x:c r="A5541" s="85"/>
      <x:c r="B5541" s="86"/>
    </x:row>
    <x:row r="5542">
      <x:c r="A5542" s="85"/>
      <x:c r="B5542" s="86"/>
    </x:row>
    <x:row r="5543">
      <x:c r="A5543" s="85"/>
      <x:c r="B5543" s="86"/>
    </x:row>
    <x:row r="5544">
      <x:c r="A5544" s="85"/>
      <x:c r="B5544" s="86"/>
    </x:row>
    <x:row r="5545">
      <x:c r="A5545" s="85"/>
      <x:c r="B5545" s="86"/>
    </x:row>
    <x:row r="5546">
      <x:c r="A5546" s="85"/>
      <x:c r="B5546" s="86"/>
    </x:row>
    <x:row r="5547">
      <x:c r="A5547" s="85"/>
      <x:c r="B5547" s="86"/>
    </x:row>
    <x:row r="5548">
      <x:c r="A5548" s="85"/>
      <x:c r="B5548" s="86"/>
    </x:row>
    <x:row r="5549">
      <x:c r="A5549" s="85"/>
      <x:c r="B5549" s="86"/>
    </x:row>
    <x:row r="5550">
      <x:c r="A5550" s="85"/>
      <x:c r="B5550" s="86"/>
    </x:row>
    <x:row r="5551">
      <x:c r="A5551" s="85"/>
      <x:c r="B5551" s="86"/>
    </x:row>
    <x:row r="5552">
      <x:c r="A5552" s="85"/>
      <x:c r="B5552" s="86"/>
    </x:row>
    <x:row r="5553">
      <x:c r="A5553" s="85"/>
      <x:c r="B5553" s="86"/>
    </x:row>
    <x:row r="5554">
      <x:c r="A5554" s="85"/>
      <x:c r="B5554" s="86"/>
    </x:row>
    <x:row r="5555">
      <x:c r="A5555" s="85"/>
      <x:c r="B5555" s="86"/>
    </x:row>
    <x:row r="5556">
      <x:c r="A5556" s="85"/>
      <x:c r="B5556" s="86"/>
    </x:row>
    <x:row r="5557">
      <x:c r="A5557" s="85"/>
      <x:c r="B5557" s="86"/>
    </x:row>
    <x:row r="5558">
      <x:c r="A5558" s="85"/>
      <x:c r="B5558" s="86"/>
    </x:row>
    <x:row r="5559">
      <x:c r="A5559" s="85"/>
      <x:c r="B5559" s="86"/>
    </x:row>
    <x:row r="5560">
      <x:c r="A5560" s="85"/>
      <x:c r="B5560" s="86"/>
    </x:row>
    <x:row r="5561">
      <x:c r="A5561" s="85"/>
      <x:c r="B5561" s="86"/>
    </x:row>
    <x:row r="5562">
      <x:c r="A5562" s="85"/>
      <x:c r="B5562" s="86"/>
    </x:row>
    <x:row r="5563">
      <x:c r="A5563" s="85"/>
      <x:c r="B5563" s="86"/>
    </x:row>
    <x:row r="5564">
      <x:c r="A5564" s="85"/>
      <x:c r="B5564" s="86"/>
    </x:row>
    <x:row r="5565">
      <x:c r="A5565" s="85"/>
      <x:c r="B5565" s="86"/>
    </x:row>
    <x:row r="5566">
      <x:c r="A5566" s="85"/>
      <x:c r="B5566" s="86"/>
    </x:row>
    <x:row r="5567">
      <x:c r="A5567" s="85"/>
      <x:c r="B5567" s="86"/>
    </x:row>
    <x:row r="5568">
      <x:c r="A5568" s="85"/>
      <x:c r="B5568" s="86"/>
    </x:row>
    <x:row r="5569">
      <x:c r="A5569" s="85"/>
      <x:c r="B5569" s="86"/>
    </x:row>
    <x:row r="5570">
      <x:c r="A5570" s="85"/>
      <x:c r="B5570" s="86"/>
    </x:row>
    <x:row r="5571">
      <x:c r="A5571" s="85"/>
      <x:c r="B5571" s="86"/>
    </x:row>
    <x:row r="5572">
      <x:c r="A5572" s="85"/>
      <x:c r="B5572" s="86"/>
    </x:row>
    <x:row r="5573">
      <x:c r="A5573" s="85"/>
      <x:c r="B5573" s="86"/>
    </x:row>
    <x:row r="5574">
      <x:c r="A5574" s="85"/>
      <x:c r="B5574" s="86"/>
    </x:row>
    <x:row r="5575">
      <x:c r="A5575" s="85"/>
      <x:c r="B5575" s="86"/>
    </x:row>
    <x:row r="5576">
      <x:c r="A5576" s="85"/>
      <x:c r="B5576" s="86"/>
    </x:row>
    <x:row r="5577">
      <x:c r="A5577" s="85"/>
      <x:c r="B5577" s="86"/>
    </x:row>
    <x:row r="5578">
      <x:c r="A5578" s="85"/>
      <x:c r="B5578" s="86"/>
    </x:row>
    <x:row r="5579">
      <x:c r="A5579" s="85"/>
      <x:c r="B5579" s="86"/>
    </x:row>
    <x:row r="5580">
      <x:c r="A5580" s="85"/>
      <x:c r="B5580" s="86"/>
    </x:row>
    <x:row r="5581">
      <x:c r="A5581" s="85"/>
      <x:c r="B5581" s="86"/>
    </x:row>
    <x:row r="5582">
      <x:c r="A5582" s="85"/>
      <x:c r="B5582" s="86"/>
    </x:row>
    <x:row r="5583">
      <x:c r="A5583" s="85"/>
      <x:c r="B5583" s="86"/>
    </x:row>
    <x:row r="5584">
      <x:c r="A5584" s="85"/>
      <x:c r="B5584" s="86"/>
    </x:row>
    <x:row r="5585">
      <x:c r="A5585" s="85"/>
      <x:c r="B5585" s="86"/>
    </x:row>
    <x:row r="5586">
      <x:c r="A5586" s="85"/>
      <x:c r="B5586" s="86"/>
    </x:row>
    <x:row r="5587">
      <x:c r="A5587" s="85"/>
      <x:c r="B5587" s="86"/>
    </x:row>
    <x:row r="5588">
      <x:c r="A5588" s="85"/>
      <x:c r="B5588" s="86"/>
    </x:row>
    <x:row r="5589">
      <x:c r="A5589" s="85"/>
      <x:c r="B5589" s="86"/>
    </x:row>
    <x:row r="5590">
      <x:c r="A5590" s="85"/>
      <x:c r="B5590" s="86"/>
    </x:row>
    <x:row r="5591">
      <x:c r="A5591" s="85"/>
      <x:c r="B5591" s="86"/>
    </x:row>
    <x:row r="5592">
      <x:c r="A5592" s="85"/>
      <x:c r="B5592" s="86"/>
    </x:row>
    <x:row r="5593">
      <x:c r="A5593" s="85"/>
      <x:c r="B5593" s="86"/>
    </x:row>
    <x:row r="5594">
      <x:c r="A5594" s="85"/>
      <x:c r="B5594" s="86"/>
    </x:row>
    <x:row r="5595">
      <x:c r="A5595" s="85"/>
      <x:c r="B5595" s="86"/>
    </x:row>
    <x:row r="5596">
      <x:c r="A5596" s="85"/>
      <x:c r="B5596" s="86"/>
    </x:row>
    <x:row r="5597">
      <x:c r="A5597" s="85"/>
      <x:c r="B5597" s="86"/>
    </x:row>
    <x:row r="5598">
      <x:c r="A5598" s="85"/>
      <x:c r="B5598" s="86"/>
    </x:row>
    <x:row r="5599">
      <x:c r="A5599" s="85"/>
      <x:c r="B5599" s="86"/>
    </x:row>
    <x:row r="5600">
      <x:c r="A5600" s="85"/>
      <x:c r="B5600" s="86"/>
    </x:row>
    <x:row r="5601">
      <x:c r="A5601" s="85"/>
      <x:c r="B5601" s="86"/>
    </x:row>
    <x:row r="5602">
      <x:c r="A5602" s="85"/>
      <x:c r="B5602" s="86"/>
    </x:row>
    <x:row r="5603">
      <x:c r="A5603" s="85"/>
      <x:c r="B5603" s="86"/>
    </x:row>
    <x:row r="5604">
      <x:c r="A5604" s="85"/>
      <x:c r="B5604" s="86"/>
    </x:row>
    <x:row r="5605">
      <x:c r="A5605" s="85"/>
      <x:c r="B5605" s="86"/>
    </x:row>
    <x:row r="5606">
      <x:c r="A5606" s="85"/>
      <x:c r="B5606" s="86"/>
    </x:row>
    <x:row r="5607">
      <x:c r="A5607" s="85"/>
      <x:c r="B5607" s="86"/>
    </x:row>
    <x:row r="5608">
      <x:c r="A5608" s="85"/>
      <x:c r="B5608" s="86"/>
    </x:row>
    <x:row r="5609">
      <x:c r="A5609" s="85"/>
      <x:c r="B5609" s="86"/>
    </x:row>
    <x:row r="5610">
      <x:c r="A5610" s="85"/>
      <x:c r="B5610" s="86"/>
    </x:row>
    <x:row r="5611">
      <x:c r="A5611" s="85"/>
      <x:c r="B5611" s="86"/>
    </x:row>
    <x:row r="5612">
      <x:c r="A5612" s="85"/>
      <x:c r="B5612" s="86"/>
    </x:row>
    <x:row r="5613">
      <x:c r="A5613" s="85"/>
      <x:c r="B5613" s="86"/>
    </x:row>
    <x:row r="5614">
      <x:c r="A5614" s="85"/>
      <x:c r="B5614" s="86"/>
    </x:row>
    <x:row r="5615">
      <x:c r="A5615" s="85"/>
      <x:c r="B5615" s="86"/>
    </x:row>
    <x:row r="5616">
      <x:c r="A5616" s="85"/>
      <x:c r="B5616" s="86"/>
    </x:row>
    <x:row r="5617">
      <x:c r="A5617" s="85"/>
      <x:c r="B5617" s="86"/>
    </x:row>
    <x:row r="5618">
      <x:c r="A5618" s="85"/>
      <x:c r="B5618" s="86"/>
    </x:row>
    <x:row r="5619">
      <x:c r="A5619" s="85"/>
      <x:c r="B5619" s="86"/>
    </x:row>
    <x:row r="5620">
      <x:c r="A5620" s="85"/>
      <x:c r="B5620" s="86"/>
    </x:row>
    <x:row r="5621">
      <x:c r="A5621" s="85"/>
      <x:c r="B5621" s="86"/>
    </x:row>
    <x:row r="5622">
      <x:c r="A5622" s="85"/>
      <x:c r="B5622" s="86"/>
    </x:row>
    <x:row r="5623">
      <x:c r="A5623" s="85"/>
      <x:c r="B5623" s="86"/>
    </x:row>
    <x:row r="5624">
      <x:c r="A5624" s="85"/>
      <x:c r="B5624" s="86"/>
    </x:row>
    <x:row r="5625">
      <x:c r="A5625" s="85"/>
      <x:c r="B5625" s="86"/>
    </x:row>
    <x:row r="5626">
      <x:c r="A5626" s="85"/>
      <x:c r="B5626" s="86"/>
    </x:row>
    <x:row r="5627">
      <x:c r="A5627" s="85"/>
      <x:c r="B5627" s="86"/>
    </x:row>
    <x:row r="5628">
      <x:c r="A5628" s="85"/>
      <x:c r="B5628" s="86"/>
    </x:row>
    <x:row r="5629">
      <x:c r="A5629" s="85"/>
      <x:c r="B5629" s="86"/>
    </x:row>
    <x:row r="5630">
      <x:c r="A5630" s="85"/>
      <x:c r="B5630" s="86"/>
    </x:row>
    <x:row r="5631">
      <x:c r="A5631" s="85"/>
      <x:c r="B5631" s="86"/>
    </x:row>
    <x:row r="5632">
      <x:c r="A5632" s="85"/>
      <x:c r="B5632" s="86"/>
    </x:row>
    <x:row r="5633">
      <x:c r="A5633" s="85"/>
      <x:c r="B5633" s="86"/>
    </x:row>
    <x:row r="5634">
      <x:c r="A5634" s="85"/>
      <x:c r="B5634" s="86"/>
    </x:row>
    <x:row r="5635">
      <x:c r="A5635" s="85"/>
      <x:c r="B5635" s="86"/>
    </x:row>
    <x:row r="5636">
      <x:c r="A5636" s="85"/>
      <x:c r="B5636" s="86"/>
    </x:row>
    <x:row r="5637">
      <x:c r="A5637" s="85"/>
      <x:c r="B5637" s="86"/>
    </x:row>
    <x:row r="5638">
      <x:c r="A5638" s="85"/>
      <x:c r="B5638" s="86"/>
    </x:row>
    <x:row r="5639">
      <x:c r="A5639" s="85"/>
      <x:c r="B5639" s="86"/>
    </x:row>
    <x:row r="5640">
      <x:c r="A5640" s="85"/>
      <x:c r="B5640" s="86"/>
    </x:row>
    <x:row r="5641">
      <x:c r="A5641" s="85"/>
      <x:c r="B5641" s="86"/>
    </x:row>
    <x:row r="5642">
      <x:c r="A5642" s="85"/>
      <x:c r="B5642" s="86"/>
    </x:row>
    <x:row r="5643">
      <x:c r="A5643" s="85"/>
      <x:c r="B5643" s="86"/>
    </x:row>
    <x:row r="5644">
      <x:c r="A5644" s="85"/>
      <x:c r="B5644" s="86"/>
    </x:row>
    <x:row r="5645">
      <x:c r="A5645" s="85"/>
      <x:c r="B5645" s="86"/>
    </x:row>
    <x:row r="5646">
      <x:c r="A5646" s="85"/>
      <x:c r="B5646" s="86"/>
    </x:row>
    <x:row r="5647">
      <x:c r="A5647" s="85"/>
      <x:c r="B5647" s="86"/>
    </x:row>
    <x:row r="5648">
      <x:c r="A5648" s="85"/>
      <x:c r="B5648" s="86"/>
    </x:row>
    <x:row r="5649">
      <x:c r="A5649" s="85"/>
      <x:c r="B5649" s="86"/>
    </x:row>
    <x:row r="5650">
      <x:c r="A5650" s="85"/>
      <x:c r="B5650" s="86"/>
    </x:row>
    <x:row r="5651">
      <x:c r="A5651" s="85"/>
      <x:c r="B5651" s="86"/>
    </x:row>
    <x:row r="5652">
      <x:c r="A5652" s="85"/>
      <x:c r="B5652" s="86"/>
    </x:row>
    <x:row r="5653">
      <x:c r="A5653" s="85"/>
      <x:c r="B5653" s="86"/>
    </x:row>
    <x:row r="5654">
      <x:c r="A5654" s="85"/>
      <x:c r="B5654" s="86"/>
    </x:row>
    <x:row r="5655">
      <x:c r="A5655" s="85"/>
      <x:c r="B5655" s="86"/>
    </x:row>
    <x:row r="5656">
      <x:c r="A5656" s="85"/>
      <x:c r="B5656" s="86"/>
    </x:row>
    <x:row r="5657">
      <x:c r="A5657" s="85"/>
      <x:c r="B5657" s="86"/>
    </x:row>
    <x:row r="5658">
      <x:c r="A5658" s="85"/>
      <x:c r="B5658" s="86"/>
    </x:row>
    <x:row r="5659">
      <x:c r="A5659" s="85"/>
      <x:c r="B5659" s="86"/>
    </x:row>
    <x:row r="5660">
      <x:c r="A5660" s="85"/>
      <x:c r="B5660" s="86"/>
    </x:row>
    <x:row r="5661">
      <x:c r="A5661" s="85"/>
      <x:c r="B5661" s="86"/>
    </x:row>
    <x:row r="5662">
      <x:c r="A5662" s="85"/>
      <x:c r="B5662" s="86"/>
    </x:row>
    <x:row r="5663">
      <x:c r="A5663" s="85"/>
      <x:c r="B5663" s="86"/>
    </x:row>
    <x:row r="5664">
      <x:c r="A5664" s="85"/>
      <x:c r="B5664" s="86"/>
    </x:row>
    <x:row r="5665">
      <x:c r="A5665" s="85"/>
      <x:c r="B5665" s="86"/>
    </x:row>
    <x:row r="5666">
      <x:c r="A5666" s="85"/>
      <x:c r="B5666" s="86"/>
    </x:row>
    <x:row r="5667">
      <x:c r="A5667" s="85"/>
      <x:c r="B5667" s="86"/>
    </x:row>
    <x:row r="5668">
      <x:c r="A5668" s="85"/>
      <x:c r="B5668" s="86"/>
    </x:row>
    <x:row r="5669">
      <x:c r="A5669" s="85"/>
      <x:c r="B5669" s="86"/>
    </x:row>
    <x:row r="5670">
      <x:c r="A5670" s="85"/>
      <x:c r="B5670" s="86"/>
    </x:row>
    <x:row r="5671">
      <x:c r="A5671" s="85"/>
      <x:c r="B5671" s="86"/>
    </x:row>
    <x:row r="5672">
      <x:c r="A5672" s="85"/>
      <x:c r="B5672" s="86"/>
    </x:row>
    <x:row r="5673">
      <x:c r="A5673" s="85"/>
      <x:c r="B5673" s="86"/>
    </x:row>
    <x:row r="5674">
      <x:c r="A5674" s="85"/>
      <x:c r="B5674" s="86"/>
    </x:row>
    <x:row r="5675">
      <x:c r="A5675" s="85"/>
      <x:c r="B5675" s="86"/>
    </x:row>
    <x:row r="5676">
      <x:c r="A5676" s="85"/>
      <x:c r="B5676" s="86"/>
    </x:row>
    <x:row r="5677">
      <x:c r="A5677" s="85"/>
      <x:c r="B5677" s="86"/>
    </x:row>
    <x:row r="5678">
      <x:c r="A5678" s="85"/>
      <x:c r="B5678" s="86"/>
    </x:row>
    <x:row r="5679">
      <x:c r="A5679" s="85"/>
      <x:c r="B5679" s="86"/>
    </x:row>
    <x:row r="5680">
      <x:c r="A5680" s="85"/>
      <x:c r="B5680" s="86"/>
    </x:row>
    <x:row r="5681">
      <x:c r="A5681" s="85"/>
      <x:c r="B5681" s="86"/>
    </x:row>
    <x:row r="5682">
      <x:c r="A5682" s="85"/>
      <x:c r="B5682" s="86"/>
    </x:row>
    <x:row r="5683">
      <x:c r="A5683" s="85"/>
      <x:c r="B5683" s="86"/>
    </x:row>
    <x:row r="5684">
      <x:c r="A5684" s="85"/>
      <x:c r="B5684" s="86"/>
    </x:row>
    <x:row r="5685">
      <x:c r="A5685" s="85"/>
      <x:c r="B5685" s="86"/>
    </x:row>
    <x:row r="5686">
      <x:c r="A5686" s="85"/>
      <x:c r="B5686" s="86"/>
    </x:row>
    <x:row r="5687">
      <x:c r="A5687" s="85"/>
      <x:c r="B5687" s="86"/>
    </x:row>
    <x:row r="5688">
      <x:c r="A5688" s="85"/>
      <x:c r="B5688" s="86"/>
    </x:row>
    <x:row r="5689">
      <x:c r="A5689" s="85"/>
      <x:c r="B5689" s="86"/>
    </x:row>
    <x:row r="5690">
      <x:c r="A5690" s="85"/>
      <x:c r="B5690" s="86"/>
    </x:row>
    <x:row r="5691">
      <x:c r="A5691" s="85"/>
      <x:c r="B5691" s="86"/>
    </x:row>
    <x:row r="5692">
      <x:c r="A5692" s="85"/>
      <x:c r="B5692" s="86"/>
    </x:row>
    <x:row r="5693">
      <x:c r="A5693" s="85"/>
      <x:c r="B5693" s="86"/>
    </x:row>
    <x:row r="5694">
      <x:c r="A5694" s="85"/>
      <x:c r="B5694" s="86"/>
    </x:row>
    <x:row r="5695">
      <x:c r="A5695" s="85"/>
      <x:c r="B5695" s="86"/>
    </x:row>
    <x:row r="5696">
      <x:c r="A5696" s="85"/>
      <x:c r="B5696" s="86"/>
    </x:row>
    <x:row r="5697">
      <x:c r="A5697" s="85"/>
      <x:c r="B5697" s="86"/>
    </x:row>
    <x:row r="5698">
      <x:c r="A5698" s="85"/>
      <x:c r="B5698" s="86"/>
    </x:row>
    <x:row r="5699">
      <x:c r="A5699" s="85"/>
      <x:c r="B5699" s="86"/>
    </x:row>
    <x:row r="5700">
      <x:c r="A5700" s="85"/>
      <x:c r="B5700" s="86"/>
    </x:row>
    <x:row r="5701">
      <x:c r="A5701" s="85"/>
      <x:c r="B5701" s="86"/>
    </x:row>
    <x:row r="5702">
      <x:c r="A5702" s="85"/>
      <x:c r="B5702" s="86"/>
    </x:row>
    <x:row r="5703">
      <x:c r="A5703" s="85"/>
      <x:c r="B5703" s="86"/>
    </x:row>
    <x:row r="5704">
      <x:c r="A5704" s="85"/>
      <x:c r="B5704" s="86"/>
    </x:row>
    <x:row r="5705">
      <x:c r="A5705" s="85"/>
      <x:c r="B5705" s="86"/>
    </x:row>
    <x:row r="5706">
      <x:c r="A5706" s="85"/>
      <x:c r="B5706" s="86"/>
    </x:row>
    <x:row r="5707">
      <x:c r="A5707" s="85"/>
      <x:c r="B5707" s="86"/>
    </x:row>
    <x:row r="5708">
      <x:c r="A5708" s="85"/>
      <x:c r="B5708" s="86"/>
    </x:row>
    <x:row r="5709">
      <x:c r="A5709" s="85"/>
      <x:c r="B5709" s="86"/>
    </x:row>
    <x:row r="5710">
      <x:c r="A5710" s="85"/>
      <x:c r="B5710" s="86"/>
    </x:row>
    <x:row r="5711">
      <x:c r="A5711" s="85"/>
      <x:c r="B5711" s="86"/>
    </x:row>
    <x:row r="5712">
      <x:c r="A5712" s="85"/>
      <x:c r="B5712" s="86"/>
    </x:row>
    <x:row r="5713">
      <x:c r="A5713" s="85"/>
      <x:c r="B5713" s="86"/>
    </x:row>
    <x:row r="5714">
      <x:c r="A5714" s="85"/>
      <x:c r="B5714" s="86"/>
    </x:row>
    <x:row r="5715">
      <x:c r="A5715" s="85"/>
      <x:c r="B5715" s="86"/>
    </x:row>
    <x:row r="5716">
      <x:c r="A5716" s="85"/>
      <x:c r="B5716" s="86"/>
    </x:row>
    <x:row r="5717">
      <x:c r="A5717" s="85"/>
      <x:c r="B5717" s="86"/>
    </x:row>
    <x:row r="5718">
      <x:c r="A5718" s="85"/>
      <x:c r="B5718" s="86"/>
    </x:row>
    <x:row r="5719">
      <x:c r="A5719" s="85"/>
      <x:c r="B5719" s="86"/>
    </x:row>
    <x:row r="5720">
      <x:c r="A5720" s="85"/>
      <x:c r="B5720" s="86"/>
    </x:row>
    <x:row r="5721">
      <x:c r="A5721" s="85"/>
      <x:c r="B5721" s="86"/>
    </x:row>
    <x:row r="5722">
      <x:c r="A5722" s="85"/>
      <x:c r="B5722" s="86"/>
    </x:row>
    <x:row r="5723">
      <x:c r="A5723" s="85"/>
      <x:c r="B5723" s="86"/>
    </x:row>
    <x:row r="5724">
      <x:c r="A5724" s="85"/>
      <x:c r="B5724" s="86"/>
    </x:row>
    <x:row r="5725">
      <x:c r="A5725" s="85"/>
      <x:c r="B5725" s="86"/>
    </x:row>
    <x:row r="5726">
      <x:c r="A5726" s="85"/>
      <x:c r="B5726" s="86"/>
    </x:row>
    <x:row r="5727">
      <x:c r="A5727" s="85"/>
      <x:c r="B5727" s="86"/>
    </x:row>
    <x:row r="5728">
      <x:c r="A5728" s="85"/>
      <x:c r="B5728" s="86"/>
    </x:row>
    <x:row r="5729">
      <x:c r="A5729" s="85"/>
      <x:c r="B5729" s="86"/>
    </x:row>
    <x:row r="5730">
      <x:c r="A5730" s="85"/>
      <x:c r="B5730" s="86"/>
    </x:row>
    <x:row r="5731">
      <x:c r="A5731" s="85"/>
      <x:c r="B5731" s="86"/>
    </x:row>
    <x:row r="5732">
      <x:c r="A5732" s="85"/>
      <x:c r="B5732" s="86"/>
    </x:row>
    <x:row r="5733">
      <x:c r="A5733" s="85"/>
      <x:c r="B5733" s="86"/>
    </x:row>
    <x:row r="5734">
      <x:c r="A5734" s="85"/>
      <x:c r="B5734" s="86"/>
    </x:row>
    <x:row r="5735">
      <x:c r="A5735" s="85"/>
      <x:c r="B5735" s="86"/>
    </x:row>
    <x:row r="5736">
      <x:c r="A5736" s="85"/>
      <x:c r="B5736" s="86"/>
    </x:row>
    <x:row r="5737">
      <x:c r="A5737" s="85"/>
      <x:c r="B5737" s="86"/>
    </x:row>
    <x:row r="5738">
      <x:c r="A5738" s="85"/>
      <x:c r="B5738" s="86"/>
    </x:row>
    <x:row r="5739">
      <x:c r="A5739" s="85"/>
      <x:c r="B5739" s="86"/>
    </x:row>
    <x:row r="5740">
      <x:c r="A5740" s="85"/>
      <x:c r="B5740" s="86"/>
    </x:row>
    <x:row r="5741">
      <x:c r="A5741" s="85"/>
      <x:c r="B5741" s="86"/>
    </x:row>
    <x:row r="5742">
      <x:c r="A5742" s="85"/>
      <x:c r="B5742" s="86"/>
    </x:row>
    <x:row r="5743">
      <x:c r="A5743" s="85"/>
      <x:c r="B5743" s="86"/>
    </x:row>
    <x:row r="5744">
      <x:c r="A5744" s="85"/>
      <x:c r="B5744" s="86"/>
    </x:row>
    <x:row r="5745">
      <x:c r="A5745" s="85"/>
      <x:c r="B5745" s="86"/>
    </x:row>
    <x:row r="5746">
      <x:c r="A5746" s="85"/>
      <x:c r="B5746" s="86"/>
    </x:row>
    <x:row r="5747">
      <x:c r="A5747" s="85"/>
      <x:c r="B5747" s="86"/>
    </x:row>
    <x:row r="5748">
      <x:c r="A5748" s="85"/>
      <x:c r="B5748" s="86"/>
    </x:row>
    <x:row r="5749">
      <x:c r="A5749" s="85"/>
      <x:c r="B5749" s="86"/>
    </x:row>
    <x:row r="5750">
      <x:c r="A5750" s="85"/>
      <x:c r="B5750" s="86"/>
    </x:row>
    <x:row r="5751">
      <x:c r="A5751" s="85"/>
      <x:c r="B5751" s="86"/>
    </x:row>
    <x:row r="5752">
      <x:c r="A5752" s="85"/>
      <x:c r="B5752" s="86"/>
    </x:row>
    <x:row r="5753">
      <x:c r="A5753" s="85"/>
      <x:c r="B5753" s="86"/>
    </x:row>
    <x:row r="5754">
      <x:c r="A5754" s="85"/>
      <x:c r="B5754" s="86"/>
    </x:row>
    <x:row r="5755">
      <x:c r="A5755" s="85"/>
      <x:c r="B5755" s="86"/>
    </x:row>
    <x:row r="5756">
      <x:c r="A5756" s="85"/>
      <x:c r="B5756" s="86"/>
    </x:row>
    <x:row r="5757">
      <x:c r="A5757" s="85"/>
      <x:c r="B5757" s="86"/>
    </x:row>
    <x:row r="5758">
      <x:c r="A5758" s="85"/>
      <x:c r="B5758" s="86"/>
    </x:row>
    <x:row r="5759">
      <x:c r="A5759" s="85"/>
      <x:c r="B5759" s="86"/>
    </x:row>
    <x:row r="5760">
      <x:c r="A5760" s="85"/>
      <x:c r="B5760" s="86"/>
    </x:row>
    <x:row r="5761">
      <x:c r="A5761" s="85"/>
      <x:c r="B5761" s="86"/>
    </x:row>
    <x:row r="5762">
      <x:c r="A5762" s="85"/>
      <x:c r="B5762" s="86"/>
    </x:row>
    <x:row r="5763">
      <x:c r="A5763" s="85"/>
      <x:c r="B5763" s="86"/>
    </x:row>
    <x:row r="5764">
      <x:c r="A5764" s="85"/>
      <x:c r="B5764" s="86"/>
    </x:row>
    <x:row r="5765">
      <x:c r="A5765" s="85"/>
      <x:c r="B5765" s="86"/>
    </x:row>
    <x:row r="5766">
      <x:c r="A5766" s="85"/>
      <x:c r="B5766" s="86"/>
    </x:row>
    <x:row r="5767">
      <x:c r="A5767" s="85"/>
      <x:c r="B5767" s="86"/>
    </x:row>
    <x:row r="5768">
      <x:c r="A5768" s="85"/>
      <x:c r="B5768" s="86"/>
    </x:row>
    <x:row r="5769">
      <x:c r="A5769" s="85"/>
      <x:c r="B5769" s="86"/>
    </x:row>
    <x:row r="5770">
      <x:c r="A5770" s="85"/>
      <x:c r="B5770" s="86"/>
    </x:row>
    <x:row r="5771">
      <x:c r="A5771" s="85"/>
      <x:c r="B5771" s="86"/>
    </x:row>
    <x:row r="5772">
      <x:c r="A5772" s="85"/>
      <x:c r="B5772" s="86"/>
    </x:row>
    <x:row r="5773">
      <x:c r="A5773" s="85"/>
      <x:c r="B5773" s="86"/>
    </x:row>
    <x:row r="5774">
      <x:c r="A5774" s="85"/>
      <x:c r="B5774" s="86"/>
    </x:row>
    <x:row r="5775">
      <x:c r="A5775" s="85"/>
      <x:c r="B5775" s="86"/>
    </x:row>
    <x:row r="5776">
      <x:c r="A5776" s="85"/>
      <x:c r="B5776" s="86"/>
    </x:row>
    <x:row r="5777">
      <x:c r="A5777" s="85"/>
      <x:c r="B5777" s="86"/>
    </x:row>
    <x:row r="5778">
      <x:c r="A5778" s="85"/>
      <x:c r="B5778" s="86"/>
    </x:row>
    <x:row r="5779">
      <x:c r="A5779" s="85"/>
      <x:c r="B5779" s="86"/>
    </x:row>
    <x:row r="5780">
      <x:c r="A5780" s="85"/>
      <x:c r="B5780" s="86"/>
    </x:row>
    <x:row r="5781">
      <x:c r="A5781" s="85"/>
      <x:c r="B5781" s="86"/>
    </x:row>
    <x:row r="5782">
      <x:c r="A5782" s="85"/>
      <x:c r="B5782" s="86"/>
    </x:row>
    <x:row r="5783">
      <x:c r="A5783" s="85"/>
      <x:c r="B5783" s="86"/>
    </x:row>
    <x:row r="5784">
      <x:c r="A5784" s="85"/>
      <x:c r="B5784" s="86"/>
    </x:row>
    <x:row r="5785">
      <x:c r="A5785" s="85"/>
      <x:c r="B5785" s="86"/>
    </x:row>
    <x:row r="5786">
      <x:c r="A5786" s="85"/>
      <x:c r="B5786" s="86"/>
    </x:row>
    <x:row r="5787">
      <x:c r="A5787" s="85"/>
      <x:c r="B5787" s="86"/>
    </x:row>
    <x:row r="5788">
      <x:c r="A5788" s="85"/>
      <x:c r="B5788" s="86"/>
    </x:row>
    <x:row r="5789">
      <x:c r="A5789" s="85"/>
      <x:c r="B5789" s="86"/>
    </x:row>
    <x:row r="5790">
      <x:c r="A5790" s="85"/>
      <x:c r="B5790" s="86"/>
    </x:row>
    <x:row r="5791">
      <x:c r="A5791" s="85"/>
      <x:c r="B5791" s="86"/>
    </x:row>
    <x:row r="5792">
      <x:c r="A5792" s="85"/>
      <x:c r="B5792" s="86"/>
    </x:row>
    <x:row r="5793">
      <x:c r="A5793" s="85"/>
      <x:c r="B5793" s="86"/>
    </x:row>
    <x:row r="5794">
      <x:c r="A5794" s="85"/>
      <x:c r="B5794" s="86"/>
    </x:row>
    <x:row r="5795">
      <x:c r="A5795" s="85"/>
      <x:c r="B5795" s="86"/>
    </x:row>
    <x:row r="5796">
      <x:c r="A5796" s="85"/>
      <x:c r="B5796" s="86"/>
    </x:row>
    <x:row r="5797">
      <x:c r="A5797" s="85"/>
      <x:c r="B5797" s="86"/>
    </x:row>
    <x:row r="5798">
      <x:c r="A5798" s="85"/>
      <x:c r="B5798" s="86"/>
    </x:row>
    <x:row r="5799">
      <x:c r="A5799" s="85"/>
      <x:c r="B5799" s="86"/>
    </x:row>
    <x:row r="5800">
      <x:c r="A5800" s="85"/>
      <x:c r="B5800" s="86"/>
    </x:row>
    <x:row r="5801">
      <x:c r="A5801" s="85"/>
      <x:c r="B5801" s="86"/>
    </x:row>
    <x:row r="5802">
      <x:c r="A5802" s="85"/>
      <x:c r="B5802" s="86"/>
    </x:row>
    <x:row r="5803">
      <x:c r="A5803" s="85"/>
      <x:c r="B5803" s="86"/>
    </x:row>
    <x:row r="5804">
      <x:c r="A5804" s="85"/>
      <x:c r="B5804" s="86"/>
    </x:row>
    <x:row r="5805">
      <x:c r="A5805" s="85"/>
      <x:c r="B5805" s="86"/>
    </x:row>
    <x:row r="5806">
      <x:c r="A5806" s="85"/>
      <x:c r="B5806" s="86"/>
    </x:row>
    <x:row r="5807">
      <x:c r="A5807" s="85"/>
      <x:c r="B5807" s="86"/>
    </x:row>
    <x:row r="5808">
      <x:c r="A5808" s="85"/>
      <x:c r="B5808" s="86"/>
    </x:row>
    <x:row r="5809">
      <x:c r="A5809" s="85"/>
      <x:c r="B5809" s="86"/>
    </x:row>
    <x:row r="5810">
      <x:c r="A5810" s="85"/>
      <x:c r="B5810" s="86"/>
    </x:row>
    <x:row r="5811">
      <x:c r="A5811" s="85"/>
      <x:c r="B5811" s="86"/>
    </x:row>
    <x:row r="5812">
      <x:c r="A5812" s="85"/>
      <x:c r="B5812" s="86"/>
    </x:row>
    <x:row r="5813">
      <x:c r="A5813" s="85"/>
      <x:c r="B5813" s="86"/>
    </x:row>
    <x:row r="5814">
      <x:c r="A5814" s="85"/>
      <x:c r="B5814" s="86"/>
    </x:row>
    <x:row r="5815">
      <x:c r="A5815" s="85"/>
      <x:c r="B5815" s="86"/>
    </x:row>
    <x:row r="5816">
      <x:c r="A5816" s="85"/>
      <x:c r="B5816" s="86"/>
    </x:row>
    <x:row r="5817">
      <x:c r="A5817" s="85"/>
      <x:c r="B5817" s="86"/>
    </x:row>
    <x:row r="5818">
      <x:c r="A5818" s="85"/>
      <x:c r="B5818" s="86"/>
    </x:row>
    <x:row r="5819">
      <x:c r="A5819" s="85"/>
      <x:c r="B5819" s="86"/>
    </x:row>
    <x:row r="5820">
      <x:c r="A5820" s="85"/>
      <x:c r="B5820" s="86"/>
    </x:row>
    <x:row r="5821">
      <x:c r="A5821" s="85"/>
      <x:c r="B5821" s="86"/>
    </x:row>
    <x:row r="5822">
      <x:c r="A5822" s="85"/>
      <x:c r="B5822" s="86"/>
    </x:row>
    <x:row r="5823">
      <x:c r="A5823" s="85"/>
      <x:c r="B5823" s="86"/>
    </x:row>
    <x:row r="5824">
      <x:c r="A5824" s="85"/>
      <x:c r="B5824" s="86"/>
    </x:row>
    <x:row r="5825">
      <x:c r="A5825" s="85"/>
      <x:c r="B5825" s="86"/>
    </x:row>
    <x:row r="5826">
      <x:c r="A5826" s="85"/>
      <x:c r="B5826" s="86"/>
    </x:row>
    <x:row r="5827">
      <x:c r="A5827" s="85"/>
      <x:c r="B5827" s="86"/>
    </x:row>
    <x:row r="5828">
      <x:c r="A5828" s="85"/>
      <x:c r="B5828" s="86"/>
    </x:row>
    <x:row r="5829">
      <x:c r="A5829" s="85"/>
      <x:c r="B5829" s="86"/>
    </x:row>
    <x:row r="5830">
      <x:c r="A5830" s="85"/>
      <x:c r="B5830" s="86"/>
    </x:row>
    <x:row r="5831">
      <x:c r="A5831" s="85"/>
      <x:c r="B5831" s="86"/>
    </x:row>
    <x:row r="5832">
      <x:c r="A5832" s="85"/>
      <x:c r="B5832" s="86"/>
    </x:row>
    <x:row r="5833">
      <x:c r="A5833" s="85"/>
      <x:c r="B5833" s="86"/>
    </x:row>
    <x:row r="5834">
      <x:c r="A5834" s="85"/>
      <x:c r="B5834" s="86"/>
    </x:row>
    <x:row r="5835">
      <x:c r="A5835" s="85"/>
      <x:c r="B5835" s="86"/>
    </x:row>
    <x:row r="5836">
      <x:c r="A5836" s="85"/>
      <x:c r="B5836" s="86"/>
    </x:row>
    <x:row r="5837">
      <x:c r="A5837" s="85"/>
      <x:c r="B5837" s="86"/>
    </x:row>
    <x:row r="5838">
      <x:c r="A5838" s="85"/>
      <x:c r="B5838" s="86"/>
    </x:row>
    <x:row r="5839">
      <x:c r="A5839" s="85"/>
      <x:c r="B5839" s="86"/>
    </x:row>
    <x:row r="5840">
      <x:c r="A5840" s="85"/>
      <x:c r="B5840" s="86"/>
    </x:row>
    <x:row r="5841">
      <x:c r="A5841" s="85"/>
      <x:c r="B5841" s="86"/>
    </x:row>
    <x:row r="5842">
      <x:c r="A5842" s="85"/>
      <x:c r="B5842" s="86"/>
    </x:row>
    <x:row r="5843">
      <x:c r="A5843" s="85"/>
      <x:c r="B5843" s="86"/>
    </x:row>
    <x:row r="5844">
      <x:c r="A5844" s="85"/>
      <x:c r="B5844" s="86"/>
    </x:row>
    <x:row r="5845">
      <x:c r="A5845" s="85"/>
      <x:c r="B5845" s="86"/>
    </x:row>
    <x:row r="5846">
      <x:c r="A5846" s="85"/>
      <x:c r="B5846" s="86"/>
    </x:row>
    <x:row r="5847">
      <x:c r="A5847" s="85"/>
      <x:c r="B5847" s="86"/>
    </x:row>
    <x:row r="5848">
      <x:c r="A5848" s="85"/>
      <x:c r="B5848" s="86"/>
    </x:row>
    <x:row r="5849">
      <x:c r="A5849" s="85"/>
      <x:c r="B5849" s="86"/>
    </x:row>
    <x:row r="5850">
      <x:c r="A5850" s="85"/>
      <x:c r="B5850" s="86"/>
    </x:row>
    <x:row r="5851">
      <x:c r="A5851" s="85"/>
      <x:c r="B5851" s="86"/>
    </x:row>
    <x:row r="5852">
      <x:c r="A5852" s="85"/>
      <x:c r="B5852" s="86"/>
    </x:row>
    <x:row r="5853">
      <x:c r="A5853" s="85"/>
      <x:c r="B5853" s="86"/>
    </x:row>
    <x:row r="5854">
      <x:c r="A5854" s="85"/>
      <x:c r="B5854" s="86"/>
    </x:row>
    <x:row r="5855">
      <x:c r="A5855" s="85"/>
      <x:c r="B5855" s="86"/>
    </x:row>
    <x:row r="5856">
      <x:c r="A5856" s="85"/>
      <x:c r="B5856" s="86"/>
    </x:row>
    <x:row r="5857">
      <x:c r="A5857" s="85"/>
      <x:c r="B5857" s="86"/>
    </x:row>
    <x:row r="5858">
      <x:c r="A5858" s="85"/>
      <x:c r="B5858" s="86"/>
    </x:row>
    <x:row r="5859">
      <x:c r="A5859" s="85"/>
      <x:c r="B5859" s="86"/>
    </x:row>
    <x:row r="5860">
      <x:c r="A5860" s="85"/>
      <x:c r="B5860" s="86"/>
    </x:row>
    <x:row r="5861">
      <x:c r="A5861" s="85"/>
      <x:c r="B5861" s="86"/>
    </x:row>
    <x:row r="5862">
      <x:c r="A5862" s="85"/>
      <x:c r="B5862" s="86"/>
    </x:row>
    <x:row r="5863">
      <x:c r="A5863" s="85"/>
      <x:c r="B5863" s="86"/>
    </x:row>
    <x:row r="5864">
      <x:c r="A5864" s="85"/>
      <x:c r="B5864" s="86"/>
    </x:row>
    <x:row r="5865">
      <x:c r="A5865" s="85"/>
      <x:c r="B5865" s="86"/>
    </x:row>
    <x:row r="5866">
      <x:c r="A5866" s="85"/>
      <x:c r="B5866" s="86"/>
    </x:row>
    <x:row r="5867">
      <x:c r="A5867" s="85"/>
      <x:c r="B5867" s="86"/>
    </x:row>
    <x:row r="5868">
      <x:c r="A5868" s="85"/>
      <x:c r="B5868" s="86"/>
    </x:row>
    <x:row r="5869">
      <x:c r="A5869" s="85"/>
      <x:c r="B5869" s="86"/>
    </x:row>
    <x:row r="5870">
      <x:c r="A5870" s="85"/>
      <x:c r="B5870" s="86"/>
    </x:row>
    <x:row r="5871">
      <x:c r="A5871" s="85"/>
      <x:c r="B5871" s="86"/>
    </x:row>
    <x:row r="5872">
      <x:c r="A5872" s="85"/>
      <x:c r="B5872" s="86"/>
    </x:row>
    <x:row r="5873">
      <x:c r="A5873" s="85"/>
      <x:c r="B5873" s="86"/>
    </x:row>
    <x:row r="5874">
      <x:c r="A5874" s="85"/>
      <x:c r="B5874" s="86"/>
    </x:row>
    <x:row r="5875">
      <x:c r="A5875" s="85"/>
      <x:c r="B5875" s="86"/>
    </x:row>
    <x:row r="5876">
      <x:c r="A5876" s="85"/>
      <x:c r="B5876" s="86"/>
    </x:row>
    <x:row r="5877">
      <x:c r="A5877" s="85"/>
      <x:c r="B5877" s="86"/>
    </x:row>
    <x:row r="5878">
      <x:c r="A5878" s="85"/>
      <x:c r="B5878" s="86"/>
    </x:row>
    <x:row r="5879">
      <x:c r="A5879" s="85"/>
      <x:c r="B5879" s="86"/>
    </x:row>
    <x:row r="5880">
      <x:c r="A5880" s="85"/>
      <x:c r="B5880" s="86"/>
    </x:row>
    <x:row r="5881">
      <x:c r="A5881" s="85"/>
      <x:c r="B5881" s="86"/>
    </x:row>
    <x:row r="5882">
      <x:c r="A5882" s="85"/>
      <x:c r="B5882" s="86"/>
    </x:row>
    <x:row r="5883">
      <x:c r="A5883" s="85"/>
      <x:c r="B5883" s="86"/>
    </x:row>
    <x:row r="5884">
      <x:c r="A5884" s="85"/>
      <x:c r="B5884" s="86"/>
    </x:row>
    <x:row r="5885">
      <x:c r="A5885" s="85"/>
      <x:c r="B5885" s="86"/>
    </x:row>
    <x:row r="5886">
      <x:c r="A5886" s="85"/>
      <x:c r="B5886" s="86"/>
    </x:row>
    <x:row r="5887">
      <x:c r="A5887" s="85"/>
      <x:c r="B5887" s="86"/>
    </x:row>
    <x:row r="5888">
      <x:c r="A5888" s="85"/>
      <x:c r="B5888" s="86"/>
    </x:row>
    <x:row r="5889">
      <x:c r="A5889" s="85"/>
      <x:c r="B5889" s="86"/>
    </x:row>
    <x:row r="5890">
      <x:c r="A5890" s="85"/>
      <x:c r="B5890" s="86"/>
    </x:row>
    <x:row r="5891">
      <x:c r="A5891" s="85"/>
      <x:c r="B5891" s="86"/>
    </x:row>
    <x:row r="5892">
      <x:c r="A5892" s="85"/>
      <x:c r="B5892" s="86"/>
    </x:row>
    <x:row r="5893">
      <x:c r="A5893" s="85"/>
      <x:c r="B5893" s="86"/>
    </x:row>
    <x:row r="5894">
      <x:c r="A5894" s="85"/>
      <x:c r="B5894" s="86"/>
    </x:row>
    <x:row r="5895">
      <x:c r="A5895" s="85"/>
      <x:c r="B5895" s="86"/>
    </x:row>
    <x:row r="5896">
      <x:c r="A5896" s="85"/>
      <x:c r="B5896" s="86"/>
    </x:row>
    <x:row r="5897">
      <x:c r="A5897" s="85"/>
      <x:c r="B5897" s="86"/>
    </x:row>
    <x:row r="5898">
      <x:c r="A5898" s="85"/>
      <x:c r="B5898" s="86"/>
    </x:row>
    <x:row r="5899">
      <x:c r="A5899" s="85"/>
      <x:c r="B5899" s="86"/>
    </x:row>
    <x:row r="5900">
      <x:c r="A5900" s="85"/>
      <x:c r="B5900" s="86"/>
    </x:row>
    <x:row r="5901">
      <x:c r="A5901" s="85"/>
      <x:c r="B5901" s="86"/>
    </x:row>
    <x:row r="5902">
      <x:c r="A5902" s="85"/>
      <x:c r="B5902" s="86"/>
    </x:row>
    <x:row r="5903">
      <x:c r="A5903" s="85"/>
      <x:c r="B5903" s="86"/>
    </x:row>
    <x:row r="5904">
      <x:c r="A5904" s="85"/>
      <x:c r="B5904" s="86"/>
    </x:row>
    <x:row r="5905">
      <x:c r="A5905" s="85"/>
      <x:c r="B5905" s="86"/>
    </x:row>
    <x:row r="5906">
      <x:c r="A5906" s="85"/>
      <x:c r="B5906" s="86"/>
    </x:row>
    <x:row r="5907">
      <x:c r="A5907" s="85"/>
      <x:c r="B5907" s="86"/>
    </x:row>
    <x:row r="5908">
      <x:c r="A5908" s="85"/>
      <x:c r="B5908" s="86"/>
    </x:row>
    <x:row r="5909">
      <x:c r="A5909" s="85"/>
      <x:c r="B5909" s="86"/>
    </x:row>
    <x:row r="5910">
      <x:c r="A5910" s="85"/>
      <x:c r="B5910" s="86"/>
    </x:row>
    <x:row r="5911">
      <x:c r="A5911" s="85"/>
      <x:c r="B5911" s="86"/>
    </x:row>
    <x:row r="5912">
      <x:c r="A5912" s="85"/>
      <x:c r="B5912" s="86"/>
    </x:row>
    <x:row r="5913">
      <x:c r="A5913" s="85"/>
      <x:c r="B5913" s="86"/>
    </x:row>
    <x:row r="5914">
      <x:c r="A5914" s="85"/>
      <x:c r="B5914" s="86"/>
    </x:row>
    <x:row r="5915">
      <x:c r="A5915" s="85"/>
      <x:c r="B5915" s="86"/>
    </x:row>
    <x:row r="5916">
      <x:c r="A5916" s="85"/>
      <x:c r="B5916" s="86"/>
    </x:row>
    <x:row r="5917">
      <x:c r="A5917" s="85"/>
      <x:c r="B5917" s="86"/>
    </x:row>
    <x:row r="5918">
      <x:c r="A5918" s="85"/>
      <x:c r="B5918" s="86"/>
    </x:row>
    <x:row r="5919">
      <x:c r="A5919" s="85"/>
      <x:c r="B5919" s="86"/>
    </x:row>
    <x:row r="5920">
      <x:c r="A5920" s="85"/>
      <x:c r="B5920" s="86"/>
    </x:row>
    <x:row r="5921">
      <x:c r="A5921" s="85"/>
      <x:c r="B5921" s="86"/>
    </x:row>
    <x:row r="5922">
      <x:c r="A5922" s="85"/>
      <x:c r="B5922" s="86"/>
    </x:row>
    <x:row r="5923">
      <x:c r="A5923" s="85"/>
      <x:c r="B5923" s="86"/>
    </x:row>
    <x:row r="5924">
      <x:c r="A5924" s="85"/>
      <x:c r="B5924" s="86"/>
    </x:row>
    <x:row r="5925">
      <x:c r="A5925" s="85"/>
      <x:c r="B5925" s="86"/>
    </x:row>
    <x:row r="5926">
      <x:c r="A5926" s="85"/>
      <x:c r="B5926" s="86"/>
    </x:row>
    <x:row r="5927">
      <x:c r="A5927" s="85"/>
      <x:c r="B5927" s="86"/>
    </x:row>
    <x:row r="5928">
      <x:c r="A5928" s="85"/>
      <x:c r="B5928" s="86"/>
    </x:row>
    <x:row r="5929">
      <x:c r="A5929" s="85"/>
      <x:c r="B5929" s="86"/>
    </x:row>
    <x:row r="5930">
      <x:c r="A5930" s="85"/>
      <x:c r="B5930" s="86"/>
    </x:row>
    <x:row r="5931">
      <x:c r="A5931" s="85"/>
      <x:c r="B5931" s="86"/>
    </x:row>
    <x:row r="5932">
      <x:c r="A5932" s="85"/>
      <x:c r="B5932" s="86"/>
    </x:row>
    <x:row r="5933">
      <x:c r="A5933" s="85"/>
      <x:c r="B5933" s="86"/>
    </x:row>
    <x:row r="5934">
      <x:c r="A5934" s="85"/>
      <x:c r="B5934" s="86"/>
    </x:row>
    <x:row r="5935">
      <x:c r="A5935" s="85"/>
      <x:c r="B5935" s="86"/>
    </x:row>
    <x:row r="5936">
      <x:c r="A5936" s="85"/>
      <x:c r="B5936" s="86"/>
    </x:row>
    <x:row r="5937">
      <x:c r="A5937" s="85"/>
      <x:c r="B5937" s="86"/>
    </x:row>
    <x:row r="5938">
      <x:c r="A5938" s="85"/>
      <x:c r="B5938" s="86"/>
    </x:row>
    <x:row r="5939">
      <x:c r="A5939" s="85"/>
      <x:c r="B5939" s="86"/>
    </x:row>
    <x:row r="5940">
      <x:c r="A5940" s="85"/>
      <x:c r="B5940" s="86"/>
    </x:row>
    <x:row r="5941">
      <x:c r="A5941" s="85"/>
      <x:c r="B5941" s="86"/>
    </x:row>
    <x:row r="5942">
      <x:c r="A5942" s="85"/>
      <x:c r="B5942" s="86"/>
    </x:row>
    <x:row r="5943">
      <x:c r="A5943" s="85"/>
      <x:c r="B5943" s="86"/>
    </x:row>
    <x:row r="5944">
      <x:c r="A5944" s="85"/>
      <x:c r="B5944" s="86"/>
    </x:row>
    <x:row r="5945">
      <x:c r="A5945" s="85"/>
      <x:c r="B5945" s="86"/>
    </x:row>
    <x:row r="5946">
      <x:c r="A5946" s="85"/>
      <x:c r="B5946" s="86"/>
    </x:row>
    <x:row r="5947">
      <x:c r="A5947" s="85"/>
      <x:c r="B5947" s="86"/>
    </x:row>
    <x:row r="5948">
      <x:c r="A5948" s="85"/>
      <x:c r="B5948" s="86"/>
    </x:row>
    <x:row r="5949">
      <x:c r="A5949" s="85"/>
      <x:c r="B5949" s="86"/>
    </x:row>
    <x:row r="5950">
      <x:c r="A5950" s="85"/>
      <x:c r="B5950" s="86"/>
    </x:row>
    <x:row r="5951">
      <x:c r="A5951" s="85"/>
      <x:c r="B5951" s="86"/>
    </x:row>
    <x:row r="5952">
      <x:c r="A5952" s="85"/>
      <x:c r="B5952" s="86"/>
    </x:row>
    <x:row r="5953">
      <x:c r="A5953" s="85"/>
      <x:c r="B5953" s="86"/>
    </x:row>
    <x:row r="5954">
      <x:c r="A5954" s="85"/>
      <x:c r="B5954" s="86"/>
    </x:row>
    <x:row r="5955">
      <x:c r="A5955" s="85"/>
      <x:c r="B5955" s="86"/>
    </x:row>
    <x:row r="5956">
      <x:c r="A5956" s="85"/>
      <x:c r="B5956" s="86"/>
    </x:row>
    <x:row r="5957">
      <x:c r="A5957" s="85"/>
      <x:c r="B5957" s="86"/>
    </x:row>
    <x:row r="5958">
      <x:c r="A5958" s="85"/>
      <x:c r="B5958" s="86"/>
    </x:row>
    <x:row r="5959">
      <x:c r="A5959" s="85"/>
      <x:c r="B5959" s="86"/>
    </x:row>
    <x:row r="5960">
      <x:c r="A5960" s="85"/>
      <x:c r="B5960" s="86"/>
    </x:row>
    <x:row r="5961">
      <x:c r="A5961" s="85"/>
      <x:c r="B5961" s="86"/>
    </x:row>
    <x:row r="5962">
      <x:c r="A5962" s="85"/>
      <x:c r="B5962" s="86"/>
    </x:row>
    <x:row r="5963">
      <x:c r="A5963" s="85"/>
      <x:c r="B5963" s="86"/>
    </x:row>
    <x:row r="5964">
      <x:c r="A5964" s="85"/>
      <x:c r="B5964" s="86"/>
    </x:row>
    <x:row r="5965">
      <x:c r="A5965" s="85"/>
      <x:c r="B5965" s="86"/>
    </x:row>
    <x:row r="5966">
      <x:c r="A5966" s="85"/>
      <x:c r="B5966" s="86"/>
    </x:row>
    <x:row r="5967">
      <x:c r="A5967" s="85"/>
      <x:c r="B5967" s="86"/>
    </x:row>
    <x:row r="5968">
      <x:c r="A5968" s="85"/>
      <x:c r="B5968" s="86"/>
    </x:row>
    <x:row r="5969">
      <x:c r="A5969" s="85"/>
      <x:c r="B5969" s="86"/>
    </x:row>
    <x:row r="5970">
      <x:c r="A5970" s="85"/>
      <x:c r="B5970" s="86"/>
    </x:row>
    <x:row r="5971">
      <x:c r="A5971" s="85"/>
      <x:c r="B5971" s="86"/>
    </x:row>
    <x:row r="5972">
      <x:c r="A5972" s="85"/>
      <x:c r="B5972" s="86"/>
    </x:row>
    <x:row r="5973">
      <x:c r="A5973" s="85"/>
      <x:c r="B5973" s="86"/>
    </x:row>
    <x:row r="5974">
      <x:c r="A5974" s="85"/>
      <x:c r="B5974" s="86"/>
    </x:row>
    <x:row r="5975">
      <x:c r="A5975" s="85"/>
      <x:c r="B5975" s="86"/>
    </x:row>
    <x:row r="5976">
      <x:c r="A5976" s="85"/>
      <x:c r="B5976" s="86"/>
    </x:row>
    <x:row r="5977">
      <x:c r="A5977" s="85"/>
      <x:c r="B5977" s="86"/>
    </x:row>
    <x:row r="5978">
      <x:c r="A5978" s="85"/>
      <x:c r="B5978" s="86"/>
    </x:row>
    <x:row r="5979">
      <x:c r="A5979" s="85"/>
      <x:c r="B5979" s="86"/>
    </x:row>
    <x:row r="5980">
      <x:c r="A5980" s="85"/>
      <x:c r="B5980" s="86"/>
    </x:row>
    <x:row r="5981">
      <x:c r="A5981" s="85"/>
      <x:c r="B5981" s="86"/>
    </x:row>
    <x:row r="5982">
      <x:c r="A5982" s="85"/>
      <x:c r="B5982" s="86"/>
    </x:row>
    <x:row r="5983">
      <x:c r="A5983" s="85"/>
      <x:c r="B5983" s="86"/>
    </x:row>
    <x:row r="5984">
      <x:c r="A5984" s="85"/>
      <x:c r="B5984" s="86"/>
    </x:row>
    <x:row r="5985">
      <x:c r="A5985" s="85"/>
      <x:c r="B5985" s="86"/>
    </x:row>
    <x:row r="5986">
      <x:c r="A5986" s="85"/>
      <x:c r="B5986" s="86"/>
    </x:row>
    <x:row r="5987">
      <x:c r="A5987" s="85"/>
      <x:c r="B5987" s="86"/>
    </x:row>
    <x:row r="5988">
      <x:c r="A5988" s="85"/>
      <x:c r="B5988" s="86"/>
    </x:row>
    <x:row r="5989">
      <x:c r="A5989" s="85"/>
      <x:c r="B5989" s="86"/>
    </x:row>
    <x:row r="5990">
      <x:c r="A5990" s="85"/>
      <x:c r="B5990" s="86"/>
    </x:row>
    <x:row r="5991">
      <x:c r="A5991" s="85"/>
      <x:c r="B5991" s="86"/>
    </x:row>
    <x:row r="5992">
      <x:c r="A5992" s="85"/>
      <x:c r="B5992" s="86"/>
    </x:row>
    <x:row r="5993">
      <x:c r="A5993" s="85"/>
      <x:c r="B5993" s="86"/>
    </x:row>
    <x:row r="5994">
      <x:c r="A5994" s="85"/>
      <x:c r="B5994" s="86"/>
    </x:row>
    <x:row r="5995">
      <x:c r="A5995" s="85"/>
      <x:c r="B5995" s="86"/>
    </x:row>
    <x:row r="5996">
      <x:c r="A5996" s="85"/>
      <x:c r="B5996" s="86"/>
    </x:row>
    <x:row r="5997">
      <x:c r="A5997" s="85"/>
      <x:c r="B5997" s="86"/>
    </x:row>
    <x:row r="5998">
      <x:c r="A5998" s="85"/>
      <x:c r="B5998" s="86"/>
    </x:row>
    <x:row r="5999">
      <x:c r="A5999" s="85"/>
      <x:c r="B5999" s="86"/>
    </x:row>
    <x:row r="6000">
      <x:c r="A6000" s="85"/>
      <x:c r="B6000" s="86"/>
    </x:row>
    <x:row r="6001">
      <x:c r="A6001" s="85"/>
      <x:c r="B6001" s="86"/>
    </x:row>
    <x:row r="6002">
      <x:c r="A6002" s="85"/>
      <x:c r="B6002" s="86"/>
    </x:row>
    <x:row r="6003">
      <x:c r="A6003" s="85"/>
      <x:c r="B6003" s="86"/>
    </x:row>
    <x:row r="6004">
      <x:c r="A6004" s="85"/>
      <x:c r="B6004" s="86"/>
    </x:row>
    <x:row r="6005">
      <x:c r="A6005" s="85"/>
      <x:c r="B6005" s="86"/>
    </x:row>
    <x:row r="6006">
      <x:c r="A6006" s="85"/>
      <x:c r="B6006" s="86"/>
    </x:row>
    <x:row r="6007">
      <x:c r="A6007" s="85"/>
      <x:c r="B6007" s="86"/>
    </x:row>
    <x:row r="6008">
      <x:c r="A6008" s="85"/>
      <x:c r="B6008" s="86"/>
    </x:row>
    <x:row r="6009">
      <x:c r="A6009" s="85"/>
      <x:c r="B6009" s="86"/>
    </x:row>
    <x:row r="6010">
      <x:c r="A6010" s="85"/>
      <x:c r="B6010" s="86"/>
    </x:row>
    <x:row r="6011">
      <x:c r="A6011" s="85"/>
      <x:c r="B6011" s="86"/>
    </x:row>
    <x:row r="6012">
      <x:c r="A6012" s="85"/>
      <x:c r="B6012" s="86"/>
    </x:row>
    <x:row r="6013">
      <x:c r="A6013" s="85"/>
      <x:c r="B6013" s="86"/>
    </x:row>
    <x:row r="6014">
      <x:c r="A6014" s="85"/>
      <x:c r="B6014" s="86"/>
    </x:row>
    <x:row r="6015">
      <x:c r="A6015" s="85"/>
      <x:c r="B6015" s="86"/>
    </x:row>
    <x:row r="6016">
      <x:c r="A6016" s="85"/>
      <x:c r="B6016" s="86"/>
    </x:row>
    <x:row r="6017">
      <x:c r="A6017" s="85"/>
      <x:c r="B6017" s="86"/>
    </x:row>
    <x:row r="6018">
      <x:c r="A6018" s="85"/>
      <x:c r="B6018" s="86"/>
    </x:row>
    <x:row r="6019">
      <x:c r="A6019" s="85"/>
      <x:c r="B6019" s="86"/>
    </x:row>
    <x:row r="6020">
      <x:c r="A6020" s="85"/>
      <x:c r="B6020" s="86"/>
    </x:row>
    <x:row r="6021">
      <x:c r="A6021" s="85"/>
      <x:c r="B6021" s="86"/>
    </x:row>
    <x:row r="6022">
      <x:c r="A6022" s="85"/>
      <x:c r="B6022" s="86"/>
    </x:row>
    <x:row r="6023">
      <x:c r="A6023" s="85"/>
      <x:c r="B6023" s="86"/>
    </x:row>
    <x:row r="6024">
      <x:c r="A6024" s="85"/>
      <x:c r="B6024" s="86"/>
    </x:row>
    <x:row r="6025">
      <x:c r="A6025" s="85"/>
      <x:c r="B6025" s="86"/>
    </x:row>
    <x:row r="6026">
      <x:c r="A6026" s="85"/>
      <x:c r="B6026" s="86"/>
    </x:row>
    <x:row r="6027">
      <x:c r="A6027" s="85"/>
      <x:c r="B6027" s="86"/>
    </x:row>
    <x:row r="6028">
      <x:c r="A6028" s="85"/>
      <x:c r="B6028" s="86"/>
    </x:row>
    <x:row r="6029">
      <x:c r="A6029" s="85"/>
      <x:c r="B6029" s="86"/>
    </x:row>
    <x:row r="6030">
      <x:c r="A6030" s="85"/>
      <x:c r="B6030" s="86"/>
    </x:row>
    <x:row r="6031">
      <x:c r="A6031" s="85"/>
      <x:c r="B6031" s="86"/>
    </x:row>
    <x:row r="6032">
      <x:c r="A6032" s="85"/>
      <x:c r="B6032" s="86"/>
    </x:row>
    <x:row r="6033">
      <x:c r="A6033" s="85"/>
      <x:c r="B6033" s="86"/>
    </x:row>
    <x:row r="6034">
      <x:c r="A6034" s="85"/>
      <x:c r="B6034" s="86"/>
    </x:row>
    <x:row r="6035">
      <x:c r="A6035" s="85"/>
      <x:c r="B6035" s="86"/>
    </x:row>
    <x:row r="6036">
      <x:c r="A6036" s="85"/>
      <x:c r="B6036" s="86"/>
    </x:row>
    <x:row r="6037">
      <x:c r="A6037" s="85"/>
      <x:c r="B6037" s="86"/>
    </x:row>
    <x:row r="6038">
      <x:c r="A6038" s="85"/>
      <x:c r="B6038" s="86"/>
    </x:row>
    <x:row r="6039">
      <x:c r="A6039" s="85"/>
      <x:c r="B6039" s="86"/>
    </x:row>
    <x:row r="6040">
      <x:c r="A6040" s="85"/>
      <x:c r="B6040" s="86"/>
    </x:row>
    <x:row r="6041">
      <x:c r="A6041" s="85"/>
      <x:c r="B6041" s="86"/>
    </x:row>
    <x:row r="6042">
      <x:c r="A6042" s="85"/>
      <x:c r="B6042" s="86"/>
    </x:row>
    <x:row r="6043">
      <x:c r="A6043" s="85"/>
      <x:c r="B6043" s="86"/>
    </x:row>
    <x:row r="6044">
      <x:c r="A6044" s="85"/>
      <x:c r="B6044" s="86"/>
    </x:row>
    <x:row r="6045">
      <x:c r="A6045" s="85"/>
      <x:c r="B6045" s="86"/>
    </x:row>
    <x:row r="6046">
      <x:c r="A6046" s="85"/>
      <x:c r="B6046" s="86"/>
    </x:row>
    <x:row r="6047">
      <x:c r="A6047" s="85"/>
      <x:c r="B6047" s="86"/>
    </x:row>
    <x:row r="6048">
      <x:c r="A6048" s="85"/>
      <x:c r="B6048" s="86"/>
    </x:row>
    <x:row r="6049">
      <x:c r="A6049" s="85"/>
      <x:c r="B6049" s="86"/>
    </x:row>
    <x:row r="6050">
      <x:c r="A6050" s="85"/>
      <x:c r="B6050" s="86"/>
    </x:row>
    <x:row r="6051">
      <x:c r="A6051" s="85"/>
      <x:c r="B6051" s="86"/>
    </x:row>
    <x:row r="6052">
      <x:c r="A6052" s="85"/>
      <x:c r="B6052" s="86"/>
    </x:row>
    <x:row r="6053">
      <x:c r="A6053" s="85"/>
      <x:c r="B6053" s="86"/>
    </x:row>
    <x:row r="6054">
      <x:c r="A6054" s="85"/>
      <x:c r="B6054" s="86"/>
    </x:row>
    <x:row r="6055">
      <x:c r="A6055" s="85"/>
      <x:c r="B6055" s="86"/>
    </x:row>
    <x:row r="6056">
      <x:c r="A6056" s="85"/>
      <x:c r="B6056" s="86"/>
    </x:row>
    <x:row r="6057">
      <x:c r="A6057" s="85"/>
      <x:c r="B6057" s="86"/>
    </x:row>
    <x:row r="6058">
      <x:c r="A6058" s="85"/>
      <x:c r="B6058" s="86"/>
    </x:row>
    <x:row r="6059">
      <x:c r="A6059" s="85"/>
      <x:c r="B6059" s="86"/>
    </x:row>
    <x:row r="6060">
      <x:c r="A6060" s="85"/>
      <x:c r="B6060" s="86"/>
    </x:row>
    <x:row r="6061">
      <x:c r="A6061" s="85"/>
      <x:c r="B6061" s="86"/>
    </x:row>
    <x:row r="6062">
      <x:c r="A6062" s="85"/>
      <x:c r="B6062" s="86"/>
    </x:row>
    <x:row r="6063">
      <x:c r="A6063" s="85"/>
      <x:c r="B6063" s="86"/>
    </x:row>
    <x:row r="6064">
      <x:c r="A6064" s="85"/>
      <x:c r="B6064" s="86"/>
    </x:row>
    <x:row r="6065">
      <x:c r="A6065" s="85"/>
      <x:c r="B6065" s="86"/>
    </x:row>
    <x:row r="6066">
      <x:c r="A6066" s="85"/>
      <x:c r="B6066" s="86"/>
    </x:row>
    <x:row r="6067">
      <x:c r="A6067" s="85"/>
      <x:c r="B6067" s="86"/>
    </x:row>
    <x:row r="6068">
      <x:c r="A6068" s="85"/>
      <x:c r="B6068" s="86"/>
    </x:row>
    <x:row r="6069">
      <x:c r="A6069" s="85"/>
      <x:c r="B6069" s="86"/>
    </x:row>
    <x:row r="6070">
      <x:c r="A6070" s="85"/>
      <x:c r="B6070" s="86"/>
    </x:row>
    <x:row r="6071">
      <x:c r="A6071" s="85"/>
      <x:c r="B6071" s="86"/>
    </x:row>
    <x:row r="6072">
      <x:c r="A6072" s="85"/>
      <x:c r="B6072" s="86"/>
    </x:row>
    <x:row r="6073">
      <x:c r="A6073" s="85"/>
      <x:c r="B6073" s="86"/>
    </x:row>
    <x:row r="6074">
      <x:c r="A6074" s="85"/>
      <x:c r="B6074" s="86"/>
    </x:row>
    <x:row r="6075">
      <x:c r="A6075" s="85"/>
      <x:c r="B6075" s="86"/>
    </x:row>
    <x:row r="6076">
      <x:c r="A6076" s="85"/>
      <x:c r="B6076" s="86"/>
    </x:row>
    <x:row r="6077">
      <x:c r="A6077" s="85"/>
      <x:c r="B6077" s="86"/>
    </x:row>
    <x:row r="6078">
      <x:c r="A6078" s="85"/>
      <x:c r="B6078" s="86"/>
    </x:row>
    <x:row r="6079">
      <x:c r="A6079" s="85"/>
      <x:c r="B6079" s="86"/>
    </x:row>
    <x:row r="6080">
      <x:c r="A6080" s="85"/>
      <x:c r="B6080" s="86"/>
    </x:row>
    <x:row r="6081">
      <x:c r="A6081" s="85"/>
      <x:c r="B6081" s="86"/>
    </x:row>
    <x:row r="6082">
      <x:c r="A6082" s="85"/>
      <x:c r="B6082" s="86"/>
    </x:row>
    <x:row r="6083">
      <x:c r="A6083" s="85"/>
      <x:c r="B6083" s="86"/>
    </x:row>
    <x:row r="6084">
      <x:c r="A6084" s="85"/>
      <x:c r="B6084" s="86"/>
    </x:row>
    <x:row r="6085">
      <x:c r="A6085" s="85"/>
      <x:c r="B6085" s="86"/>
    </x:row>
    <x:row r="6086">
      <x:c r="A6086" s="85"/>
      <x:c r="B6086" s="86"/>
    </x:row>
    <x:row r="6087">
      <x:c r="A6087" s="85"/>
      <x:c r="B6087" s="86"/>
    </x:row>
    <x:row r="6088">
      <x:c r="A6088" s="85"/>
      <x:c r="B6088" s="86"/>
    </x:row>
    <x:row r="6089">
      <x:c r="A6089" s="85"/>
      <x:c r="B6089" s="86"/>
    </x:row>
    <x:row r="6090">
      <x:c r="A6090" s="85"/>
      <x:c r="B6090" s="86"/>
    </x:row>
    <x:row r="6091">
      <x:c r="A6091" s="85"/>
      <x:c r="B6091" s="86"/>
    </x:row>
    <x:row r="6092">
      <x:c r="A6092" s="85"/>
      <x:c r="B6092" s="86"/>
    </x:row>
    <x:row r="6093">
      <x:c r="A6093" s="85"/>
      <x:c r="B6093" s="86"/>
    </x:row>
    <x:row r="6094">
      <x:c r="A6094" s="85"/>
      <x:c r="B6094" s="86"/>
    </x:row>
    <x:row r="6095">
      <x:c r="A6095" s="85"/>
      <x:c r="B6095" s="86"/>
    </x:row>
    <x:row r="6096">
      <x:c r="A6096" s="85"/>
      <x:c r="B6096" s="86"/>
    </x:row>
    <x:row r="6097">
      <x:c r="A6097" s="85"/>
      <x:c r="B6097" s="86"/>
    </x:row>
    <x:row r="6098">
      <x:c r="A6098" s="85"/>
      <x:c r="B6098" s="86"/>
    </x:row>
    <x:row r="6099">
      <x:c r="A6099" s="85"/>
      <x:c r="B6099" s="86"/>
    </x:row>
    <x:row r="6100">
      <x:c r="A6100" s="85"/>
      <x:c r="B6100" s="86"/>
    </x:row>
    <x:row r="6101">
      <x:c r="A6101" s="85"/>
      <x:c r="B6101" s="86"/>
    </x:row>
    <x:row r="6102">
      <x:c r="A6102" s="85"/>
      <x:c r="B6102" s="86"/>
    </x:row>
    <x:row r="6103">
      <x:c r="A6103" s="85"/>
      <x:c r="B6103" s="86"/>
    </x:row>
    <x:row r="6104">
      <x:c r="A6104" s="85"/>
      <x:c r="B6104" s="86"/>
    </x:row>
    <x:row r="6105">
      <x:c r="A6105" s="85"/>
      <x:c r="B6105" s="86"/>
    </x:row>
    <x:row r="6106">
      <x:c r="A6106" s="85"/>
      <x:c r="B6106" s="86"/>
    </x:row>
    <x:row r="6107">
      <x:c r="A6107" s="85"/>
      <x:c r="B6107" s="86"/>
    </x:row>
    <x:row r="6108">
      <x:c r="A6108" s="85"/>
      <x:c r="B6108" s="86"/>
    </x:row>
    <x:row r="6109">
      <x:c r="A6109" s="85"/>
      <x:c r="B6109" s="86"/>
    </x:row>
    <x:row r="6110">
      <x:c r="A6110" s="85"/>
      <x:c r="B6110" s="86"/>
    </x:row>
    <x:row r="6111">
      <x:c r="A6111" s="85"/>
      <x:c r="B6111" s="86"/>
    </x:row>
    <x:row r="6112">
      <x:c r="A6112" s="85"/>
      <x:c r="B6112" s="86"/>
    </x:row>
    <x:row r="6113">
      <x:c r="A6113" s="85"/>
      <x:c r="B6113" s="86"/>
    </x:row>
    <x:row r="6114">
      <x:c r="A6114" s="85"/>
      <x:c r="B6114" s="86"/>
    </x:row>
    <x:row r="6115">
      <x:c r="A6115" s="85"/>
      <x:c r="B6115" s="86"/>
    </x:row>
    <x:row r="6116">
      <x:c r="A6116" s="85"/>
      <x:c r="B6116" s="86"/>
    </x:row>
    <x:row r="6117">
      <x:c r="A6117" s="85"/>
      <x:c r="B6117" s="86"/>
    </x:row>
    <x:row r="6118">
      <x:c r="A6118" s="85"/>
      <x:c r="B6118" s="86"/>
    </x:row>
    <x:row r="6119">
      <x:c r="A6119" s="85"/>
      <x:c r="B6119" s="86"/>
    </x:row>
    <x:row r="6120">
      <x:c r="A6120" s="85"/>
      <x:c r="B6120" s="86"/>
    </x:row>
    <x:row r="6121">
      <x:c r="A6121" s="85"/>
      <x:c r="B6121" s="86"/>
    </x:row>
    <x:row r="6122">
      <x:c r="A6122" s="85"/>
      <x:c r="B6122" s="86"/>
    </x:row>
    <x:row r="6123">
      <x:c r="A6123" s="85"/>
      <x:c r="B6123" s="86"/>
    </x:row>
    <x:row r="6124">
      <x:c r="A6124" s="85"/>
      <x:c r="B6124" s="86"/>
    </x:row>
    <x:row r="6125">
      <x:c r="A6125" s="85"/>
      <x:c r="B6125" s="86"/>
    </x:row>
    <x:row r="6126">
      <x:c r="A6126" s="85"/>
      <x:c r="B6126" s="86"/>
    </x:row>
    <x:row r="6127">
      <x:c r="A6127" s="85"/>
      <x:c r="B6127" s="86"/>
    </x:row>
    <x:row r="6128">
      <x:c r="A6128" s="85"/>
      <x:c r="B6128" s="86"/>
    </x:row>
    <x:row r="6129">
      <x:c r="A6129" s="85"/>
      <x:c r="B6129" s="86"/>
    </x:row>
    <x:row r="6130">
      <x:c r="A6130" s="85"/>
      <x:c r="B6130" s="86"/>
    </x:row>
    <x:row r="6131">
      <x:c r="A6131" s="85"/>
      <x:c r="B6131" s="86"/>
    </x:row>
    <x:row r="6132">
      <x:c r="A6132" s="85"/>
      <x:c r="B6132" s="86"/>
    </x:row>
    <x:row r="6133">
      <x:c r="A6133" s="85"/>
      <x:c r="B6133" s="86"/>
    </x:row>
    <x:row r="6134">
      <x:c r="A6134" s="85"/>
      <x:c r="B6134" s="86"/>
    </x:row>
    <x:row r="6135">
      <x:c r="A6135" s="85"/>
      <x:c r="B6135" s="86"/>
    </x:row>
    <x:row r="6136">
      <x:c r="A6136" s="85"/>
      <x:c r="B6136" s="86"/>
    </x:row>
    <x:row r="6137">
      <x:c r="A6137" s="85"/>
      <x:c r="B6137" s="86"/>
    </x:row>
    <x:row r="6138">
      <x:c r="A6138" s="85"/>
      <x:c r="B6138" s="86"/>
    </x:row>
    <x:row r="6139">
      <x:c r="A6139" s="85"/>
      <x:c r="B6139" s="86"/>
    </x:row>
    <x:row r="6140">
      <x:c r="A6140" s="85"/>
      <x:c r="B6140" s="86"/>
    </x:row>
    <x:row r="6141">
      <x:c r="A6141" s="85"/>
      <x:c r="B6141" s="86"/>
    </x:row>
    <x:row r="6142">
      <x:c r="A6142" s="85"/>
      <x:c r="B6142" s="86"/>
    </x:row>
    <x:row r="6143">
      <x:c r="A6143" s="85"/>
      <x:c r="B6143" s="86"/>
    </x:row>
    <x:row r="6144">
      <x:c r="A6144" s="85"/>
      <x:c r="B6144" s="86"/>
    </x:row>
    <x:row r="6145">
      <x:c r="A6145" s="85"/>
      <x:c r="B6145" s="86"/>
    </x:row>
    <x:row r="6146">
      <x:c r="A6146" s="85"/>
      <x:c r="B6146" s="86"/>
    </x:row>
    <x:row r="6147">
      <x:c r="A6147" s="85"/>
      <x:c r="B6147" s="86"/>
    </x:row>
    <x:row r="6148">
      <x:c r="A6148" s="85"/>
      <x:c r="B6148" s="86"/>
    </x:row>
    <x:row r="6149">
      <x:c r="A6149" s="85"/>
      <x:c r="B6149" s="86"/>
    </x:row>
    <x:row r="6150">
      <x:c r="A6150" s="85"/>
      <x:c r="B6150" s="86"/>
    </x:row>
    <x:row r="6151">
      <x:c r="A6151" s="85"/>
      <x:c r="B6151" s="86"/>
    </x:row>
    <x:row r="6152">
      <x:c r="A6152" s="85"/>
      <x:c r="B6152" s="86"/>
    </x:row>
    <x:row r="6153">
      <x:c r="A6153" s="85"/>
      <x:c r="B6153" s="86"/>
    </x:row>
    <x:row r="6154">
      <x:c r="A6154" s="85"/>
      <x:c r="B6154" s="86"/>
    </x:row>
    <x:row r="6155">
      <x:c r="A6155" s="85"/>
      <x:c r="B6155" s="86"/>
    </x:row>
    <x:row r="6156">
      <x:c r="A6156" s="85"/>
      <x:c r="B6156" s="86"/>
    </x:row>
    <x:row r="6157">
      <x:c r="A6157" s="85"/>
      <x:c r="B6157" s="86"/>
    </x:row>
    <x:row r="6158">
      <x:c r="A6158" s="85"/>
      <x:c r="B6158" s="86"/>
    </x:row>
    <x:row r="6159">
      <x:c r="A6159" s="85"/>
      <x:c r="B6159" s="86"/>
    </x:row>
    <x:row r="6160">
      <x:c r="A6160" s="85"/>
      <x:c r="B6160" s="86"/>
    </x:row>
    <x:row r="6161">
      <x:c r="A6161" s="85"/>
      <x:c r="B6161" s="86"/>
    </x:row>
    <x:row r="6162">
      <x:c r="A6162" s="85"/>
      <x:c r="B6162" s="86"/>
    </x:row>
    <x:row r="6163">
      <x:c r="A6163" s="85"/>
      <x:c r="B6163" s="86"/>
    </x:row>
    <x:row r="6164">
      <x:c r="A6164" s="85"/>
      <x:c r="B6164" s="86"/>
    </x:row>
    <x:row r="6165">
      <x:c r="A6165" s="85"/>
      <x:c r="B6165" s="86"/>
    </x:row>
    <x:row r="6166">
      <x:c r="A6166" s="85"/>
      <x:c r="B6166" s="86"/>
    </x:row>
    <x:row r="6167">
      <x:c r="A6167" s="85"/>
      <x:c r="B6167" s="86"/>
    </x:row>
    <x:row r="6168">
      <x:c r="A6168" s="85"/>
      <x:c r="B6168" s="86"/>
    </x:row>
    <x:row r="6169">
      <x:c r="A6169" s="85"/>
      <x:c r="B6169" s="86"/>
    </x:row>
    <x:row r="6170">
      <x:c r="A6170" s="85"/>
      <x:c r="B6170" s="86"/>
    </x:row>
    <x:row r="6171">
      <x:c r="A6171" s="85"/>
      <x:c r="B6171" s="86"/>
    </x:row>
    <x:row r="6172">
      <x:c r="A6172" s="85"/>
      <x:c r="B6172" s="86"/>
    </x:row>
    <x:row r="6173">
      <x:c r="A6173" s="85"/>
      <x:c r="B6173" s="86"/>
    </x:row>
    <x:row r="6174">
      <x:c r="A6174" s="85"/>
      <x:c r="B6174" s="86"/>
    </x:row>
    <x:row r="6175">
      <x:c r="A6175" s="85"/>
      <x:c r="B6175" s="86"/>
    </x:row>
    <x:row r="6176">
      <x:c r="A6176" s="85"/>
      <x:c r="B6176" s="86"/>
    </x:row>
    <x:row r="6177">
      <x:c r="A6177" s="85"/>
      <x:c r="B6177" s="86"/>
    </x:row>
    <x:row r="6178">
      <x:c r="A6178" s="85"/>
      <x:c r="B6178" s="86"/>
    </x:row>
    <x:row r="6179">
      <x:c r="A6179" s="85"/>
      <x:c r="B6179" s="86"/>
    </x:row>
    <x:row r="6180">
      <x:c r="A6180" s="85"/>
      <x:c r="B6180" s="86"/>
    </x:row>
    <x:row r="6181">
      <x:c r="A6181" s="85"/>
      <x:c r="B6181" s="86"/>
    </x:row>
    <x:row r="6182">
      <x:c r="A6182" s="85"/>
      <x:c r="B6182" s="86"/>
    </x:row>
    <x:row r="6183">
      <x:c r="A6183" s="85"/>
      <x:c r="B6183" s="86"/>
    </x:row>
    <x:row r="6184">
      <x:c r="A6184" s="85"/>
      <x:c r="B6184" s="86"/>
    </x:row>
    <x:row r="6185">
      <x:c r="A6185" s="85"/>
      <x:c r="B6185" s="86"/>
    </x:row>
    <x:row r="6186">
      <x:c r="A6186" s="85"/>
      <x:c r="B6186" s="86"/>
    </x:row>
    <x:row r="6187">
      <x:c r="A6187" s="85"/>
      <x:c r="B6187" s="86"/>
    </x:row>
    <x:row r="6188">
      <x:c r="A6188" s="85"/>
      <x:c r="B6188" s="86"/>
    </x:row>
    <x:row r="6189">
      <x:c r="A6189" s="85"/>
      <x:c r="B6189" s="86"/>
    </x:row>
    <x:row r="6190">
      <x:c r="A6190" s="85"/>
      <x:c r="B6190" s="86"/>
    </x:row>
    <x:row r="6191">
      <x:c r="A6191" s="85"/>
      <x:c r="B6191" s="86"/>
    </x:row>
    <x:row r="6192">
      <x:c r="A6192" s="85"/>
      <x:c r="B6192" s="86"/>
    </x:row>
    <x:row r="6193">
      <x:c r="A6193" s="85"/>
      <x:c r="B6193" s="86"/>
    </x:row>
    <x:row r="6194">
      <x:c r="A6194" s="85"/>
      <x:c r="B6194" s="86"/>
    </x:row>
    <x:row r="6195">
      <x:c r="A6195" s="85"/>
      <x:c r="B6195" s="86"/>
    </x:row>
    <x:row r="6196">
      <x:c r="A6196" s="85"/>
      <x:c r="B6196" s="86"/>
    </x:row>
    <x:row r="6197">
      <x:c r="A6197" s="85"/>
      <x:c r="B6197" s="86"/>
    </x:row>
    <x:row r="6198">
      <x:c r="A6198" s="85"/>
      <x:c r="B6198" s="86"/>
    </x:row>
    <x:row r="6199">
      <x:c r="A6199" s="85"/>
      <x:c r="B6199" s="86"/>
    </x:row>
    <x:row r="6200">
      <x:c r="A6200" s="85"/>
      <x:c r="B6200" s="86"/>
    </x:row>
    <x:row r="6201">
      <x:c r="A6201" s="85"/>
      <x:c r="B6201" s="86"/>
    </x:row>
    <x:row r="6202">
      <x:c r="A6202" s="85"/>
      <x:c r="B6202" s="86"/>
    </x:row>
    <x:row r="6203">
      <x:c r="A6203" s="85"/>
      <x:c r="B6203" s="86"/>
    </x:row>
    <x:row r="6204">
      <x:c r="A6204" s="85"/>
      <x:c r="B6204" s="86"/>
    </x:row>
    <x:row r="6205">
      <x:c r="A6205" s="85"/>
      <x:c r="B6205" s="86"/>
    </x:row>
    <x:row r="6206">
      <x:c r="A6206" s="85"/>
      <x:c r="B6206" s="86"/>
    </x:row>
    <x:row r="6207">
      <x:c r="A6207" s="85"/>
      <x:c r="B6207" s="86"/>
    </x:row>
    <x:row r="6208">
      <x:c r="A6208" s="85"/>
      <x:c r="B6208" s="86"/>
    </x:row>
    <x:row r="6209">
      <x:c r="A6209" s="85"/>
      <x:c r="B6209" s="86"/>
    </x:row>
    <x:row r="6210">
      <x:c r="A6210" s="85"/>
      <x:c r="B6210" s="86"/>
    </x:row>
    <x:row r="6211">
      <x:c r="A6211" s="85"/>
      <x:c r="B6211" s="86"/>
    </x:row>
    <x:row r="6212">
      <x:c r="A6212" s="85"/>
      <x:c r="B6212" s="86"/>
    </x:row>
    <x:row r="6213">
      <x:c r="A6213" s="85"/>
      <x:c r="B6213" s="86"/>
    </x:row>
    <x:row r="6214">
      <x:c r="A6214" s="85"/>
      <x:c r="B6214" s="86"/>
    </x:row>
    <x:row r="6215">
      <x:c r="A6215" s="85"/>
      <x:c r="B6215" s="86"/>
    </x:row>
    <x:row r="6216">
      <x:c r="A6216" s="85"/>
      <x:c r="B6216" s="86"/>
    </x:row>
    <x:row r="6217">
      <x:c r="A6217" s="85"/>
      <x:c r="B6217" s="86"/>
    </x:row>
    <x:row r="6218">
      <x:c r="A6218" s="85"/>
      <x:c r="B6218" s="86"/>
    </x:row>
    <x:row r="6219">
      <x:c r="A6219" s="85"/>
      <x:c r="B6219" s="86"/>
    </x:row>
    <x:row r="6220">
      <x:c r="A6220" s="85"/>
      <x:c r="B6220" s="86"/>
    </x:row>
    <x:row r="6221">
      <x:c r="A6221" s="85"/>
      <x:c r="B6221" s="86"/>
    </x:row>
    <x:row r="6222">
      <x:c r="A6222" s="85"/>
      <x:c r="B6222" s="86"/>
    </x:row>
    <x:row r="6223">
      <x:c r="A6223" s="85"/>
      <x:c r="B6223" s="86"/>
    </x:row>
    <x:row r="6224">
      <x:c r="A6224" s="85"/>
      <x:c r="B6224" s="86"/>
    </x:row>
    <x:row r="6225">
      <x:c r="A6225" s="85"/>
      <x:c r="B6225" s="86"/>
    </x:row>
    <x:row r="6226">
      <x:c r="A6226" s="85"/>
      <x:c r="B6226" s="86"/>
    </x:row>
    <x:row r="6227">
      <x:c r="A6227" s="85"/>
      <x:c r="B6227" s="86"/>
    </x:row>
    <x:row r="6228">
      <x:c r="A6228" s="85"/>
      <x:c r="B6228" s="86"/>
    </x:row>
    <x:row r="6229">
      <x:c r="A6229" s="85"/>
      <x:c r="B6229" s="86"/>
    </x:row>
    <x:row r="6230">
      <x:c r="A6230" s="85"/>
      <x:c r="B6230" s="86"/>
    </x:row>
    <x:row r="6231">
      <x:c r="A6231" s="85"/>
      <x:c r="B6231" s="86"/>
    </x:row>
    <x:row r="6232">
      <x:c r="A6232" s="85"/>
      <x:c r="B6232" s="86"/>
    </x:row>
    <x:row r="6233">
      <x:c r="A6233" s="85"/>
      <x:c r="B6233" s="86"/>
    </x:row>
    <x:row r="6234">
      <x:c r="A6234" s="85"/>
      <x:c r="B6234" s="86"/>
    </x:row>
    <x:row r="6235">
      <x:c r="A6235" s="85"/>
      <x:c r="B6235" s="86"/>
    </x:row>
    <x:row r="6236">
      <x:c r="A6236" s="85"/>
      <x:c r="B6236" s="86"/>
    </x:row>
    <x:row r="6237">
      <x:c r="A6237" s="85"/>
      <x:c r="B6237" s="86"/>
    </x:row>
    <x:row r="6238">
      <x:c r="A6238" s="85"/>
      <x:c r="B6238" s="86"/>
    </x:row>
    <x:row r="6239">
      <x:c r="A6239" s="85"/>
      <x:c r="B6239" s="86"/>
    </x:row>
    <x:row r="6240">
      <x:c r="A6240" s="85"/>
      <x:c r="B6240" s="86"/>
    </x:row>
    <x:row r="6241">
      <x:c r="A6241" s="85"/>
      <x:c r="B6241" s="86"/>
    </x:row>
    <x:row r="6242">
      <x:c r="A6242" s="85"/>
      <x:c r="B6242" s="86"/>
    </x:row>
    <x:row r="6243">
      <x:c r="A6243" s="85"/>
      <x:c r="B6243" s="86"/>
    </x:row>
    <x:row r="6244">
      <x:c r="A6244" s="85"/>
      <x:c r="B6244" s="86"/>
    </x:row>
    <x:row r="6245">
      <x:c r="A6245" s="85"/>
      <x:c r="B6245" s="86"/>
    </x:row>
    <x:row r="6246">
      <x:c r="A6246" s="85"/>
      <x:c r="B6246" s="86"/>
    </x:row>
    <x:row r="6247">
      <x:c r="A6247" s="85"/>
      <x:c r="B6247" s="86"/>
    </x:row>
    <x:row r="6248">
      <x:c r="A6248" s="85"/>
      <x:c r="B6248" s="86"/>
    </x:row>
    <x:row r="6249">
      <x:c r="A6249" s="85"/>
      <x:c r="B6249" s="86"/>
    </x:row>
    <x:row r="6250">
      <x:c r="A6250" s="85"/>
      <x:c r="B6250" s="86"/>
    </x:row>
    <x:row r="6251">
      <x:c r="A6251" s="85"/>
      <x:c r="B6251" s="86"/>
    </x:row>
    <x:row r="6252">
      <x:c r="A6252" s="85"/>
      <x:c r="B6252" s="86"/>
    </x:row>
    <x:row r="6253">
      <x:c r="A6253" s="85"/>
      <x:c r="B6253" s="86"/>
    </x:row>
    <x:row r="6254">
      <x:c r="A6254" s="85"/>
      <x:c r="B6254" s="86"/>
    </x:row>
    <x:row r="6255">
      <x:c r="A6255" s="85"/>
      <x:c r="B6255" s="86"/>
    </x:row>
    <x:row r="6256">
      <x:c r="A6256" s="85"/>
      <x:c r="B6256" s="86"/>
    </x:row>
    <x:row r="6257">
      <x:c r="A6257" s="85"/>
      <x:c r="B6257" s="86"/>
    </x:row>
    <x:row r="6258">
      <x:c r="A6258" s="85"/>
      <x:c r="B6258" s="86"/>
    </x:row>
    <x:row r="6259">
      <x:c r="A6259" s="85"/>
      <x:c r="B6259" s="86"/>
    </x:row>
    <x:row r="6260">
      <x:c r="A6260" s="85"/>
      <x:c r="B6260" s="86"/>
    </x:row>
    <x:row r="6261">
      <x:c r="A6261" s="85"/>
      <x:c r="B6261" s="86"/>
    </x:row>
    <x:row r="6262">
      <x:c r="A6262" s="85"/>
      <x:c r="B6262" s="86"/>
    </x:row>
    <x:row r="6263">
      <x:c r="A6263" s="85"/>
      <x:c r="B6263" s="86"/>
    </x:row>
    <x:row r="6264">
      <x:c r="A6264" s="85"/>
      <x:c r="B6264" s="86"/>
    </x:row>
    <x:row r="6265">
      <x:c r="A6265" s="85"/>
      <x:c r="B6265" s="86"/>
    </x:row>
    <x:row r="6266">
      <x:c r="A6266" s="85"/>
      <x:c r="B6266" s="86"/>
    </x:row>
    <x:row r="6267">
      <x:c r="A6267" s="85"/>
      <x:c r="B6267" s="86"/>
    </x:row>
    <x:row r="6268">
      <x:c r="A6268" s="85"/>
      <x:c r="B6268" s="86"/>
    </x:row>
    <x:row r="6269">
      <x:c r="A6269" s="85"/>
      <x:c r="B6269" s="86"/>
    </x:row>
    <x:row r="6270">
      <x:c r="A6270" s="85"/>
      <x:c r="B6270" s="86"/>
    </x:row>
    <x:row r="6271">
      <x:c r="A6271" s="85"/>
      <x:c r="B6271" s="86"/>
    </x:row>
    <x:row r="6272">
      <x:c r="A6272" s="85"/>
      <x:c r="B6272" s="86"/>
    </x:row>
    <x:row r="6273">
      <x:c r="A6273" s="85"/>
      <x:c r="B6273" s="86"/>
    </x:row>
    <x:row r="6274">
      <x:c r="A6274" s="85"/>
      <x:c r="B6274" s="86"/>
    </x:row>
    <x:row r="6275">
      <x:c r="A6275" s="85"/>
      <x:c r="B6275" s="86"/>
    </x:row>
    <x:row r="6276">
      <x:c r="A6276" s="85"/>
      <x:c r="B6276" s="86"/>
    </x:row>
    <x:row r="6277">
      <x:c r="A6277" s="85"/>
      <x:c r="B6277" s="86"/>
    </x:row>
    <x:row r="6278">
      <x:c r="A6278" s="85"/>
      <x:c r="B6278" s="86"/>
    </x:row>
    <x:row r="6279">
      <x:c r="A6279" s="85"/>
      <x:c r="B6279" s="86"/>
    </x:row>
    <x:row r="6280">
      <x:c r="A6280" s="85"/>
      <x:c r="B6280" s="86"/>
    </x:row>
    <x:row r="6281">
      <x:c r="A6281" s="85"/>
      <x:c r="B6281" s="86"/>
    </x:row>
    <x:row r="6282">
      <x:c r="A6282" s="85"/>
      <x:c r="B6282" s="86"/>
    </x:row>
    <x:row r="6283">
      <x:c r="A6283" s="85"/>
      <x:c r="B6283" s="86"/>
    </x:row>
    <x:row r="6284">
      <x:c r="A6284" s="85"/>
      <x:c r="B6284" s="86"/>
    </x:row>
    <x:row r="6285">
      <x:c r="A6285" s="85"/>
      <x:c r="B6285" s="86"/>
    </x:row>
    <x:row r="6286">
      <x:c r="A6286" s="85"/>
      <x:c r="B6286" s="86"/>
    </x:row>
    <x:row r="6287">
      <x:c r="A6287" s="85"/>
      <x:c r="B6287" s="86"/>
    </x:row>
    <x:row r="6288">
      <x:c r="A6288" s="85"/>
      <x:c r="B6288" s="86"/>
    </x:row>
    <x:row r="6289">
      <x:c r="A6289" s="85"/>
      <x:c r="B6289" s="86"/>
    </x:row>
    <x:row r="6290">
      <x:c r="A6290" s="85"/>
      <x:c r="B6290" s="86"/>
    </x:row>
    <x:row r="6291">
      <x:c r="A6291" s="85"/>
      <x:c r="B6291" s="86"/>
    </x:row>
    <x:row r="6292">
      <x:c r="A6292" s="85"/>
      <x:c r="B6292" s="86"/>
    </x:row>
    <x:row r="6293">
      <x:c r="A6293" s="85"/>
      <x:c r="B6293" s="86"/>
    </x:row>
    <x:row r="6294">
      <x:c r="A6294" s="85"/>
      <x:c r="B6294" s="86"/>
    </x:row>
    <x:row r="6295">
      <x:c r="A6295" s="85"/>
      <x:c r="B6295" s="86"/>
    </x:row>
    <x:row r="6296">
      <x:c r="A6296" s="85"/>
      <x:c r="B6296" s="86"/>
    </x:row>
    <x:row r="6297">
      <x:c r="A6297" s="85"/>
      <x:c r="B6297" s="86"/>
    </x:row>
    <x:row r="6298">
      <x:c r="A6298" s="85"/>
      <x:c r="B6298" s="86"/>
    </x:row>
    <x:row r="6299">
      <x:c r="A6299" s="85"/>
      <x:c r="B6299" s="86"/>
    </x:row>
    <x:row r="6300">
      <x:c r="A6300" s="85"/>
      <x:c r="B6300" s="86"/>
    </x:row>
    <x:row r="6301">
      <x:c r="A6301" s="85"/>
      <x:c r="B6301" s="86"/>
    </x:row>
    <x:row r="6302">
      <x:c r="A6302" s="85"/>
      <x:c r="B6302" s="86"/>
    </x:row>
    <x:row r="6303">
      <x:c r="A6303" s="85"/>
      <x:c r="B6303" s="86"/>
    </x:row>
    <x:row r="6304">
      <x:c r="A6304" s="85"/>
      <x:c r="B6304" s="86"/>
    </x:row>
    <x:row r="6305">
      <x:c r="A6305" s="85"/>
      <x:c r="B6305" s="86"/>
    </x:row>
    <x:row r="6306">
      <x:c r="A6306" s="85"/>
      <x:c r="B6306" s="86"/>
    </x:row>
    <x:row r="6307">
      <x:c r="A6307" s="85"/>
      <x:c r="B6307" s="86"/>
    </x:row>
    <x:row r="6308">
      <x:c r="A6308" s="85"/>
      <x:c r="B6308" s="86"/>
    </x:row>
    <x:row r="6309">
      <x:c r="A6309" s="85"/>
      <x:c r="B6309" s="86"/>
    </x:row>
    <x:row r="6310">
      <x:c r="A6310" s="85"/>
      <x:c r="B6310" s="86"/>
    </x:row>
    <x:row r="6311">
      <x:c r="A6311" s="85"/>
      <x:c r="B6311" s="86"/>
    </x:row>
    <x:row r="6312">
      <x:c r="A6312" s="85"/>
      <x:c r="B6312" s="86"/>
    </x:row>
    <x:row r="6313">
      <x:c r="A6313" s="85"/>
      <x:c r="B6313" s="86"/>
    </x:row>
    <x:row r="6314">
      <x:c r="A6314" s="85"/>
      <x:c r="B6314" s="86"/>
    </x:row>
    <x:row r="6315">
      <x:c r="A6315" s="85"/>
      <x:c r="B6315" s="86"/>
    </x:row>
    <x:row r="6316">
      <x:c r="A6316" s="85"/>
      <x:c r="B6316" s="86"/>
    </x:row>
    <x:row r="6317">
      <x:c r="A6317" s="85"/>
      <x:c r="B6317" s="86"/>
    </x:row>
    <x:row r="6318">
      <x:c r="A6318" s="85"/>
      <x:c r="B6318" s="86"/>
    </x:row>
    <x:row r="6319">
      <x:c r="A6319" s="85"/>
      <x:c r="B6319" s="86"/>
    </x:row>
    <x:row r="6320">
      <x:c r="A6320" s="85"/>
      <x:c r="B6320" s="86"/>
    </x:row>
    <x:row r="6321">
      <x:c r="A6321" s="85"/>
      <x:c r="B6321" s="86"/>
    </x:row>
    <x:row r="6322">
      <x:c r="A6322" s="85"/>
      <x:c r="B6322" s="86"/>
    </x:row>
    <x:row r="6323">
      <x:c r="A6323" s="85"/>
      <x:c r="B6323" s="86"/>
    </x:row>
    <x:row r="6324">
      <x:c r="A6324" s="85"/>
      <x:c r="B6324" s="86"/>
    </x:row>
    <x:row r="6325">
      <x:c r="A6325" s="85"/>
      <x:c r="B6325" s="86"/>
    </x:row>
    <x:row r="6326">
      <x:c r="A6326" s="85"/>
      <x:c r="B6326" s="86"/>
    </x:row>
    <x:row r="6327">
      <x:c r="A6327" s="85"/>
      <x:c r="B6327" s="86"/>
    </x:row>
    <x:row r="6328">
      <x:c r="A6328" s="85"/>
      <x:c r="B6328" s="86"/>
    </x:row>
    <x:row r="6329">
      <x:c r="A6329" s="85"/>
      <x:c r="B6329" s="86"/>
    </x:row>
    <x:row r="6330">
      <x:c r="A6330" s="85"/>
      <x:c r="B6330" s="86"/>
    </x:row>
    <x:row r="6331">
      <x:c r="A6331" s="85"/>
      <x:c r="B6331" s="86"/>
    </x:row>
    <x:row r="6332">
      <x:c r="A6332" s="85"/>
      <x:c r="B6332" s="86"/>
    </x:row>
    <x:row r="6333">
      <x:c r="A6333" s="85"/>
      <x:c r="B6333" s="86"/>
    </x:row>
    <x:row r="6334">
      <x:c r="A6334" s="85"/>
      <x:c r="B6334" s="86"/>
    </x:row>
    <x:row r="6335">
      <x:c r="A6335" s="85"/>
      <x:c r="B6335" s="86"/>
    </x:row>
    <x:row r="6336">
      <x:c r="A6336" s="85"/>
      <x:c r="B6336" s="86"/>
    </x:row>
    <x:row r="6337">
      <x:c r="A6337" s="85"/>
      <x:c r="B6337" s="86"/>
    </x:row>
    <x:row r="6338">
      <x:c r="A6338" s="85"/>
      <x:c r="B6338" s="86"/>
    </x:row>
    <x:row r="6339">
      <x:c r="A6339" s="85"/>
      <x:c r="B6339" s="86"/>
    </x:row>
    <x:row r="6340">
      <x:c r="A6340" s="85"/>
      <x:c r="B6340" s="86"/>
    </x:row>
    <x:row r="6341">
      <x:c r="A6341" s="85"/>
      <x:c r="B6341" s="86"/>
    </x:row>
    <x:row r="6342">
      <x:c r="A6342" s="85"/>
      <x:c r="B6342" s="86"/>
    </x:row>
    <x:row r="6343">
      <x:c r="A6343" s="85"/>
      <x:c r="B6343" s="86"/>
    </x:row>
    <x:row r="6344">
      <x:c r="A6344" s="85"/>
      <x:c r="B6344" s="86"/>
    </x:row>
    <x:row r="6345">
      <x:c r="A6345" s="85"/>
      <x:c r="B6345" s="86"/>
    </x:row>
    <x:row r="6346">
      <x:c r="A6346" s="85"/>
      <x:c r="B6346" s="86"/>
    </x:row>
    <x:row r="6347">
      <x:c r="A6347" s="85"/>
      <x:c r="B6347" s="86"/>
    </x:row>
    <x:row r="6348">
      <x:c r="A6348" s="85"/>
      <x:c r="B6348" s="86"/>
    </x:row>
    <x:row r="6349">
      <x:c r="A6349" s="85"/>
      <x:c r="B6349" s="86"/>
    </x:row>
    <x:row r="6350">
      <x:c r="A6350" s="85"/>
      <x:c r="B6350" s="86"/>
    </x:row>
    <x:row r="6351">
      <x:c r="A6351" s="85"/>
      <x:c r="B6351" s="86"/>
    </x:row>
    <x:row r="6352">
      <x:c r="A6352" s="85"/>
      <x:c r="B6352" s="86"/>
    </x:row>
    <x:row r="6353">
      <x:c r="A6353" s="85"/>
      <x:c r="B6353" s="86"/>
    </x:row>
    <x:row r="6354">
      <x:c r="A6354" s="85"/>
      <x:c r="B6354" s="86"/>
    </x:row>
    <x:row r="6355">
      <x:c r="A6355" s="85"/>
      <x:c r="B6355" s="86"/>
    </x:row>
    <x:row r="6356">
      <x:c r="A6356" s="85"/>
      <x:c r="B6356" s="86"/>
    </x:row>
    <x:row r="6357">
      <x:c r="A6357" s="85"/>
      <x:c r="B6357" s="86"/>
    </x:row>
    <x:row r="6358">
      <x:c r="A6358" s="85"/>
      <x:c r="B6358" s="86"/>
    </x:row>
    <x:row r="6359">
      <x:c r="A6359" s="85"/>
      <x:c r="B6359" s="86"/>
    </x:row>
    <x:row r="6360">
      <x:c r="A6360" s="85"/>
      <x:c r="B6360" s="86"/>
    </x:row>
    <x:row r="6361">
      <x:c r="A6361" s="85"/>
      <x:c r="B6361" s="86"/>
    </x:row>
    <x:row r="6362">
      <x:c r="A6362" s="85"/>
      <x:c r="B6362" s="86"/>
    </x:row>
    <x:row r="6363">
      <x:c r="A6363" s="85"/>
      <x:c r="B6363" s="86"/>
    </x:row>
    <x:row r="6364">
      <x:c r="A6364" s="85"/>
      <x:c r="B6364" s="86"/>
    </x:row>
    <x:row r="6365">
      <x:c r="A6365" s="85"/>
      <x:c r="B6365" s="86"/>
    </x:row>
    <x:row r="6366">
      <x:c r="A6366" s="85"/>
      <x:c r="B6366" s="86"/>
    </x:row>
    <x:row r="6367">
      <x:c r="A6367" s="85"/>
      <x:c r="B6367" s="86"/>
    </x:row>
    <x:row r="6368">
      <x:c r="A6368" s="85"/>
      <x:c r="B6368" s="86"/>
    </x:row>
    <x:row r="6369">
      <x:c r="A6369" s="85"/>
      <x:c r="B6369" s="86"/>
    </x:row>
    <x:row r="6370">
      <x:c r="A6370" s="85"/>
      <x:c r="B6370" s="86"/>
    </x:row>
    <x:row r="6371">
      <x:c r="A6371" s="85"/>
      <x:c r="B6371" s="86"/>
    </x:row>
    <x:row r="6372">
      <x:c r="A6372" s="85"/>
      <x:c r="B6372" s="86"/>
    </x:row>
    <x:row r="6373">
      <x:c r="A6373" s="85"/>
      <x:c r="B6373" s="86"/>
    </x:row>
    <x:row r="6374">
      <x:c r="A6374" s="85"/>
      <x:c r="B6374" s="86"/>
    </x:row>
    <x:row r="6375">
      <x:c r="A6375" s="85"/>
      <x:c r="B6375" s="86"/>
    </x:row>
    <x:row r="6376">
      <x:c r="A6376" s="85"/>
      <x:c r="B6376" s="86"/>
    </x:row>
    <x:row r="6377">
      <x:c r="A6377" s="85"/>
      <x:c r="B6377" s="86"/>
    </x:row>
    <x:row r="6378">
      <x:c r="A6378" s="85"/>
      <x:c r="B6378" s="86"/>
    </x:row>
    <x:row r="6379">
      <x:c r="A6379" s="85"/>
      <x:c r="B6379" s="86"/>
    </x:row>
    <x:row r="6380">
      <x:c r="A6380" s="85"/>
      <x:c r="B6380" s="86"/>
    </x:row>
    <x:row r="6381">
      <x:c r="A6381" s="85"/>
      <x:c r="B6381" s="86"/>
    </x:row>
    <x:row r="6382">
      <x:c r="A6382" s="85"/>
      <x:c r="B6382" s="86"/>
    </x:row>
    <x:row r="6383">
      <x:c r="A6383" s="85"/>
      <x:c r="B6383" s="86"/>
    </x:row>
    <x:row r="6384">
      <x:c r="A6384" s="85"/>
      <x:c r="B6384" s="86"/>
    </x:row>
    <x:row r="6385">
      <x:c r="A6385" s="85"/>
      <x:c r="B6385" s="86"/>
    </x:row>
    <x:row r="6386">
      <x:c r="A6386" s="85"/>
      <x:c r="B6386" s="86"/>
    </x:row>
    <x:row r="6387">
      <x:c r="A6387" s="85"/>
      <x:c r="B6387" s="86"/>
    </x:row>
    <x:row r="6388">
      <x:c r="A6388" s="85"/>
      <x:c r="B6388" s="86"/>
    </x:row>
    <x:row r="6389">
      <x:c r="A6389" s="85"/>
      <x:c r="B6389" s="86"/>
    </x:row>
    <x:row r="6390">
      <x:c r="A6390" s="85"/>
      <x:c r="B6390" s="86"/>
    </x:row>
    <x:row r="6391">
      <x:c r="A6391" s="85"/>
      <x:c r="B6391" s="86"/>
    </x:row>
    <x:row r="6392">
      <x:c r="A6392" s="85"/>
      <x:c r="B6392" s="86"/>
    </x:row>
    <x:row r="6393">
      <x:c r="A6393" s="85"/>
      <x:c r="B6393" s="86"/>
    </x:row>
    <x:row r="6394">
      <x:c r="A6394" s="85"/>
      <x:c r="B6394" s="86"/>
    </x:row>
    <x:row r="6395">
      <x:c r="A6395" s="85"/>
      <x:c r="B6395" s="86"/>
    </x:row>
    <x:row r="6396">
      <x:c r="A6396" s="85"/>
      <x:c r="B6396" s="86"/>
    </x:row>
    <x:row r="6397">
      <x:c r="A6397" s="85"/>
      <x:c r="B6397" s="86"/>
    </x:row>
    <x:row r="6398">
      <x:c r="A6398" s="85"/>
      <x:c r="B6398" s="86"/>
    </x:row>
    <x:row r="6399">
      <x:c r="A6399" s="85"/>
      <x:c r="B6399" s="86"/>
    </x:row>
    <x:row r="6400">
      <x:c r="A6400" s="85"/>
      <x:c r="B6400" s="86"/>
    </x:row>
    <x:row r="6401">
      <x:c r="A6401" s="85"/>
      <x:c r="B6401" s="86"/>
    </x:row>
    <x:row r="6402">
      <x:c r="A6402" s="85"/>
      <x:c r="B6402" s="86"/>
    </x:row>
    <x:row r="6403">
      <x:c r="A6403" s="85"/>
      <x:c r="B6403" s="86"/>
    </x:row>
    <x:row r="6404">
      <x:c r="A6404" s="85"/>
      <x:c r="B6404" s="86"/>
    </x:row>
    <x:row r="6405">
      <x:c r="A6405" s="85"/>
      <x:c r="B6405" s="86"/>
    </x:row>
    <x:row r="6406">
      <x:c r="A6406" s="85"/>
      <x:c r="B6406" s="86"/>
    </x:row>
    <x:row r="6407">
      <x:c r="A6407" s="85"/>
      <x:c r="B6407" s="86"/>
    </x:row>
    <x:row r="6408">
      <x:c r="A6408" s="85"/>
      <x:c r="B6408" s="86"/>
    </x:row>
    <x:row r="6409">
      <x:c r="A6409" s="85"/>
      <x:c r="B6409" s="86"/>
    </x:row>
    <x:row r="6410">
      <x:c r="A6410" s="85"/>
      <x:c r="B6410" s="86"/>
    </x:row>
    <x:row r="6411">
      <x:c r="A6411" s="85"/>
      <x:c r="B6411" s="86"/>
    </x:row>
    <x:row r="6412">
      <x:c r="A6412" s="85"/>
      <x:c r="B6412" s="86"/>
    </x:row>
    <x:row r="6413">
      <x:c r="A6413" s="85"/>
      <x:c r="B6413" s="86"/>
    </x:row>
    <x:row r="6414">
      <x:c r="A6414" s="85"/>
      <x:c r="B6414" s="86"/>
    </x:row>
    <x:row r="6415">
      <x:c r="A6415" s="85"/>
      <x:c r="B6415" s="86"/>
    </x:row>
    <x:row r="6416">
      <x:c r="A6416" s="85"/>
      <x:c r="B6416" s="86"/>
    </x:row>
    <x:row r="6417">
      <x:c r="A6417" s="85"/>
      <x:c r="B6417" s="86"/>
    </x:row>
    <x:row r="6418">
      <x:c r="A6418" s="85"/>
      <x:c r="B6418" s="86"/>
    </x:row>
    <x:row r="6419">
      <x:c r="A6419" s="85"/>
      <x:c r="B6419" s="86"/>
    </x:row>
    <x:row r="6420">
      <x:c r="A6420" s="85"/>
      <x:c r="B6420" s="86"/>
    </x:row>
    <x:row r="6421">
      <x:c r="A6421" s="85"/>
      <x:c r="B6421" s="86"/>
    </x:row>
    <x:row r="6422">
      <x:c r="A6422" s="85"/>
      <x:c r="B6422" s="86"/>
    </x:row>
    <x:row r="6423">
      <x:c r="A6423" s="85"/>
      <x:c r="B6423" s="86"/>
    </x:row>
    <x:row r="6424">
      <x:c r="A6424" s="85"/>
      <x:c r="B6424" s="86"/>
    </x:row>
    <x:row r="6425">
      <x:c r="A6425" s="85"/>
      <x:c r="B6425" s="86"/>
    </x:row>
    <x:row r="6426">
      <x:c r="A6426" s="85"/>
      <x:c r="B6426" s="86"/>
    </x:row>
    <x:row r="6427">
      <x:c r="A6427" s="85"/>
      <x:c r="B6427" s="86"/>
    </x:row>
    <x:row r="6428">
      <x:c r="A6428" s="85"/>
      <x:c r="B6428" s="86"/>
    </x:row>
    <x:row r="6429">
      <x:c r="A6429" s="85"/>
      <x:c r="B6429" s="86"/>
    </x:row>
    <x:row r="6430">
      <x:c r="A6430" s="85"/>
      <x:c r="B6430" s="86"/>
    </x:row>
    <x:row r="6431">
      <x:c r="A6431" s="85"/>
      <x:c r="B6431" s="86"/>
    </x:row>
    <x:row r="6432">
      <x:c r="A6432" s="85"/>
      <x:c r="B6432" s="86"/>
    </x:row>
    <x:row r="6433">
      <x:c r="A6433" s="85"/>
      <x:c r="B6433" s="86"/>
    </x:row>
    <x:row r="6434">
      <x:c r="A6434" s="85"/>
      <x:c r="B6434" s="86"/>
    </x:row>
    <x:row r="6435">
      <x:c r="A6435" s="85"/>
      <x:c r="B6435" s="86"/>
    </x:row>
    <x:row r="6436">
      <x:c r="A6436" s="85"/>
      <x:c r="B6436" s="86"/>
    </x:row>
    <x:row r="6437">
      <x:c r="A6437" s="85"/>
      <x:c r="B6437" s="86"/>
    </x:row>
    <x:row r="6438">
      <x:c r="A6438" s="85"/>
      <x:c r="B6438" s="86"/>
    </x:row>
    <x:row r="6439">
      <x:c r="A6439" s="85"/>
      <x:c r="B6439" s="86"/>
    </x:row>
    <x:row r="6440">
      <x:c r="A6440" s="85"/>
      <x:c r="B6440" s="86"/>
    </x:row>
    <x:row r="6441">
      <x:c r="A6441" s="85"/>
      <x:c r="B6441" s="86"/>
    </x:row>
    <x:row r="6442">
      <x:c r="A6442" s="85"/>
      <x:c r="B6442" s="86"/>
    </x:row>
    <x:row r="6443">
      <x:c r="A6443" s="85"/>
      <x:c r="B6443" s="86"/>
    </x:row>
    <x:row r="6444">
      <x:c r="A6444" s="85"/>
      <x:c r="B6444" s="86"/>
    </x:row>
    <x:row r="6445">
      <x:c r="A6445" s="85"/>
      <x:c r="B6445" s="86"/>
    </x:row>
    <x:row r="6446">
      <x:c r="A6446" s="85"/>
      <x:c r="B6446" s="86"/>
    </x:row>
    <x:row r="6447">
      <x:c r="A6447" s="85"/>
      <x:c r="B6447" s="86"/>
    </x:row>
    <x:row r="6448">
      <x:c r="A6448" s="85"/>
      <x:c r="B6448" s="86"/>
    </x:row>
    <x:row r="6449">
      <x:c r="A6449" s="85"/>
      <x:c r="B6449" s="86"/>
    </x:row>
    <x:row r="6450">
      <x:c r="A6450" s="85"/>
      <x:c r="B6450" s="86"/>
    </x:row>
    <x:row r="6451">
      <x:c r="A6451" s="85"/>
      <x:c r="B6451" s="86"/>
    </x:row>
    <x:row r="6452">
      <x:c r="A6452" s="85"/>
      <x:c r="B6452" s="86"/>
    </x:row>
    <x:row r="6453">
      <x:c r="A6453" s="85"/>
      <x:c r="B6453" s="86"/>
    </x:row>
    <x:row r="6454">
      <x:c r="A6454" s="85"/>
      <x:c r="B6454" s="86"/>
    </x:row>
    <x:row r="6455">
      <x:c r="A6455" s="85"/>
      <x:c r="B6455" s="86"/>
    </x:row>
    <x:row r="6456">
      <x:c r="A6456" s="85"/>
      <x:c r="B6456" s="86"/>
    </x:row>
    <x:row r="6457">
      <x:c r="A6457" s="85"/>
      <x:c r="B6457" s="86"/>
    </x:row>
    <x:row r="6458">
      <x:c r="A6458" s="85"/>
      <x:c r="B6458" s="86"/>
    </x:row>
    <x:row r="6459">
      <x:c r="A6459" s="85"/>
      <x:c r="B6459" s="86"/>
    </x:row>
    <x:row r="6460">
      <x:c r="A6460" s="85"/>
      <x:c r="B6460" s="86"/>
    </x:row>
    <x:row r="6461">
      <x:c r="A6461" s="85"/>
      <x:c r="B6461" s="86"/>
    </x:row>
    <x:row r="6462">
      <x:c r="A6462" s="85"/>
      <x:c r="B6462" s="86"/>
    </x:row>
    <x:row r="6463">
      <x:c r="A6463" s="85"/>
      <x:c r="B6463" s="86"/>
    </x:row>
    <x:row r="6464">
      <x:c r="A6464" s="85"/>
      <x:c r="B6464" s="86"/>
    </x:row>
    <x:row r="6465">
      <x:c r="A6465" s="85"/>
      <x:c r="B6465" s="86"/>
    </x:row>
    <x:row r="6466">
      <x:c r="A6466" s="85"/>
      <x:c r="B6466" s="86"/>
    </x:row>
    <x:row r="6467">
      <x:c r="A6467" s="85"/>
      <x:c r="B6467" s="86"/>
    </x:row>
    <x:row r="6468">
      <x:c r="A6468" s="85"/>
      <x:c r="B6468" s="86"/>
    </x:row>
    <x:row r="6469">
      <x:c r="A6469" s="85"/>
      <x:c r="B6469" s="86"/>
    </x:row>
    <x:row r="6470">
      <x:c r="A6470" s="85"/>
      <x:c r="B6470" s="86"/>
    </x:row>
    <x:row r="6471">
      <x:c r="A6471" s="85"/>
      <x:c r="B6471" s="86"/>
    </x:row>
    <x:row r="6472">
      <x:c r="A6472" s="85"/>
      <x:c r="B6472" s="86"/>
    </x:row>
    <x:row r="6473">
      <x:c r="A6473" s="85"/>
      <x:c r="B6473" s="86"/>
    </x:row>
    <x:row r="6474">
      <x:c r="A6474" s="85"/>
      <x:c r="B6474" s="86"/>
    </x:row>
    <x:row r="6475">
      <x:c r="A6475" s="85"/>
      <x:c r="B6475" s="86"/>
    </x:row>
    <x:row r="6476">
      <x:c r="A6476" s="85"/>
      <x:c r="B6476" s="86"/>
    </x:row>
    <x:row r="6477">
      <x:c r="A6477" s="85"/>
      <x:c r="B6477" s="86"/>
    </x:row>
    <x:row r="6478">
      <x:c r="A6478" s="85"/>
      <x:c r="B6478" s="86"/>
    </x:row>
    <x:row r="6479">
      <x:c r="A6479" s="85"/>
      <x:c r="B6479" s="86"/>
    </x:row>
    <x:row r="6480">
      <x:c r="A6480" s="85"/>
      <x:c r="B6480" s="86"/>
    </x:row>
    <x:row r="6481">
      <x:c r="A6481" s="85"/>
      <x:c r="B6481" s="86"/>
    </x:row>
    <x:row r="6482">
      <x:c r="A6482" s="85"/>
      <x:c r="B6482" s="86"/>
    </x:row>
    <x:row r="6483">
      <x:c r="A6483" s="85"/>
      <x:c r="B6483" s="86"/>
    </x:row>
    <x:row r="6484">
      <x:c r="A6484" s="85"/>
      <x:c r="B6484" s="86"/>
    </x:row>
    <x:row r="6485">
      <x:c r="A6485" s="85"/>
      <x:c r="B6485" s="86"/>
    </x:row>
    <x:row r="6486">
      <x:c r="A6486" s="85"/>
      <x:c r="B6486" s="86"/>
    </x:row>
    <x:row r="6487">
      <x:c r="A6487" s="85"/>
      <x:c r="B6487" s="86"/>
    </x:row>
    <x:row r="6488">
      <x:c r="A6488" s="85"/>
      <x:c r="B6488" s="86"/>
    </x:row>
    <x:row r="6489">
      <x:c r="A6489" s="85"/>
      <x:c r="B6489" s="86"/>
    </x:row>
    <x:row r="6490">
      <x:c r="A6490" s="85"/>
      <x:c r="B6490" s="86"/>
    </x:row>
    <x:row r="6491">
      <x:c r="A6491" s="85"/>
      <x:c r="B6491" s="86"/>
    </x:row>
    <x:row r="6492">
      <x:c r="A6492" s="85"/>
      <x:c r="B6492" s="86"/>
    </x:row>
    <x:row r="6493">
      <x:c r="A6493" s="85"/>
      <x:c r="B6493" s="86"/>
    </x:row>
    <x:row r="6494">
      <x:c r="A6494" s="85"/>
      <x:c r="B6494" s="86"/>
    </x:row>
    <x:row r="6495">
      <x:c r="A6495" s="85"/>
      <x:c r="B6495" s="86"/>
    </x:row>
    <x:row r="6496">
      <x:c r="A6496" s="85"/>
      <x:c r="B6496" s="86"/>
    </x:row>
    <x:row r="6497">
      <x:c r="A6497" s="85"/>
      <x:c r="B6497" s="86"/>
    </x:row>
    <x:row r="6498">
      <x:c r="A6498" s="85"/>
      <x:c r="B6498" s="86"/>
    </x:row>
    <x:row r="6499">
      <x:c r="A6499" s="85"/>
      <x:c r="B6499" s="86"/>
    </x:row>
    <x:row r="6500">
      <x:c r="A6500" s="85"/>
      <x:c r="B6500" s="86"/>
    </x:row>
    <x:row r="6501">
      <x:c r="A6501" s="85"/>
      <x:c r="B6501" s="86"/>
    </x:row>
    <x:row r="6502">
      <x:c r="A6502" s="85"/>
      <x:c r="B6502" s="86"/>
    </x:row>
    <x:row r="6503">
      <x:c r="A6503" s="85"/>
      <x:c r="B6503" s="86"/>
    </x:row>
    <x:row r="6504">
      <x:c r="A6504" s="85"/>
      <x:c r="B6504" s="86"/>
    </x:row>
    <x:row r="6505">
      <x:c r="A6505" s="85"/>
      <x:c r="B6505" s="86"/>
    </x:row>
    <x:row r="6506">
      <x:c r="A6506" s="85"/>
      <x:c r="B6506" s="86"/>
    </x:row>
    <x:row r="6507">
      <x:c r="A6507" s="85"/>
      <x:c r="B6507" s="86"/>
    </x:row>
    <x:row r="6508">
      <x:c r="A6508" s="85"/>
      <x:c r="B6508" s="86"/>
    </x:row>
    <x:row r="6509">
      <x:c r="A6509" s="85"/>
      <x:c r="B6509" s="86"/>
    </x:row>
    <x:row r="6510">
      <x:c r="A6510" s="85"/>
      <x:c r="B6510" s="86"/>
    </x:row>
    <x:row r="6511">
      <x:c r="A6511" s="85"/>
      <x:c r="B6511" s="86"/>
    </x:row>
    <x:row r="6512">
      <x:c r="A6512" s="85"/>
      <x:c r="B6512" s="86"/>
    </x:row>
    <x:row r="6513">
      <x:c r="A6513" s="85"/>
      <x:c r="B6513" s="86"/>
    </x:row>
    <x:row r="6514">
      <x:c r="A6514" s="85"/>
      <x:c r="B6514" s="86"/>
    </x:row>
    <x:row r="6515">
      <x:c r="A6515" s="85"/>
      <x:c r="B6515" s="86"/>
    </x:row>
    <x:row r="6516">
      <x:c r="A6516" s="85"/>
      <x:c r="B6516" s="86"/>
    </x:row>
    <x:row r="6517">
      <x:c r="A6517" s="85"/>
      <x:c r="B6517" s="86"/>
    </x:row>
    <x:row r="6518">
      <x:c r="A6518" s="85"/>
      <x:c r="B6518" s="86"/>
    </x:row>
    <x:row r="6519">
      <x:c r="A6519" s="85"/>
      <x:c r="B6519" s="86"/>
    </x:row>
    <x:row r="6520">
      <x:c r="A6520" s="85"/>
      <x:c r="B6520" s="86"/>
    </x:row>
    <x:row r="6521">
      <x:c r="A6521" s="85"/>
      <x:c r="B6521" s="86"/>
    </x:row>
    <x:row r="6522">
      <x:c r="A6522" s="85"/>
      <x:c r="B6522" s="86"/>
    </x:row>
    <x:row r="6523">
      <x:c r="A6523" s="85"/>
      <x:c r="B6523" s="86"/>
    </x:row>
    <x:row r="6524">
      <x:c r="A6524" s="85"/>
      <x:c r="B6524" s="86"/>
    </x:row>
    <x:row r="6525">
      <x:c r="A6525" s="85"/>
      <x:c r="B6525" s="86"/>
    </x:row>
    <x:row r="6526">
      <x:c r="A6526" s="85"/>
      <x:c r="B6526" s="86"/>
    </x:row>
    <x:row r="6527">
      <x:c r="A6527" s="85"/>
      <x:c r="B6527" s="86"/>
    </x:row>
    <x:row r="6528">
      <x:c r="A6528" s="85"/>
      <x:c r="B6528" s="86"/>
    </x:row>
    <x:row r="6529">
      <x:c r="A6529" s="85"/>
      <x:c r="B6529" s="86"/>
    </x:row>
    <x:row r="6530">
      <x:c r="A6530" s="85"/>
      <x:c r="B6530" s="86"/>
    </x:row>
    <x:row r="6531">
      <x:c r="A6531" s="85"/>
      <x:c r="B6531" s="86"/>
    </x:row>
    <x:row r="6532">
      <x:c r="A6532" s="85"/>
      <x:c r="B6532" s="86"/>
    </x:row>
    <x:row r="6533">
      <x:c r="A6533" s="85"/>
      <x:c r="B6533" s="86"/>
    </x:row>
    <x:row r="6534">
      <x:c r="A6534" s="85"/>
      <x:c r="B6534" s="86"/>
    </x:row>
    <x:row r="6535">
      <x:c r="A6535" s="85"/>
      <x:c r="B6535" s="86"/>
    </x:row>
    <x:row r="6536">
      <x:c r="A6536" s="85"/>
      <x:c r="B6536" s="86"/>
    </x:row>
    <x:row r="6537">
      <x:c r="A6537" s="85"/>
      <x:c r="B6537" s="86"/>
    </x:row>
    <x:row r="6538">
      <x:c r="A6538" s="85"/>
      <x:c r="B6538" s="86"/>
    </x:row>
    <x:row r="6539">
      <x:c r="A6539" s="85"/>
      <x:c r="B6539" s="86"/>
    </x:row>
    <x:row r="6540">
      <x:c r="A6540" s="85"/>
      <x:c r="B6540" s="86"/>
    </x:row>
    <x:row r="6541">
      <x:c r="A6541" s="85"/>
      <x:c r="B6541" s="86"/>
    </x:row>
    <x:row r="6542">
      <x:c r="A6542" s="85"/>
      <x:c r="B6542" s="86"/>
    </x:row>
    <x:row r="6543">
      <x:c r="A6543" s="85"/>
      <x:c r="B6543" s="86"/>
    </x:row>
    <x:row r="6544">
      <x:c r="A6544" s="85"/>
      <x:c r="B6544" s="86"/>
    </x:row>
    <x:row r="6545">
      <x:c r="A6545" s="85"/>
      <x:c r="B6545" s="86"/>
    </x:row>
    <x:row r="6546">
      <x:c r="A6546" s="85"/>
      <x:c r="B6546" s="86"/>
    </x:row>
    <x:row r="6547">
      <x:c r="A6547" s="85"/>
      <x:c r="B6547" s="86"/>
    </x:row>
    <x:row r="6548">
      <x:c r="A6548" s="85"/>
      <x:c r="B6548" s="86"/>
    </x:row>
    <x:row r="6549">
      <x:c r="A6549" s="85"/>
      <x:c r="B6549" s="86"/>
    </x:row>
    <x:row r="6550">
      <x:c r="A6550" s="85"/>
      <x:c r="B6550" s="86"/>
    </x:row>
    <x:row r="6551">
      <x:c r="A6551" s="85"/>
      <x:c r="B6551" s="86"/>
    </x:row>
    <x:row r="6552">
      <x:c r="A6552" s="85"/>
      <x:c r="B6552" s="86"/>
    </x:row>
    <x:row r="6553">
      <x:c r="A6553" s="85"/>
      <x:c r="B6553" s="86"/>
    </x:row>
    <x:row r="6554">
      <x:c r="A6554" s="85"/>
      <x:c r="B6554" s="86"/>
    </x:row>
    <x:row r="6555">
      <x:c r="A6555" s="85"/>
      <x:c r="B6555" s="86"/>
    </x:row>
    <x:row r="6556">
      <x:c r="A6556" s="85"/>
      <x:c r="B6556" s="86"/>
    </x:row>
    <x:row r="6557">
      <x:c r="A6557" s="85"/>
      <x:c r="B6557" s="86"/>
    </x:row>
    <x:row r="6558">
      <x:c r="A6558" s="85"/>
      <x:c r="B6558" s="86"/>
    </x:row>
    <x:row r="6559">
      <x:c r="A6559" s="85"/>
      <x:c r="B6559" s="86"/>
    </x:row>
    <x:row r="6560">
      <x:c r="A6560" s="85"/>
      <x:c r="B6560" s="86"/>
    </x:row>
    <x:row r="6561">
      <x:c r="A6561" s="85"/>
      <x:c r="B6561" s="86"/>
    </x:row>
    <x:row r="6562">
      <x:c r="A6562" s="85"/>
      <x:c r="B6562" s="86"/>
    </x:row>
    <x:row r="6563">
      <x:c r="A6563" s="85"/>
      <x:c r="B6563" s="86"/>
    </x:row>
    <x:row r="6564">
      <x:c r="A6564" s="85"/>
      <x:c r="B6564" s="86"/>
    </x:row>
    <x:row r="6565">
      <x:c r="A6565" s="85"/>
      <x:c r="B6565" s="86"/>
    </x:row>
    <x:row r="6566">
      <x:c r="A6566" s="85"/>
      <x:c r="B6566" s="86"/>
    </x:row>
    <x:row r="6567">
      <x:c r="A6567" s="85"/>
      <x:c r="B6567" s="86"/>
    </x:row>
    <x:row r="6568">
      <x:c r="A6568" s="85"/>
      <x:c r="B6568" s="86"/>
    </x:row>
    <x:row r="6569">
      <x:c r="A6569" s="85"/>
      <x:c r="B6569" s="86"/>
    </x:row>
    <x:row r="6570">
      <x:c r="A6570" s="85"/>
      <x:c r="B6570" s="86"/>
    </x:row>
    <x:row r="6571">
      <x:c r="A6571" s="85"/>
      <x:c r="B6571" s="86"/>
    </x:row>
    <x:row r="6572">
      <x:c r="A6572" s="85"/>
      <x:c r="B6572" s="86"/>
    </x:row>
    <x:row r="6573">
      <x:c r="A6573" s="85"/>
      <x:c r="B6573" s="86"/>
    </x:row>
    <x:row r="6574">
      <x:c r="A6574" s="85"/>
      <x:c r="B6574" s="86"/>
    </x:row>
    <x:row r="6575">
      <x:c r="A6575" s="85"/>
      <x:c r="B6575" s="86"/>
    </x:row>
    <x:row r="6576">
      <x:c r="A6576" s="85"/>
      <x:c r="B6576" s="86"/>
    </x:row>
    <x:row r="6577">
      <x:c r="A6577" s="85"/>
      <x:c r="B6577" s="86"/>
    </x:row>
    <x:row r="6578">
      <x:c r="A6578" s="85"/>
      <x:c r="B6578" s="86"/>
    </x:row>
    <x:row r="6579">
      <x:c r="A6579" s="85"/>
      <x:c r="B6579" s="86"/>
    </x:row>
    <x:row r="6580">
      <x:c r="A6580" s="85"/>
      <x:c r="B6580" s="86"/>
    </x:row>
    <x:row r="6581">
      <x:c r="A6581" s="85"/>
      <x:c r="B6581" s="86"/>
    </x:row>
    <x:row r="6582">
      <x:c r="A6582" s="85"/>
      <x:c r="B6582" s="86"/>
    </x:row>
    <x:row r="6583">
      <x:c r="A6583" s="85"/>
      <x:c r="B6583" s="86"/>
    </x:row>
    <x:row r="6584">
      <x:c r="A6584" s="85"/>
      <x:c r="B6584" s="86"/>
    </x:row>
    <x:row r="6585">
      <x:c r="A6585" s="85"/>
      <x:c r="B6585" s="86"/>
    </x:row>
    <x:row r="6586">
      <x:c r="A6586" s="85"/>
      <x:c r="B6586" s="86"/>
    </x:row>
    <x:row r="6587">
      <x:c r="A6587" s="85"/>
      <x:c r="B6587" s="86"/>
    </x:row>
    <x:row r="6588">
      <x:c r="A6588" s="85"/>
      <x:c r="B6588" s="86"/>
    </x:row>
    <x:row r="6589">
      <x:c r="A6589" s="85"/>
      <x:c r="B6589" s="86"/>
    </x:row>
    <x:row r="6590">
      <x:c r="A6590" s="85"/>
      <x:c r="B6590" s="86"/>
    </x:row>
    <x:row r="6591">
      <x:c r="A6591" s="85"/>
      <x:c r="B6591" s="86"/>
    </x:row>
    <x:row r="6592">
      <x:c r="A6592" s="85"/>
      <x:c r="B6592" s="86"/>
    </x:row>
    <x:row r="6593">
      <x:c r="A6593" s="85"/>
      <x:c r="B6593" s="86"/>
    </x:row>
    <x:row r="6594">
      <x:c r="A6594" s="85"/>
      <x:c r="B6594" s="86"/>
    </x:row>
    <x:row r="6595">
      <x:c r="A6595" s="85"/>
      <x:c r="B6595" s="86"/>
    </x:row>
    <x:row r="6596">
      <x:c r="A6596" s="85"/>
      <x:c r="B6596" s="86"/>
    </x:row>
    <x:row r="6597">
      <x:c r="A6597" s="85"/>
      <x:c r="B6597" s="86"/>
    </x:row>
    <x:row r="6598">
      <x:c r="A6598" s="85"/>
      <x:c r="B6598" s="86"/>
    </x:row>
    <x:row r="6599">
      <x:c r="A6599" s="85"/>
      <x:c r="B6599" s="86"/>
    </x:row>
    <x:row r="6600">
      <x:c r="A6600" s="85"/>
      <x:c r="B6600" s="86"/>
    </x:row>
    <x:row r="6601">
      <x:c r="A6601" s="85"/>
      <x:c r="B6601" s="86"/>
    </x:row>
    <x:row r="6602">
      <x:c r="A6602" s="85"/>
      <x:c r="B6602" s="86"/>
    </x:row>
    <x:row r="6603">
      <x:c r="A6603" s="85"/>
      <x:c r="B6603" s="86"/>
    </x:row>
    <x:row r="6604">
      <x:c r="A6604" s="85"/>
      <x:c r="B6604" s="86"/>
    </x:row>
    <x:row r="6605">
      <x:c r="A6605" s="85"/>
      <x:c r="B6605" s="86"/>
    </x:row>
    <x:row r="6606">
      <x:c r="A6606" s="85"/>
      <x:c r="B6606" s="86"/>
    </x:row>
    <x:row r="6607">
      <x:c r="A6607" s="85"/>
      <x:c r="B6607" s="86"/>
    </x:row>
    <x:row r="6608">
      <x:c r="A6608" s="85"/>
      <x:c r="B6608" s="86"/>
    </x:row>
    <x:row r="6609">
      <x:c r="A6609" s="85"/>
      <x:c r="B6609" s="86"/>
    </x:row>
    <x:row r="6610">
      <x:c r="A6610" s="85"/>
      <x:c r="B6610" s="86"/>
    </x:row>
    <x:row r="6611">
      <x:c r="A6611" s="85"/>
      <x:c r="B6611" s="86"/>
    </x:row>
    <x:row r="6612">
      <x:c r="A6612" s="85"/>
      <x:c r="B6612" s="86"/>
    </x:row>
    <x:row r="6613">
      <x:c r="A6613" s="85"/>
      <x:c r="B6613" s="86"/>
    </x:row>
    <x:row r="6614">
      <x:c r="A6614" s="85"/>
      <x:c r="B6614" s="86"/>
    </x:row>
    <x:row r="6615">
      <x:c r="A6615" s="85"/>
      <x:c r="B6615" s="86"/>
    </x:row>
    <x:row r="6616">
      <x:c r="A6616" s="85"/>
      <x:c r="B6616" s="86"/>
    </x:row>
    <x:row r="6617">
      <x:c r="A6617" s="85"/>
      <x:c r="B6617" s="86"/>
    </x:row>
    <x:row r="6618">
      <x:c r="A6618" s="85"/>
      <x:c r="B6618" s="86"/>
    </x:row>
    <x:row r="6619">
      <x:c r="A6619" s="85"/>
      <x:c r="B6619" s="86"/>
    </x:row>
    <x:row r="6620">
      <x:c r="A6620" s="85"/>
      <x:c r="B6620" s="86"/>
    </x:row>
    <x:row r="6621">
      <x:c r="A6621" s="85"/>
      <x:c r="B6621" s="86"/>
    </x:row>
    <x:row r="6622">
      <x:c r="A6622" s="85"/>
      <x:c r="B6622" s="86"/>
    </x:row>
    <x:row r="6623">
      <x:c r="A6623" s="85"/>
      <x:c r="B6623" s="86"/>
    </x:row>
    <x:row r="6624">
      <x:c r="A6624" s="85"/>
      <x:c r="B6624" s="86"/>
    </x:row>
    <x:row r="6625">
      <x:c r="A6625" s="85"/>
      <x:c r="B6625" s="86"/>
    </x:row>
    <x:row r="6626">
      <x:c r="A6626" s="85"/>
      <x:c r="B6626" s="86"/>
    </x:row>
    <x:row r="6627">
      <x:c r="A6627" s="85"/>
      <x:c r="B6627" s="86"/>
    </x:row>
    <x:row r="6628">
      <x:c r="A6628" s="85"/>
      <x:c r="B6628" s="86"/>
    </x:row>
    <x:row r="6629">
      <x:c r="A6629" s="85"/>
      <x:c r="B6629" s="86"/>
    </x:row>
    <x:row r="6630">
      <x:c r="A6630" s="85"/>
      <x:c r="B6630" s="86"/>
    </x:row>
    <x:row r="6631">
      <x:c r="A6631" s="85"/>
      <x:c r="B6631" s="86"/>
    </x:row>
    <x:row r="6632">
      <x:c r="A6632" s="85"/>
      <x:c r="B6632" s="86"/>
    </x:row>
    <x:row r="6633">
      <x:c r="A6633" s="85"/>
      <x:c r="B6633" s="86"/>
    </x:row>
    <x:row r="6634">
      <x:c r="A6634" s="85"/>
      <x:c r="B6634" s="86"/>
    </x:row>
    <x:row r="6635">
      <x:c r="A6635" s="85"/>
      <x:c r="B6635" s="86"/>
    </x:row>
    <x:row r="6636">
      <x:c r="A6636" s="85"/>
      <x:c r="B6636" s="86"/>
    </x:row>
    <x:row r="6637">
      <x:c r="A6637" s="85"/>
      <x:c r="B6637" s="86"/>
    </x:row>
    <x:row r="6638">
      <x:c r="A6638" s="85"/>
      <x:c r="B6638" s="86"/>
    </x:row>
    <x:row r="6639">
      <x:c r="A6639" s="85"/>
      <x:c r="B6639" s="86"/>
    </x:row>
    <x:row r="6640">
      <x:c r="A6640" s="85"/>
      <x:c r="B6640" s="86"/>
    </x:row>
    <x:row r="6641">
      <x:c r="A6641" s="85"/>
      <x:c r="B6641" s="86"/>
    </x:row>
    <x:row r="6642">
      <x:c r="A6642" s="85"/>
      <x:c r="B6642" s="86"/>
    </x:row>
    <x:row r="6643">
      <x:c r="A6643" s="85"/>
      <x:c r="B6643" s="86"/>
    </x:row>
    <x:row r="6644">
      <x:c r="A6644" s="85"/>
      <x:c r="B6644" s="86"/>
    </x:row>
    <x:row r="6645">
      <x:c r="A6645" s="85"/>
      <x:c r="B6645" s="86"/>
    </x:row>
    <x:row r="6646">
      <x:c r="A6646" s="85"/>
      <x:c r="B6646" s="86"/>
    </x:row>
    <x:row r="6647">
      <x:c r="A6647" s="85"/>
      <x:c r="B6647" s="86"/>
    </x:row>
    <x:row r="6648">
      <x:c r="A6648" s="85"/>
      <x:c r="B6648" s="86"/>
    </x:row>
    <x:row r="6649">
      <x:c r="A6649" s="85"/>
      <x:c r="B6649" s="86"/>
    </x:row>
    <x:row r="6650">
      <x:c r="A6650" s="85"/>
      <x:c r="B6650" s="86"/>
    </x:row>
    <x:row r="6651">
      <x:c r="A6651" s="85"/>
      <x:c r="B6651" s="86"/>
    </x:row>
    <x:row r="6652">
      <x:c r="A6652" s="85"/>
      <x:c r="B6652" s="86"/>
    </x:row>
    <x:row r="6653">
      <x:c r="A6653" s="85"/>
      <x:c r="B6653" s="86"/>
    </x:row>
    <x:row r="6654">
      <x:c r="A6654" s="85"/>
      <x:c r="B6654" s="86"/>
    </x:row>
    <x:row r="6655">
      <x:c r="A6655" s="85"/>
      <x:c r="B6655" s="86"/>
    </x:row>
    <x:row r="6656">
      <x:c r="A6656" s="85"/>
      <x:c r="B6656" s="86"/>
    </x:row>
    <x:row r="6657">
      <x:c r="A6657" s="85"/>
      <x:c r="B6657" s="86"/>
    </x:row>
    <x:row r="6658">
      <x:c r="A6658" s="85"/>
      <x:c r="B6658" s="86"/>
    </x:row>
    <x:row r="6659">
      <x:c r="A6659" s="85"/>
      <x:c r="B6659" s="86"/>
    </x:row>
    <x:row r="6660">
      <x:c r="A6660" s="85"/>
      <x:c r="B6660" s="86"/>
    </x:row>
    <x:row r="6661">
      <x:c r="A6661" s="85"/>
      <x:c r="B6661" s="86"/>
    </x:row>
    <x:row r="6662">
      <x:c r="A6662" s="85"/>
      <x:c r="B6662" s="86"/>
    </x:row>
    <x:row r="6663">
      <x:c r="A6663" s="85"/>
      <x:c r="B6663" s="86"/>
    </x:row>
    <x:row r="6664">
      <x:c r="A6664" s="85"/>
      <x:c r="B6664" s="86"/>
    </x:row>
    <x:row r="6665">
      <x:c r="A6665" s="85"/>
      <x:c r="B6665" s="86"/>
    </x:row>
    <x:row r="6666">
      <x:c r="A6666" s="85"/>
      <x:c r="B6666" s="86"/>
    </x:row>
    <x:row r="6667">
      <x:c r="A6667" s="85"/>
      <x:c r="B6667" s="86"/>
    </x:row>
    <x:row r="6668">
      <x:c r="A6668" s="85"/>
      <x:c r="B6668" s="86"/>
    </x:row>
    <x:row r="6669">
      <x:c r="A6669" s="85"/>
      <x:c r="B6669" s="86"/>
    </x:row>
    <x:row r="6670">
      <x:c r="A6670" s="85"/>
      <x:c r="B6670" s="86"/>
    </x:row>
    <x:row r="6671">
      <x:c r="A6671" s="85"/>
      <x:c r="B6671" s="86"/>
    </x:row>
    <x:row r="6672">
      <x:c r="A6672" s="85"/>
      <x:c r="B6672" s="86"/>
    </x:row>
    <x:row r="6673">
      <x:c r="A6673" s="85"/>
      <x:c r="B6673" s="86"/>
    </x:row>
    <x:row r="6674">
      <x:c r="A6674" s="85"/>
      <x:c r="B6674" s="86"/>
    </x:row>
    <x:row r="6675">
      <x:c r="A6675" s="85"/>
      <x:c r="B6675" s="86"/>
    </x:row>
    <x:row r="6676">
      <x:c r="A6676" s="85"/>
      <x:c r="B6676" s="86"/>
    </x:row>
    <x:row r="6677">
      <x:c r="A6677" s="85"/>
      <x:c r="B6677" s="86"/>
    </x:row>
    <x:row r="6678">
      <x:c r="A6678" s="85"/>
      <x:c r="B6678" s="86"/>
    </x:row>
    <x:row r="6679">
      <x:c r="A6679" s="85"/>
      <x:c r="B6679" s="86"/>
    </x:row>
    <x:row r="6680">
      <x:c r="A6680" s="85"/>
      <x:c r="B6680" s="86"/>
    </x:row>
    <x:row r="6681">
      <x:c r="A6681" s="85"/>
      <x:c r="B6681" s="86"/>
    </x:row>
    <x:row r="6682">
      <x:c r="A6682" s="85"/>
      <x:c r="B6682" s="86"/>
    </x:row>
    <x:row r="6683">
      <x:c r="A6683" s="85"/>
      <x:c r="B6683" s="86"/>
    </x:row>
    <x:row r="6684">
      <x:c r="A6684" s="85"/>
      <x:c r="B6684" s="86"/>
    </x:row>
    <x:row r="6685">
      <x:c r="A6685" s="85"/>
      <x:c r="B6685" s="86"/>
    </x:row>
    <x:row r="6686">
      <x:c r="A6686" s="85"/>
      <x:c r="B6686" s="86"/>
    </x:row>
    <x:row r="6687">
      <x:c r="A6687" s="85"/>
      <x:c r="B6687" s="86"/>
    </x:row>
    <x:row r="6688">
      <x:c r="A6688" s="85"/>
      <x:c r="B6688" s="86"/>
    </x:row>
    <x:row r="6689">
      <x:c r="A6689" s="85"/>
      <x:c r="B6689" s="86"/>
    </x:row>
    <x:row r="6690">
      <x:c r="A6690" s="85"/>
      <x:c r="B6690" s="86"/>
    </x:row>
    <x:row r="6691">
      <x:c r="A6691" s="85"/>
      <x:c r="B6691" s="86"/>
    </x:row>
    <x:row r="6692">
      <x:c r="A6692" s="85"/>
      <x:c r="B6692" s="86"/>
    </x:row>
    <x:row r="6693">
      <x:c r="A6693" s="85"/>
      <x:c r="B6693" s="86"/>
    </x:row>
    <x:row r="6694">
      <x:c r="A6694" s="85"/>
      <x:c r="B6694" s="86"/>
    </x:row>
    <x:row r="6695">
      <x:c r="A6695" s="85"/>
      <x:c r="B6695" s="86"/>
    </x:row>
    <x:row r="6696">
      <x:c r="A6696" s="85"/>
      <x:c r="B6696" s="86"/>
    </x:row>
    <x:row r="6697">
      <x:c r="A6697" s="85"/>
      <x:c r="B6697" s="86"/>
    </x:row>
    <x:row r="6698">
      <x:c r="A6698" s="85"/>
      <x:c r="B6698" s="86"/>
    </x:row>
    <x:row r="6699">
      <x:c r="A6699" s="85"/>
      <x:c r="B6699" s="86"/>
    </x:row>
    <x:row r="6700">
      <x:c r="A6700" s="85"/>
      <x:c r="B6700" s="86"/>
    </x:row>
    <x:row r="6701">
      <x:c r="A6701" s="85"/>
      <x:c r="B6701" s="86"/>
    </x:row>
    <x:row r="6702">
      <x:c r="A6702" s="85"/>
      <x:c r="B6702" s="86"/>
    </x:row>
    <x:row r="6703">
      <x:c r="A6703" s="85"/>
      <x:c r="B6703" s="86"/>
    </x:row>
    <x:row r="6704">
      <x:c r="A6704" s="85"/>
      <x:c r="B6704" s="86"/>
    </x:row>
    <x:row r="6705">
      <x:c r="A6705" s="85"/>
      <x:c r="B6705" s="86"/>
    </x:row>
    <x:row r="6706">
      <x:c r="A6706" s="85"/>
      <x:c r="B6706" s="86"/>
    </x:row>
    <x:row r="6707">
      <x:c r="A6707" s="85"/>
      <x:c r="B6707" s="86"/>
    </x:row>
    <x:row r="6708">
      <x:c r="A6708" s="85"/>
      <x:c r="B6708" s="86"/>
    </x:row>
    <x:row r="6709">
      <x:c r="A6709" s="85"/>
      <x:c r="B6709" s="86"/>
    </x:row>
    <x:row r="6710">
      <x:c r="A6710" s="85"/>
      <x:c r="B6710" s="86"/>
    </x:row>
    <x:row r="6711">
      <x:c r="A6711" s="85"/>
      <x:c r="B6711" s="86"/>
    </x:row>
    <x:row r="6712">
      <x:c r="A6712" s="85"/>
      <x:c r="B6712" s="86"/>
    </x:row>
    <x:row r="6713">
      <x:c r="A6713" s="85"/>
      <x:c r="B6713" s="86"/>
    </x:row>
    <x:row r="6714">
      <x:c r="A6714" s="85"/>
      <x:c r="B6714" s="86"/>
    </x:row>
    <x:row r="6715">
      <x:c r="A6715" s="85"/>
      <x:c r="B6715" s="86"/>
    </x:row>
    <x:row r="6716">
      <x:c r="A6716" s="85"/>
      <x:c r="B6716" s="86"/>
    </x:row>
    <x:row r="6717">
      <x:c r="A6717" s="85"/>
      <x:c r="B6717" s="86"/>
    </x:row>
    <x:row r="6718">
      <x:c r="A6718" s="85"/>
      <x:c r="B6718" s="86"/>
    </x:row>
    <x:row r="6719">
      <x:c r="A6719" s="85"/>
      <x:c r="B6719" s="86"/>
    </x:row>
    <x:row r="6720">
      <x:c r="A6720" s="85"/>
      <x:c r="B6720" s="86"/>
    </x:row>
    <x:row r="6721">
      <x:c r="A6721" s="85"/>
      <x:c r="B6721" s="86"/>
    </x:row>
    <x:row r="6722">
      <x:c r="A6722" s="85"/>
      <x:c r="B6722" s="86"/>
    </x:row>
    <x:row r="6723">
      <x:c r="A6723" s="85"/>
      <x:c r="B6723" s="86"/>
    </x:row>
    <x:row r="6724">
      <x:c r="A6724" s="85"/>
      <x:c r="B6724" s="86"/>
    </x:row>
    <x:row r="6725">
      <x:c r="A6725" s="85"/>
      <x:c r="B6725" s="86"/>
    </x:row>
    <x:row r="6726">
      <x:c r="A6726" s="85"/>
      <x:c r="B6726" s="86"/>
    </x:row>
    <x:row r="6727">
      <x:c r="A6727" s="85"/>
      <x:c r="B6727" s="86"/>
    </x:row>
    <x:row r="6728">
      <x:c r="A6728" s="85"/>
      <x:c r="B6728" s="86"/>
    </x:row>
    <x:row r="6729">
      <x:c r="A6729" s="85"/>
      <x:c r="B6729" s="86"/>
    </x:row>
    <x:row r="6730">
      <x:c r="A6730" s="85"/>
      <x:c r="B6730" s="86"/>
    </x:row>
    <x:row r="6731">
      <x:c r="A6731" s="85"/>
      <x:c r="B6731" s="86"/>
    </x:row>
    <x:row r="6732">
      <x:c r="A6732" s="85"/>
      <x:c r="B6732" s="86"/>
    </x:row>
    <x:row r="6733">
      <x:c r="A6733" s="85"/>
      <x:c r="B6733" s="86"/>
    </x:row>
    <x:row r="6734">
      <x:c r="A6734" s="85"/>
      <x:c r="B6734" s="86"/>
    </x:row>
    <x:row r="6735">
      <x:c r="A6735" s="85"/>
      <x:c r="B6735" s="86"/>
    </x:row>
    <x:row r="6736">
      <x:c r="A6736" s="85"/>
      <x:c r="B6736" s="86"/>
    </x:row>
    <x:row r="6737">
      <x:c r="A6737" s="85"/>
      <x:c r="B6737" s="86"/>
    </x:row>
    <x:row r="6738">
      <x:c r="A6738" s="85"/>
      <x:c r="B6738" s="86"/>
    </x:row>
    <x:row r="6739">
      <x:c r="A6739" s="85"/>
      <x:c r="B6739" s="86"/>
    </x:row>
    <x:row r="6740">
      <x:c r="A6740" s="85"/>
      <x:c r="B6740" s="86"/>
    </x:row>
    <x:row r="6741">
      <x:c r="A6741" s="85"/>
      <x:c r="B6741" s="86"/>
    </x:row>
    <x:row r="6742">
      <x:c r="A6742" s="85"/>
      <x:c r="B6742" s="86"/>
    </x:row>
    <x:row r="6743">
      <x:c r="A6743" s="85"/>
      <x:c r="B6743" s="86"/>
    </x:row>
    <x:row r="6744">
      <x:c r="A6744" s="85"/>
      <x:c r="B6744" s="86"/>
    </x:row>
    <x:row r="6745">
      <x:c r="A6745" s="85"/>
      <x:c r="B6745" s="86"/>
    </x:row>
    <x:row r="6746">
      <x:c r="A6746" s="85"/>
      <x:c r="B6746" s="86"/>
    </x:row>
    <x:row r="6747">
      <x:c r="A6747" s="85"/>
      <x:c r="B6747" s="86"/>
    </x:row>
    <x:row r="6748">
      <x:c r="A6748" s="85"/>
      <x:c r="B6748" s="86"/>
    </x:row>
    <x:row r="6749">
      <x:c r="A6749" s="85"/>
      <x:c r="B6749" s="86"/>
    </x:row>
    <x:row r="6750">
      <x:c r="A6750" s="85"/>
      <x:c r="B6750" s="86"/>
    </x:row>
    <x:row r="6751">
      <x:c r="A6751" s="85"/>
      <x:c r="B6751" s="86"/>
    </x:row>
    <x:row r="6752">
      <x:c r="A6752" s="85"/>
      <x:c r="B6752" s="86"/>
    </x:row>
    <x:row r="6753">
      <x:c r="A6753" s="85"/>
      <x:c r="B6753" s="86"/>
    </x:row>
    <x:row r="6754">
      <x:c r="A6754" s="85"/>
      <x:c r="B6754" s="86"/>
    </x:row>
    <x:row r="6755">
      <x:c r="A6755" s="85"/>
      <x:c r="B6755" s="86"/>
    </x:row>
    <x:row r="6756">
      <x:c r="A6756" s="85"/>
      <x:c r="B6756" s="86"/>
    </x:row>
    <x:row r="6757">
      <x:c r="A6757" s="85"/>
      <x:c r="B6757" s="86"/>
    </x:row>
    <x:row r="6758">
      <x:c r="A6758" s="85"/>
      <x:c r="B6758" s="86"/>
    </x:row>
    <x:row r="6759">
      <x:c r="A6759" s="85"/>
      <x:c r="B6759" s="86"/>
    </x:row>
    <x:row r="6760">
      <x:c r="A6760" s="85"/>
      <x:c r="B6760" s="86"/>
    </x:row>
    <x:row r="6761">
      <x:c r="A6761" s="85"/>
      <x:c r="B6761" s="86"/>
    </x:row>
    <x:row r="6762">
      <x:c r="A6762" s="85"/>
      <x:c r="B6762" s="86"/>
    </x:row>
    <x:row r="6763">
      <x:c r="A6763" s="85"/>
      <x:c r="B6763" s="86"/>
    </x:row>
    <x:row r="6764">
      <x:c r="A6764" s="85"/>
      <x:c r="B6764" s="86"/>
    </x:row>
    <x:row r="6765">
      <x:c r="A6765" s="85"/>
      <x:c r="B6765" s="86"/>
    </x:row>
    <x:row r="6766">
      <x:c r="A6766" s="85"/>
      <x:c r="B6766" s="86"/>
    </x:row>
    <x:row r="6767">
      <x:c r="A6767" s="85"/>
      <x:c r="B6767" s="86"/>
    </x:row>
    <x:row r="6768">
      <x:c r="A6768" s="85"/>
      <x:c r="B6768" s="86"/>
    </x:row>
    <x:row r="6769">
      <x:c r="A6769" s="85"/>
      <x:c r="B6769" s="86"/>
    </x:row>
    <x:row r="6770">
      <x:c r="A6770" s="85"/>
      <x:c r="B6770" s="86"/>
    </x:row>
    <x:row r="6771">
      <x:c r="A6771" s="85"/>
      <x:c r="B6771" s="86"/>
    </x:row>
    <x:row r="6772">
      <x:c r="A6772" s="85"/>
      <x:c r="B6772" s="86"/>
    </x:row>
    <x:row r="6773">
      <x:c r="A6773" s="85"/>
      <x:c r="B6773" s="86"/>
    </x:row>
    <x:row r="6774">
      <x:c r="A6774" s="85"/>
      <x:c r="B6774" s="86"/>
    </x:row>
    <x:row r="6775">
      <x:c r="A6775" s="85"/>
      <x:c r="B6775" s="86"/>
    </x:row>
    <x:row r="6776">
      <x:c r="A6776" s="85"/>
      <x:c r="B6776" s="86"/>
    </x:row>
    <x:row r="6777">
      <x:c r="A6777" s="85"/>
      <x:c r="B6777" s="86"/>
    </x:row>
    <x:row r="6778">
      <x:c r="A6778" s="85"/>
      <x:c r="B6778" s="86"/>
    </x:row>
    <x:row r="6779">
      <x:c r="A6779" s="85"/>
      <x:c r="B6779" s="86"/>
    </x:row>
    <x:row r="6780">
      <x:c r="A6780" s="85"/>
      <x:c r="B6780" s="86"/>
    </x:row>
    <x:row r="6781">
      <x:c r="A6781" s="85"/>
      <x:c r="B6781" s="86"/>
    </x:row>
    <x:row r="6782">
      <x:c r="A6782" s="85"/>
      <x:c r="B6782" s="86"/>
    </x:row>
    <x:row r="6783">
      <x:c r="A6783" s="85"/>
      <x:c r="B6783" s="86"/>
    </x:row>
    <x:row r="6784">
      <x:c r="A6784" s="85"/>
      <x:c r="B6784" s="86"/>
    </x:row>
    <x:row r="6785">
      <x:c r="A6785" s="85"/>
      <x:c r="B6785" s="86"/>
    </x:row>
    <x:row r="6786">
      <x:c r="A6786" s="85"/>
      <x:c r="B6786" s="86"/>
    </x:row>
    <x:row r="6787">
      <x:c r="A6787" s="85"/>
      <x:c r="B6787" s="86"/>
    </x:row>
    <x:row r="6788">
      <x:c r="A6788" s="85"/>
      <x:c r="B6788" s="86"/>
    </x:row>
    <x:row r="6789">
      <x:c r="A6789" s="85"/>
      <x:c r="B6789" s="86"/>
    </x:row>
    <x:row r="6790">
      <x:c r="A6790" s="85"/>
      <x:c r="B6790" s="86"/>
    </x:row>
    <x:row r="6791">
      <x:c r="A6791" s="85"/>
      <x:c r="B6791" s="86"/>
    </x:row>
    <x:row r="6792">
      <x:c r="A6792" s="85"/>
      <x:c r="B6792" s="86"/>
    </x:row>
    <x:row r="6793">
      <x:c r="A6793" s="85"/>
      <x:c r="B6793" s="86"/>
    </x:row>
    <x:row r="6794">
      <x:c r="A6794" s="85"/>
      <x:c r="B6794" s="86"/>
    </x:row>
    <x:row r="6795">
      <x:c r="A6795" s="85"/>
      <x:c r="B6795" s="86"/>
    </x:row>
    <x:row r="6796">
      <x:c r="A6796" s="85"/>
      <x:c r="B6796" s="86"/>
    </x:row>
    <x:row r="6797">
      <x:c r="A6797" s="85"/>
      <x:c r="B6797" s="86"/>
    </x:row>
    <x:row r="6798">
      <x:c r="A6798" s="85"/>
      <x:c r="B6798" s="86"/>
    </x:row>
    <x:row r="6799">
      <x:c r="A6799" s="85"/>
      <x:c r="B6799" s="86"/>
    </x:row>
    <x:row r="6800">
      <x:c r="A6800" s="85"/>
      <x:c r="B6800" s="86"/>
    </x:row>
    <x:row r="6801">
      <x:c r="A6801" s="85"/>
      <x:c r="B6801" s="86"/>
    </x:row>
    <x:row r="6802">
      <x:c r="A6802" s="85"/>
      <x:c r="B6802" s="86"/>
    </x:row>
    <x:row r="6803">
      <x:c r="A6803" s="85"/>
      <x:c r="B6803" s="86"/>
    </x:row>
    <x:row r="6804">
      <x:c r="A6804" s="85"/>
      <x:c r="B6804" s="86"/>
    </x:row>
    <x:row r="6805">
      <x:c r="A6805" s="85"/>
      <x:c r="B6805" s="86"/>
    </x:row>
    <x:row r="6806">
      <x:c r="A6806" s="85"/>
      <x:c r="B6806" s="86"/>
    </x:row>
    <x:row r="6807">
      <x:c r="A6807" s="85"/>
      <x:c r="B6807" s="86"/>
    </x:row>
    <x:row r="6808">
      <x:c r="A6808" s="85"/>
      <x:c r="B6808" s="86"/>
    </x:row>
    <x:row r="6809">
      <x:c r="A6809" s="85"/>
      <x:c r="B6809" s="86"/>
    </x:row>
    <x:row r="6810">
      <x:c r="A6810" s="85"/>
      <x:c r="B6810" s="86"/>
    </x:row>
    <x:row r="6811">
      <x:c r="A6811" s="85"/>
      <x:c r="B6811" s="86"/>
    </x:row>
    <x:row r="6812">
      <x:c r="A6812" s="85"/>
      <x:c r="B6812" s="86"/>
    </x:row>
    <x:row r="6813">
      <x:c r="A6813" s="85"/>
      <x:c r="B6813" s="86"/>
    </x:row>
    <x:row r="6814">
      <x:c r="A6814" s="85"/>
      <x:c r="B6814" s="86"/>
    </x:row>
    <x:row r="6815">
      <x:c r="A6815" s="85"/>
      <x:c r="B6815" s="86"/>
    </x:row>
    <x:row r="6816">
      <x:c r="A6816" s="85"/>
      <x:c r="B6816" s="86"/>
    </x:row>
    <x:row r="6817">
      <x:c r="A6817" s="85"/>
      <x:c r="B6817" s="86"/>
    </x:row>
    <x:row r="6818">
      <x:c r="A6818" s="85"/>
      <x:c r="B6818" s="86"/>
    </x:row>
    <x:row r="6819">
      <x:c r="A6819" s="85"/>
      <x:c r="B6819" s="86"/>
    </x:row>
    <x:row r="6820">
      <x:c r="A6820" s="85"/>
      <x:c r="B6820" s="86"/>
    </x:row>
    <x:row r="6821">
      <x:c r="A6821" s="85"/>
      <x:c r="B6821" s="86"/>
    </x:row>
    <x:row r="6822">
      <x:c r="A6822" s="85"/>
      <x:c r="B6822" s="86"/>
    </x:row>
    <x:row r="6823">
      <x:c r="A6823" s="85"/>
      <x:c r="B6823" s="86"/>
    </x:row>
    <x:row r="6824">
      <x:c r="A6824" s="85"/>
      <x:c r="B6824" s="86"/>
    </x:row>
    <x:row r="6825">
      <x:c r="A6825" s="85"/>
      <x:c r="B6825" s="86"/>
    </x:row>
    <x:row r="6826">
      <x:c r="A6826" s="85"/>
      <x:c r="B6826" s="86"/>
    </x:row>
    <x:row r="6827">
      <x:c r="A6827" s="85"/>
      <x:c r="B6827" s="86"/>
    </x:row>
    <x:row r="6828">
      <x:c r="A6828" s="85"/>
      <x:c r="B6828" s="86"/>
    </x:row>
    <x:row r="6829">
      <x:c r="A6829" s="85"/>
      <x:c r="B6829" s="86"/>
    </x:row>
    <x:row r="6830">
      <x:c r="A6830" s="85"/>
      <x:c r="B6830" s="86"/>
    </x:row>
    <x:row r="6831">
      <x:c r="A6831" s="85"/>
      <x:c r="B6831" s="86"/>
    </x:row>
    <x:row r="6832">
      <x:c r="A6832" s="85"/>
      <x:c r="B6832" s="86"/>
    </x:row>
    <x:row r="6833">
      <x:c r="A6833" s="85"/>
      <x:c r="B6833" s="86"/>
    </x:row>
    <x:row r="6834">
      <x:c r="A6834" s="85"/>
      <x:c r="B6834" s="86"/>
    </x:row>
    <x:row r="6835">
      <x:c r="A6835" s="85"/>
      <x:c r="B6835" s="86"/>
    </x:row>
    <x:row r="6836">
      <x:c r="A6836" s="85"/>
      <x:c r="B6836" s="86"/>
    </x:row>
    <x:row r="6837">
      <x:c r="A6837" s="85"/>
      <x:c r="B6837" s="86"/>
    </x:row>
    <x:row r="6838">
      <x:c r="A6838" s="85"/>
      <x:c r="B6838" s="86"/>
    </x:row>
    <x:row r="6839">
      <x:c r="A6839" s="85"/>
      <x:c r="B6839" s="86"/>
    </x:row>
    <x:row r="6840">
      <x:c r="A6840" s="85"/>
      <x:c r="B6840" s="86"/>
    </x:row>
    <x:row r="6841">
      <x:c r="A6841" s="85"/>
      <x:c r="B6841" s="86"/>
    </x:row>
    <x:row r="6842">
      <x:c r="A6842" s="85"/>
      <x:c r="B6842" s="86"/>
    </x:row>
    <x:row r="6843">
      <x:c r="A6843" s="85"/>
      <x:c r="B6843" s="86"/>
    </x:row>
    <x:row r="6844">
      <x:c r="A6844" s="85"/>
      <x:c r="B6844" s="86"/>
    </x:row>
    <x:row r="6845">
      <x:c r="A6845" s="85"/>
      <x:c r="B6845" s="86"/>
    </x:row>
    <x:row r="6846">
      <x:c r="A6846" s="85"/>
      <x:c r="B6846" s="86"/>
    </x:row>
    <x:row r="6847">
      <x:c r="A6847" s="85"/>
      <x:c r="B6847" s="86"/>
    </x:row>
    <x:row r="6848">
      <x:c r="A6848" s="85"/>
      <x:c r="B6848" s="86"/>
    </x:row>
    <x:row r="6849">
      <x:c r="A6849" s="85"/>
      <x:c r="B6849" s="86"/>
    </x:row>
    <x:row r="6850">
      <x:c r="A6850" s="85"/>
      <x:c r="B6850" s="86"/>
    </x:row>
    <x:row r="6851">
      <x:c r="A6851" s="85"/>
      <x:c r="B6851" s="86"/>
    </x:row>
    <x:row r="6852">
      <x:c r="A6852" s="85"/>
      <x:c r="B6852" s="86"/>
    </x:row>
    <x:row r="6853">
      <x:c r="A6853" s="85"/>
      <x:c r="B6853" s="86"/>
    </x:row>
    <x:row r="6854">
      <x:c r="A6854" s="85"/>
      <x:c r="B6854" s="86"/>
    </x:row>
    <x:row r="6855">
      <x:c r="A6855" s="85"/>
      <x:c r="B6855" s="86"/>
    </x:row>
    <x:row r="6856">
      <x:c r="A6856" s="85"/>
      <x:c r="B6856" s="86"/>
    </x:row>
    <x:row r="6857">
      <x:c r="A6857" s="85"/>
      <x:c r="B6857" s="86"/>
    </x:row>
    <x:row r="6858">
      <x:c r="A6858" s="85"/>
      <x:c r="B6858" s="86"/>
    </x:row>
    <x:row r="6859">
      <x:c r="A6859" s="85"/>
      <x:c r="B6859" s="86"/>
    </x:row>
    <x:row r="6860">
      <x:c r="A6860" s="85"/>
      <x:c r="B6860" s="86"/>
    </x:row>
    <x:row r="6861">
      <x:c r="A6861" s="85"/>
      <x:c r="B6861" s="86"/>
    </x:row>
    <x:row r="6862">
      <x:c r="A6862" s="85"/>
      <x:c r="B6862" s="86"/>
    </x:row>
    <x:row r="6863">
      <x:c r="A6863" s="85"/>
      <x:c r="B6863" s="86"/>
    </x:row>
    <x:row r="6864">
      <x:c r="A6864" s="85"/>
      <x:c r="B6864" s="86"/>
    </x:row>
    <x:row r="6865">
      <x:c r="A6865" s="85"/>
      <x:c r="B6865" s="86"/>
    </x:row>
    <x:row r="6866">
      <x:c r="A6866" s="85"/>
      <x:c r="B6866" s="86"/>
    </x:row>
    <x:row r="6867">
      <x:c r="A6867" s="85"/>
      <x:c r="B6867" s="86"/>
    </x:row>
    <x:row r="6868">
      <x:c r="A6868" s="85"/>
      <x:c r="B6868" s="86"/>
    </x:row>
    <x:row r="6869">
      <x:c r="A6869" s="85"/>
      <x:c r="B6869" s="86"/>
    </x:row>
    <x:row r="6870">
      <x:c r="A6870" s="85"/>
      <x:c r="B6870" s="86"/>
    </x:row>
    <x:row r="6871">
      <x:c r="A6871" s="85"/>
      <x:c r="B6871" s="86"/>
    </x:row>
    <x:row r="6872">
      <x:c r="A6872" s="85"/>
      <x:c r="B6872" s="86"/>
    </x:row>
    <x:row r="6873">
      <x:c r="A6873" s="85"/>
      <x:c r="B6873" s="86"/>
    </x:row>
    <x:row r="6874">
      <x:c r="A6874" s="85"/>
      <x:c r="B6874" s="86"/>
    </x:row>
    <x:row r="6875">
      <x:c r="A6875" s="85"/>
      <x:c r="B6875" s="86"/>
    </x:row>
    <x:row r="6876">
      <x:c r="A6876" s="85"/>
      <x:c r="B6876" s="86"/>
    </x:row>
    <x:row r="6877">
      <x:c r="A6877" s="85"/>
      <x:c r="B6877" s="86"/>
    </x:row>
    <x:row r="6878">
      <x:c r="A6878" s="85"/>
      <x:c r="B6878" s="86"/>
    </x:row>
    <x:row r="6879">
      <x:c r="A6879" s="85"/>
      <x:c r="B6879" s="86"/>
    </x:row>
    <x:row r="6880">
      <x:c r="A6880" s="85"/>
      <x:c r="B6880" s="86"/>
    </x:row>
    <x:row r="6881">
      <x:c r="A6881" s="85"/>
      <x:c r="B6881" s="86"/>
    </x:row>
    <x:row r="6882">
      <x:c r="A6882" s="85"/>
      <x:c r="B6882" s="86"/>
    </x:row>
    <x:row r="6883">
      <x:c r="A6883" s="85"/>
      <x:c r="B6883" s="86"/>
    </x:row>
    <x:row r="6884">
      <x:c r="A6884" s="85"/>
      <x:c r="B6884" s="86"/>
    </x:row>
    <x:row r="6885">
      <x:c r="A6885" s="85"/>
      <x:c r="B6885" s="86"/>
    </x:row>
    <x:row r="6886">
      <x:c r="A6886" s="85"/>
      <x:c r="B6886" s="86"/>
    </x:row>
    <x:row r="6887">
      <x:c r="A6887" s="85"/>
      <x:c r="B6887" s="86"/>
    </x:row>
    <x:row r="6888">
      <x:c r="A6888" s="85"/>
      <x:c r="B6888" s="86"/>
    </x:row>
    <x:row r="6889">
      <x:c r="A6889" s="85"/>
      <x:c r="B6889" s="86"/>
    </x:row>
    <x:row r="6890">
      <x:c r="A6890" s="85"/>
      <x:c r="B6890" s="86"/>
    </x:row>
    <x:row r="6891">
      <x:c r="A6891" s="85"/>
      <x:c r="B6891" s="86"/>
    </x:row>
    <x:row r="6892">
      <x:c r="A6892" s="85"/>
      <x:c r="B6892" s="86"/>
    </x:row>
    <x:row r="6893">
      <x:c r="A6893" s="85"/>
      <x:c r="B6893" s="86"/>
    </x:row>
    <x:row r="6894">
      <x:c r="A6894" s="85"/>
      <x:c r="B6894" s="86"/>
    </x:row>
    <x:row r="6895">
      <x:c r="A6895" s="85"/>
      <x:c r="B6895" s="86"/>
    </x:row>
    <x:row r="6896">
      <x:c r="A6896" s="85"/>
      <x:c r="B6896" s="86"/>
    </x:row>
    <x:row r="6897">
      <x:c r="A6897" s="85"/>
      <x:c r="B6897" s="86"/>
    </x:row>
    <x:row r="6898">
      <x:c r="A6898" s="85"/>
      <x:c r="B6898" s="86"/>
    </x:row>
    <x:row r="6899">
      <x:c r="A6899" s="85"/>
      <x:c r="B6899" s="86"/>
    </x:row>
    <x:row r="6900">
      <x:c r="A6900" s="85"/>
      <x:c r="B6900" s="86"/>
    </x:row>
    <x:row r="6901">
      <x:c r="A6901" s="85"/>
      <x:c r="B6901" s="86"/>
    </x:row>
    <x:row r="6902">
      <x:c r="A6902" s="85"/>
      <x:c r="B6902" s="86"/>
    </x:row>
    <x:row r="6903">
      <x:c r="A6903" s="85"/>
      <x:c r="B6903" s="86"/>
    </x:row>
    <x:row r="6904">
      <x:c r="A6904" s="85"/>
      <x:c r="B6904" s="86"/>
    </x:row>
    <x:row r="6905">
      <x:c r="A6905" s="85"/>
      <x:c r="B6905" s="86"/>
    </x:row>
    <x:row r="6906">
      <x:c r="A6906" s="85"/>
      <x:c r="B6906" s="86"/>
    </x:row>
    <x:row r="6907">
      <x:c r="A6907" s="85"/>
      <x:c r="B6907" s="86"/>
    </x:row>
    <x:row r="6908">
      <x:c r="A6908" s="85"/>
      <x:c r="B6908" s="86"/>
    </x:row>
    <x:row r="6909">
      <x:c r="A6909" s="85"/>
      <x:c r="B6909" s="86"/>
    </x:row>
    <x:row r="6910">
      <x:c r="A6910" s="85"/>
      <x:c r="B6910" s="86"/>
    </x:row>
    <x:row r="6911">
      <x:c r="A6911" s="85"/>
      <x:c r="B6911" s="86"/>
    </x:row>
    <x:row r="6912">
      <x:c r="A6912" s="85"/>
      <x:c r="B6912" s="86"/>
    </x:row>
    <x:row r="6913">
      <x:c r="A6913" s="85"/>
      <x:c r="B6913" s="86"/>
    </x:row>
    <x:row r="6914">
      <x:c r="A6914" s="85"/>
      <x:c r="B6914" s="86"/>
    </x:row>
    <x:row r="6915">
      <x:c r="A6915" s="85"/>
      <x:c r="B6915" s="86"/>
    </x:row>
    <x:row r="6916">
      <x:c r="A6916" s="85"/>
      <x:c r="B6916" s="86"/>
    </x:row>
    <x:row r="6917">
      <x:c r="A6917" s="85"/>
      <x:c r="B6917" s="86"/>
    </x:row>
    <x:row r="6918">
      <x:c r="A6918" s="85"/>
      <x:c r="B6918" s="86"/>
    </x:row>
    <x:row r="6919">
      <x:c r="A6919" s="85"/>
      <x:c r="B6919" s="86"/>
    </x:row>
    <x:row r="6920">
      <x:c r="A6920" s="85"/>
      <x:c r="B6920" s="86"/>
    </x:row>
    <x:row r="6921">
      <x:c r="A6921" s="85"/>
      <x:c r="B6921" s="86"/>
    </x:row>
    <x:row r="6922">
      <x:c r="A6922" s="85"/>
      <x:c r="B6922" s="86"/>
    </x:row>
    <x:row r="6923">
      <x:c r="A6923" s="85"/>
      <x:c r="B6923" s="86"/>
    </x:row>
    <x:row r="6924">
      <x:c r="A6924" s="85"/>
      <x:c r="B6924" s="86"/>
    </x:row>
    <x:row r="6925">
      <x:c r="A6925" s="85"/>
      <x:c r="B6925" s="86"/>
    </x:row>
    <x:row r="6926">
      <x:c r="A6926" s="85"/>
      <x:c r="B6926" s="86"/>
    </x:row>
    <x:row r="6927">
      <x:c r="A6927" s="85"/>
      <x:c r="B6927" s="86"/>
    </x:row>
    <x:row r="6928">
      <x:c r="A6928" s="85"/>
      <x:c r="B6928" s="86"/>
    </x:row>
    <x:row r="6929">
      <x:c r="A6929" s="85"/>
      <x:c r="B6929" s="86"/>
    </x:row>
    <x:row r="6930">
      <x:c r="A6930" s="85"/>
      <x:c r="B6930" s="86"/>
    </x:row>
    <x:row r="6931">
      <x:c r="A6931" s="85"/>
      <x:c r="B6931" s="86"/>
    </x:row>
    <x:row r="6932">
      <x:c r="A6932" s="85"/>
      <x:c r="B6932" s="86"/>
    </x:row>
    <x:row r="6933">
      <x:c r="A6933" s="85"/>
      <x:c r="B6933" s="86"/>
    </x:row>
    <x:row r="6934">
      <x:c r="A6934" s="85"/>
      <x:c r="B6934" s="86"/>
    </x:row>
    <x:row r="6935">
      <x:c r="A6935" s="85"/>
      <x:c r="B6935" s="86"/>
    </x:row>
    <x:row r="6936">
      <x:c r="A6936" s="85"/>
      <x:c r="B6936" s="86"/>
    </x:row>
    <x:row r="6937">
      <x:c r="A6937" s="85"/>
      <x:c r="B6937" s="86"/>
    </x:row>
    <x:row r="6938">
      <x:c r="A6938" s="85"/>
      <x:c r="B6938" s="86"/>
    </x:row>
    <x:row r="6939">
      <x:c r="A6939" s="85"/>
      <x:c r="B6939" s="86"/>
    </x:row>
    <x:row r="6940">
      <x:c r="A6940" s="85"/>
      <x:c r="B6940" s="86"/>
    </x:row>
    <x:row r="6941">
      <x:c r="A6941" s="85"/>
      <x:c r="B6941" s="86"/>
    </x:row>
    <x:row r="6942">
      <x:c r="A6942" s="85"/>
      <x:c r="B6942" s="86"/>
    </x:row>
    <x:row r="6943">
      <x:c r="A6943" s="85"/>
      <x:c r="B6943" s="86"/>
    </x:row>
    <x:row r="6944">
      <x:c r="A6944" s="85"/>
      <x:c r="B6944" s="86"/>
    </x:row>
    <x:row r="6945">
      <x:c r="A6945" s="85"/>
      <x:c r="B6945" s="86"/>
    </x:row>
    <x:row r="6946">
      <x:c r="A6946" s="85"/>
      <x:c r="B6946" s="86"/>
    </x:row>
    <x:row r="6947">
      <x:c r="A6947" s="85"/>
      <x:c r="B6947" s="86"/>
    </x:row>
    <x:row r="6948">
      <x:c r="A6948" s="85"/>
      <x:c r="B6948" s="86"/>
    </x:row>
    <x:row r="6949">
      <x:c r="A6949" s="85"/>
      <x:c r="B6949" s="86"/>
    </x:row>
    <x:row r="6950">
      <x:c r="A6950" s="85"/>
      <x:c r="B6950" s="86"/>
    </x:row>
    <x:row r="6951">
      <x:c r="A6951" s="85"/>
      <x:c r="B6951" s="86"/>
    </x:row>
    <x:row r="6952">
      <x:c r="A6952" s="85"/>
      <x:c r="B6952" s="86"/>
    </x:row>
    <x:row r="6953">
      <x:c r="A6953" s="85"/>
      <x:c r="B6953" s="86"/>
    </x:row>
    <x:row r="6954">
      <x:c r="A6954" s="85"/>
      <x:c r="B6954" s="86"/>
    </x:row>
    <x:row r="6955">
      <x:c r="A6955" s="85"/>
      <x:c r="B6955" s="86"/>
    </x:row>
    <x:row r="6956">
      <x:c r="A6956" s="85"/>
      <x:c r="B6956" s="86"/>
    </x:row>
    <x:row r="6957">
      <x:c r="A6957" s="85"/>
      <x:c r="B6957" s="86"/>
    </x:row>
    <x:row r="6958">
      <x:c r="A6958" s="85"/>
      <x:c r="B6958" s="86"/>
    </x:row>
    <x:row r="6959">
      <x:c r="A6959" s="85"/>
      <x:c r="B6959" s="86"/>
    </x:row>
    <x:row r="6960">
      <x:c r="A6960" s="85"/>
      <x:c r="B6960" s="86"/>
    </x:row>
    <x:row r="6961">
      <x:c r="A6961" s="85"/>
      <x:c r="B6961" s="86"/>
    </x:row>
    <x:row r="6962">
      <x:c r="A6962" s="85"/>
      <x:c r="B6962" s="86"/>
    </x:row>
    <x:row r="6963">
      <x:c r="A6963" s="85"/>
      <x:c r="B6963" s="86"/>
    </x:row>
    <x:row r="6964">
      <x:c r="A6964" s="85"/>
      <x:c r="B6964" s="86"/>
    </x:row>
    <x:row r="6965">
      <x:c r="A6965" s="85"/>
      <x:c r="B6965" s="86"/>
    </x:row>
    <x:row r="6966">
      <x:c r="A6966" s="85"/>
      <x:c r="B6966" s="86"/>
    </x:row>
    <x:row r="6967">
      <x:c r="A6967" s="85"/>
      <x:c r="B6967" s="86"/>
    </x:row>
    <x:row r="6968">
      <x:c r="A6968" s="85"/>
      <x:c r="B6968" s="86"/>
    </x:row>
    <x:row r="6969">
      <x:c r="A6969" s="85"/>
      <x:c r="B6969" s="86"/>
    </x:row>
    <x:row r="6970">
      <x:c r="A6970" s="85"/>
      <x:c r="B6970" s="86"/>
    </x:row>
    <x:row r="6971">
      <x:c r="A6971" s="85"/>
      <x:c r="B6971" s="86"/>
    </x:row>
    <x:row r="6972">
      <x:c r="A6972" s="85"/>
      <x:c r="B6972" s="86"/>
    </x:row>
    <x:row r="6973">
      <x:c r="A6973" s="85"/>
      <x:c r="B6973" s="86"/>
    </x:row>
    <x:row r="6974">
      <x:c r="A6974" s="85"/>
      <x:c r="B6974" s="86"/>
    </x:row>
    <x:row r="6975">
      <x:c r="A6975" s="85"/>
      <x:c r="B6975" s="86"/>
    </x:row>
    <x:row r="6976">
      <x:c r="A6976" s="85"/>
      <x:c r="B6976" s="86"/>
    </x:row>
    <x:row r="6977">
      <x:c r="A6977" s="85"/>
      <x:c r="B6977" s="86"/>
    </x:row>
    <x:row r="6978">
      <x:c r="A6978" s="85"/>
      <x:c r="B6978" s="86"/>
    </x:row>
    <x:row r="6979">
      <x:c r="A6979" s="85"/>
      <x:c r="B6979" s="86"/>
    </x:row>
    <x:row r="6980">
      <x:c r="A6980" s="85"/>
      <x:c r="B6980" s="86"/>
    </x:row>
    <x:row r="6981">
      <x:c r="A6981" s="85"/>
      <x:c r="B6981" s="86"/>
    </x:row>
    <x:row r="6982">
      <x:c r="A6982" s="85"/>
      <x:c r="B6982" s="86"/>
    </x:row>
    <x:row r="6983">
      <x:c r="A6983" s="85"/>
      <x:c r="B6983" s="86"/>
    </x:row>
    <x:row r="6984">
      <x:c r="A6984" s="85"/>
      <x:c r="B6984" s="86"/>
    </x:row>
    <x:row r="6985">
      <x:c r="A6985" s="85"/>
      <x:c r="B6985" s="86"/>
    </x:row>
    <x:row r="6986">
      <x:c r="A6986" s="85"/>
      <x:c r="B6986" s="86"/>
    </x:row>
    <x:row r="6987">
      <x:c r="A6987" s="85"/>
      <x:c r="B6987" s="86"/>
    </x:row>
    <x:row r="6988">
      <x:c r="A6988" s="85"/>
      <x:c r="B6988" s="86"/>
    </x:row>
    <x:row r="6989">
      <x:c r="A6989" s="85"/>
      <x:c r="B6989" s="86"/>
    </x:row>
    <x:row r="6990">
      <x:c r="A6990" s="85"/>
      <x:c r="B6990" s="86"/>
    </x:row>
    <x:row r="6991">
      <x:c r="A6991" s="85"/>
      <x:c r="B6991" s="86"/>
    </x:row>
    <x:row r="6992">
      <x:c r="A6992" s="85"/>
      <x:c r="B6992" s="86"/>
    </x:row>
    <x:row r="6993">
      <x:c r="A6993" s="85"/>
      <x:c r="B6993" s="86"/>
    </x:row>
    <x:row r="6994">
      <x:c r="A6994" s="85"/>
      <x:c r="B6994" s="86"/>
    </x:row>
    <x:row r="6995">
      <x:c r="A6995" s="85"/>
      <x:c r="B6995" s="86"/>
    </x:row>
    <x:row r="6996">
      <x:c r="A6996" s="85"/>
      <x:c r="B6996" s="86"/>
    </x:row>
    <x:row r="6997">
      <x:c r="A6997" s="85"/>
      <x:c r="B6997" s="86"/>
    </x:row>
    <x:row r="6998">
      <x:c r="A6998" s="85"/>
      <x:c r="B6998" s="86"/>
    </x:row>
    <x:row r="6999">
      <x:c r="A6999" s="85"/>
      <x:c r="B6999" s="86"/>
    </x:row>
    <x:row r="7000">
      <x:c r="A7000" s="85"/>
      <x:c r="B7000" s="86"/>
    </x:row>
    <x:row r="7001">
      <x:c r="A7001" s="85"/>
      <x:c r="B7001" s="86"/>
    </x:row>
    <x:row r="7002">
      <x:c r="A7002" s="85"/>
      <x:c r="B7002" s="86"/>
    </x:row>
    <x:row r="7003">
      <x:c r="A7003" s="85"/>
      <x:c r="B7003" s="86"/>
    </x:row>
    <x:row r="7004">
      <x:c r="A7004" s="85"/>
      <x:c r="B7004" s="86"/>
    </x:row>
    <x:row r="7005">
      <x:c r="A7005" s="85"/>
      <x:c r="B7005" s="86"/>
    </x:row>
    <x:row r="7006">
      <x:c r="A7006" s="85"/>
      <x:c r="B7006" s="86"/>
    </x:row>
    <x:row r="7007">
      <x:c r="A7007" s="85"/>
      <x:c r="B7007" s="86"/>
    </x:row>
    <x:row r="7008">
      <x:c r="A7008" s="85"/>
      <x:c r="B7008" s="86"/>
    </x:row>
    <x:row r="7009">
      <x:c r="A7009" s="85"/>
      <x:c r="B7009" s="86"/>
    </x:row>
    <x:row r="7010">
      <x:c r="A7010" s="85"/>
      <x:c r="B7010" s="86"/>
    </x:row>
    <x:row r="7011">
      <x:c r="A7011" s="85"/>
      <x:c r="B7011" s="86"/>
    </x:row>
    <x:row r="7012">
      <x:c r="A7012" s="85"/>
      <x:c r="B7012" s="86"/>
    </x:row>
    <x:row r="7013">
      <x:c r="A7013" s="85"/>
      <x:c r="B7013" s="86"/>
    </x:row>
    <x:row r="7014">
      <x:c r="A7014" s="85"/>
      <x:c r="B7014" s="86"/>
    </x:row>
    <x:row r="7015">
      <x:c r="A7015" s="85"/>
      <x:c r="B7015" s="86"/>
    </x:row>
    <x:row r="7016">
      <x:c r="A7016" s="85"/>
      <x:c r="B7016" s="86"/>
    </x:row>
    <x:row r="7017">
      <x:c r="A7017" s="85"/>
      <x:c r="B7017" s="86"/>
    </x:row>
    <x:row r="7018">
      <x:c r="A7018" s="85"/>
      <x:c r="B7018" s="86"/>
    </x:row>
    <x:row r="7019">
      <x:c r="A7019" s="85"/>
      <x:c r="B7019" s="86"/>
    </x:row>
    <x:row r="7020">
      <x:c r="A7020" s="85"/>
      <x:c r="B7020" s="86"/>
    </x:row>
    <x:row r="7021">
      <x:c r="A7021" s="85"/>
      <x:c r="B7021" s="86"/>
    </x:row>
    <x:row r="7022">
      <x:c r="A7022" s="85"/>
      <x:c r="B7022" s="86"/>
    </x:row>
    <x:row r="7023">
      <x:c r="A7023" s="85"/>
      <x:c r="B7023" s="86"/>
    </x:row>
    <x:row r="7024">
      <x:c r="A7024" s="85"/>
      <x:c r="B7024" s="86"/>
    </x:row>
    <x:row r="7025">
      <x:c r="A7025" s="85"/>
      <x:c r="B7025" s="86"/>
    </x:row>
    <x:row r="7026">
      <x:c r="A7026" s="85"/>
      <x:c r="B7026" s="86"/>
    </x:row>
    <x:row r="7027">
      <x:c r="A7027" s="85"/>
      <x:c r="B7027" s="86"/>
    </x:row>
    <x:row r="7028">
      <x:c r="A7028" s="85"/>
      <x:c r="B7028" s="86"/>
    </x:row>
    <x:row r="7029">
      <x:c r="A7029" s="85"/>
      <x:c r="B7029" s="86"/>
    </x:row>
    <x:row r="7030">
      <x:c r="A7030" s="85"/>
      <x:c r="B7030" s="86"/>
    </x:row>
    <x:row r="7031">
      <x:c r="A7031" s="85"/>
      <x:c r="B7031" s="86"/>
    </x:row>
    <x:row r="7032">
      <x:c r="A7032" s="85"/>
      <x:c r="B7032" s="86"/>
    </x:row>
    <x:row r="7033">
      <x:c r="A7033" s="85"/>
      <x:c r="B7033" s="86"/>
    </x:row>
    <x:row r="7034">
      <x:c r="A7034" s="85"/>
      <x:c r="B7034" s="86"/>
    </x:row>
    <x:row r="7035">
      <x:c r="A7035" s="85"/>
      <x:c r="B7035" s="86"/>
    </x:row>
    <x:row r="7036">
      <x:c r="A7036" s="85"/>
      <x:c r="B7036" s="86"/>
    </x:row>
    <x:row r="7037">
      <x:c r="A7037" s="85"/>
      <x:c r="B7037" s="86"/>
    </x:row>
    <x:row r="7038">
      <x:c r="A7038" s="85"/>
      <x:c r="B7038" s="86"/>
    </x:row>
    <x:row r="7039">
      <x:c r="A7039" s="85"/>
      <x:c r="B7039" s="86"/>
    </x:row>
    <x:row r="7040">
      <x:c r="A7040" s="85"/>
      <x:c r="B7040" s="86"/>
    </x:row>
    <x:row r="7041">
      <x:c r="A7041" s="85"/>
      <x:c r="B7041" s="86"/>
    </x:row>
    <x:row r="7042">
      <x:c r="A7042" s="85"/>
      <x:c r="B7042" s="86"/>
    </x:row>
    <x:row r="7043">
      <x:c r="A7043" s="85"/>
      <x:c r="B7043" s="86"/>
    </x:row>
    <x:row r="7044">
      <x:c r="A7044" s="85"/>
      <x:c r="B7044" s="86"/>
    </x:row>
    <x:row r="7045">
      <x:c r="A7045" s="85"/>
      <x:c r="B7045" s="86"/>
    </x:row>
    <x:row r="7046">
      <x:c r="A7046" s="85"/>
      <x:c r="B7046" s="86"/>
    </x:row>
    <x:row r="7047">
      <x:c r="A7047" s="85"/>
      <x:c r="B7047" s="86"/>
    </x:row>
    <x:row r="7048">
      <x:c r="A7048" s="85"/>
      <x:c r="B7048" s="86"/>
    </x:row>
    <x:row r="7049">
      <x:c r="A7049" s="85"/>
      <x:c r="B7049" s="86"/>
    </x:row>
    <x:row r="7050">
      <x:c r="A7050" s="85"/>
      <x:c r="B7050" s="86"/>
    </x:row>
    <x:row r="7051">
      <x:c r="A7051" s="85"/>
      <x:c r="B7051" s="86"/>
    </x:row>
    <x:row r="7052">
      <x:c r="A7052" s="85"/>
      <x:c r="B7052" s="86"/>
    </x:row>
    <x:row r="7053">
      <x:c r="A7053" s="85"/>
      <x:c r="B7053" s="86"/>
    </x:row>
    <x:row r="7054">
      <x:c r="A7054" s="85"/>
      <x:c r="B7054" s="86"/>
    </x:row>
    <x:row r="7055">
      <x:c r="A7055" s="85"/>
      <x:c r="B7055" s="86"/>
    </x:row>
    <x:row r="7056">
      <x:c r="A7056" s="85"/>
      <x:c r="B7056" s="86"/>
    </x:row>
    <x:row r="7057">
      <x:c r="A7057" s="85"/>
      <x:c r="B7057" s="86"/>
    </x:row>
    <x:row r="7058">
      <x:c r="A7058" s="85"/>
      <x:c r="B7058" s="86"/>
    </x:row>
    <x:row r="7059">
      <x:c r="A7059" s="85"/>
      <x:c r="B7059" s="86"/>
    </x:row>
    <x:row r="7060">
      <x:c r="A7060" s="85"/>
      <x:c r="B7060" s="86"/>
    </x:row>
    <x:row r="7061">
      <x:c r="A7061" s="85"/>
      <x:c r="B7061" s="86"/>
    </x:row>
    <x:row r="7062">
      <x:c r="A7062" s="85"/>
      <x:c r="B7062" s="86"/>
    </x:row>
    <x:row r="7063">
      <x:c r="A7063" s="85"/>
      <x:c r="B7063" s="86"/>
    </x:row>
    <x:row r="7064">
      <x:c r="A7064" s="85"/>
      <x:c r="B7064" s="86"/>
    </x:row>
    <x:row r="7065">
      <x:c r="A7065" s="85"/>
      <x:c r="B7065" s="86"/>
    </x:row>
    <x:row r="7066">
      <x:c r="A7066" s="85"/>
      <x:c r="B7066" s="86"/>
    </x:row>
    <x:row r="7067">
      <x:c r="A7067" s="85"/>
      <x:c r="B7067" s="86"/>
    </x:row>
    <x:row r="7068">
      <x:c r="A7068" s="85"/>
      <x:c r="B7068" s="86"/>
    </x:row>
    <x:row r="7069">
      <x:c r="A7069" s="85"/>
      <x:c r="B7069" s="86"/>
    </x:row>
    <x:row r="7070">
      <x:c r="A7070" s="85"/>
      <x:c r="B7070" s="86"/>
    </x:row>
    <x:row r="7071">
      <x:c r="A7071" s="85"/>
      <x:c r="B7071" s="86"/>
    </x:row>
    <x:row r="7072">
      <x:c r="A7072" s="85"/>
      <x:c r="B7072" s="86"/>
    </x:row>
    <x:row r="7073">
      <x:c r="A7073" s="85"/>
      <x:c r="B7073" s="86"/>
    </x:row>
    <x:row r="7074">
      <x:c r="A7074" s="85"/>
      <x:c r="B7074" s="86"/>
    </x:row>
    <x:row r="7075">
      <x:c r="A7075" s="85"/>
      <x:c r="B7075" s="86"/>
    </x:row>
    <x:row r="7076">
      <x:c r="A7076" s="85"/>
      <x:c r="B7076" s="86"/>
    </x:row>
    <x:row r="7077">
      <x:c r="A7077" s="85"/>
      <x:c r="B7077" s="86"/>
    </x:row>
    <x:row r="7078">
      <x:c r="A7078" s="85"/>
      <x:c r="B7078" s="86"/>
    </x:row>
    <x:row r="7079">
      <x:c r="A7079" s="85"/>
      <x:c r="B7079" s="86"/>
    </x:row>
    <x:row r="7080">
      <x:c r="A7080" s="85"/>
      <x:c r="B7080" s="86"/>
    </x:row>
    <x:row r="7081">
      <x:c r="A7081" s="85"/>
      <x:c r="B7081" s="86"/>
    </x:row>
    <x:row r="7082">
      <x:c r="A7082" s="85"/>
      <x:c r="B7082" s="86"/>
    </x:row>
    <x:row r="7083">
      <x:c r="A7083" s="85"/>
      <x:c r="B7083" s="86"/>
    </x:row>
    <x:row r="7084">
      <x:c r="A7084" s="85"/>
      <x:c r="B7084" s="86"/>
    </x:row>
    <x:row r="7085">
      <x:c r="A7085" s="85"/>
      <x:c r="B7085" s="86"/>
    </x:row>
    <x:row r="7086">
      <x:c r="A7086" s="85"/>
      <x:c r="B7086" s="86"/>
    </x:row>
    <x:row r="7087">
      <x:c r="A7087" s="85"/>
      <x:c r="B7087" s="86"/>
    </x:row>
    <x:row r="7088">
      <x:c r="A7088" s="85"/>
      <x:c r="B7088" s="86"/>
    </x:row>
    <x:row r="7089">
      <x:c r="A7089" s="85"/>
      <x:c r="B7089" s="86"/>
    </x:row>
    <x:row r="7090">
      <x:c r="A7090" s="85"/>
      <x:c r="B7090" s="86"/>
    </x:row>
    <x:row r="7091">
      <x:c r="A7091" s="85"/>
      <x:c r="B7091" s="86"/>
    </x:row>
    <x:row r="7092">
      <x:c r="A7092" s="85"/>
      <x:c r="B7092" s="86"/>
    </x:row>
    <x:row r="7093">
      <x:c r="A7093" s="85"/>
      <x:c r="B7093" s="86"/>
    </x:row>
    <x:row r="7094">
      <x:c r="A7094" s="85"/>
      <x:c r="B7094" s="86"/>
    </x:row>
    <x:row r="7095">
      <x:c r="A7095" s="85"/>
      <x:c r="B7095" s="86"/>
    </x:row>
    <x:row r="7096">
      <x:c r="A7096" s="85"/>
      <x:c r="B7096" s="86"/>
    </x:row>
    <x:row r="7097">
      <x:c r="A7097" s="85"/>
      <x:c r="B7097" s="86"/>
    </x:row>
    <x:row r="7098">
      <x:c r="A7098" s="85"/>
      <x:c r="B7098" s="86"/>
    </x:row>
    <x:row r="7099">
      <x:c r="A7099" s="85"/>
      <x:c r="B7099" s="86"/>
    </x:row>
    <x:row r="7100">
      <x:c r="A7100" s="85"/>
      <x:c r="B7100" s="86"/>
    </x:row>
    <x:row r="7101">
      <x:c r="A7101" s="85"/>
      <x:c r="B7101" s="86"/>
    </x:row>
    <x:row r="7102">
      <x:c r="A7102" s="85"/>
      <x:c r="B7102" s="86"/>
    </x:row>
    <x:row r="7103">
      <x:c r="A7103" s="85"/>
      <x:c r="B7103" s="86"/>
    </x:row>
    <x:row r="7104">
      <x:c r="A7104" s="85"/>
      <x:c r="B7104" s="86"/>
    </x:row>
    <x:row r="7105">
      <x:c r="A7105" s="85"/>
      <x:c r="B7105" s="86"/>
    </x:row>
    <x:row r="7106">
      <x:c r="A7106" s="85"/>
      <x:c r="B7106" s="86"/>
    </x:row>
    <x:row r="7107">
      <x:c r="A7107" s="85"/>
      <x:c r="B7107" s="86"/>
    </x:row>
    <x:row r="7108">
      <x:c r="A7108" s="85"/>
      <x:c r="B7108" s="86"/>
    </x:row>
    <x:row r="7109">
      <x:c r="A7109" s="85"/>
      <x:c r="B7109" s="86"/>
    </x:row>
    <x:row r="7110">
      <x:c r="A7110" s="85"/>
      <x:c r="B7110" s="86"/>
    </x:row>
    <x:row r="7111">
      <x:c r="A7111" s="85"/>
      <x:c r="B7111" s="86"/>
    </x:row>
    <x:row r="7112">
      <x:c r="A7112" s="85"/>
      <x:c r="B7112" s="86"/>
    </x:row>
    <x:row r="7113">
      <x:c r="A7113" s="85"/>
      <x:c r="B7113" s="86"/>
    </x:row>
    <x:row r="7114">
      <x:c r="A7114" s="85"/>
      <x:c r="B7114" s="86"/>
    </x:row>
    <x:row r="7115">
      <x:c r="A7115" s="85"/>
      <x:c r="B7115" s="86"/>
    </x:row>
    <x:row r="7116">
      <x:c r="A7116" s="85"/>
      <x:c r="B7116" s="86"/>
    </x:row>
    <x:row r="7117">
      <x:c r="A7117" s="85"/>
      <x:c r="B7117" s="86"/>
    </x:row>
    <x:row r="7118">
      <x:c r="A7118" s="85"/>
      <x:c r="B7118" s="86"/>
    </x:row>
    <x:row r="7119">
      <x:c r="A7119" s="85"/>
      <x:c r="B7119" s="86"/>
    </x:row>
    <x:row r="7120">
      <x:c r="A7120" s="85"/>
      <x:c r="B7120" s="86"/>
    </x:row>
    <x:row r="7121">
      <x:c r="A7121" s="85"/>
      <x:c r="B7121" s="86"/>
    </x:row>
    <x:row r="7122">
      <x:c r="A7122" s="85"/>
      <x:c r="B7122" s="86"/>
    </x:row>
    <x:row r="7123">
      <x:c r="A7123" s="85"/>
      <x:c r="B7123" s="86"/>
    </x:row>
    <x:row r="7124">
      <x:c r="A7124" s="85"/>
      <x:c r="B7124" s="86"/>
    </x:row>
    <x:row r="7125">
      <x:c r="A7125" s="85"/>
      <x:c r="B7125" s="86"/>
    </x:row>
    <x:row r="7126">
      <x:c r="A7126" s="85"/>
      <x:c r="B7126" s="86"/>
    </x:row>
    <x:row r="7127">
      <x:c r="A7127" s="85"/>
      <x:c r="B7127" s="86"/>
    </x:row>
    <x:row r="7128">
      <x:c r="A7128" s="85"/>
      <x:c r="B7128" s="86"/>
    </x:row>
    <x:row r="7129">
      <x:c r="A7129" s="85"/>
      <x:c r="B7129" s="86"/>
    </x:row>
    <x:row r="7130">
      <x:c r="A7130" s="85"/>
      <x:c r="B7130" s="86"/>
    </x:row>
    <x:row r="7131">
      <x:c r="A7131" s="85"/>
      <x:c r="B7131" s="86"/>
    </x:row>
    <x:row r="7132">
      <x:c r="A7132" s="85"/>
      <x:c r="B7132" s="86"/>
    </x:row>
    <x:row r="7133">
      <x:c r="A7133" s="85"/>
      <x:c r="B7133" s="86"/>
    </x:row>
    <x:row r="7134">
      <x:c r="A7134" s="85"/>
      <x:c r="B7134" s="86"/>
    </x:row>
    <x:row r="7135">
      <x:c r="A7135" s="85"/>
      <x:c r="B7135" s="86"/>
    </x:row>
    <x:row r="7136">
      <x:c r="A7136" s="85"/>
      <x:c r="B7136" s="86"/>
    </x:row>
    <x:row r="7137">
      <x:c r="A7137" s="85"/>
      <x:c r="B7137" s="86"/>
    </x:row>
    <x:row r="7138">
      <x:c r="A7138" s="85"/>
      <x:c r="B7138" s="86"/>
    </x:row>
    <x:row r="7139">
      <x:c r="A7139" s="85"/>
      <x:c r="B7139" s="86"/>
    </x:row>
    <x:row r="7140">
      <x:c r="A7140" s="85"/>
      <x:c r="B7140" s="86"/>
    </x:row>
    <x:row r="7141">
      <x:c r="A7141" s="85"/>
      <x:c r="B7141" s="86"/>
    </x:row>
    <x:row r="7142">
      <x:c r="A7142" s="85"/>
      <x:c r="B7142" s="86"/>
    </x:row>
    <x:row r="7143">
      <x:c r="A7143" s="85"/>
      <x:c r="B7143" s="86"/>
    </x:row>
    <x:row r="7144">
      <x:c r="A7144" s="85"/>
      <x:c r="B7144" s="86"/>
    </x:row>
    <x:row r="7145">
      <x:c r="A7145" s="85"/>
      <x:c r="B7145" s="86"/>
    </x:row>
    <x:row r="7146">
      <x:c r="A7146" s="85"/>
      <x:c r="B7146" s="86"/>
    </x:row>
    <x:row r="7147">
      <x:c r="A7147" s="85"/>
      <x:c r="B7147" s="86"/>
    </x:row>
    <x:row r="7148">
      <x:c r="A7148" s="85"/>
      <x:c r="B7148" s="86"/>
    </x:row>
    <x:row r="7149">
      <x:c r="A7149" s="85"/>
      <x:c r="B7149" s="86"/>
    </x:row>
    <x:row r="7150">
      <x:c r="A7150" s="85"/>
      <x:c r="B7150" s="86"/>
    </x:row>
    <x:row r="7151">
      <x:c r="A7151" s="85"/>
      <x:c r="B7151" s="86"/>
    </x:row>
    <x:row r="7152">
      <x:c r="A7152" s="85"/>
      <x:c r="B7152" s="86"/>
    </x:row>
    <x:row r="7153">
      <x:c r="A7153" s="85"/>
      <x:c r="B7153" s="86"/>
    </x:row>
    <x:row r="7154">
      <x:c r="A7154" s="85"/>
      <x:c r="B7154" s="86"/>
    </x:row>
    <x:row r="7155">
      <x:c r="A7155" s="85"/>
      <x:c r="B7155" s="86"/>
    </x:row>
    <x:row r="7156">
      <x:c r="A7156" s="85"/>
      <x:c r="B7156" s="86"/>
    </x:row>
    <x:row r="7157">
      <x:c r="A7157" s="85"/>
      <x:c r="B7157" s="86"/>
    </x:row>
    <x:row r="7158">
      <x:c r="A7158" s="85"/>
      <x:c r="B7158" s="86"/>
    </x:row>
    <x:row r="7159">
      <x:c r="A7159" s="85"/>
      <x:c r="B7159" s="86"/>
    </x:row>
    <x:row r="7160">
      <x:c r="A7160" s="85"/>
      <x:c r="B7160" s="86"/>
    </x:row>
    <x:row r="7161">
      <x:c r="A7161" s="85"/>
      <x:c r="B7161" s="86"/>
    </x:row>
    <x:row r="7162">
      <x:c r="A7162" s="85"/>
      <x:c r="B7162" s="86"/>
    </x:row>
    <x:row r="7163">
      <x:c r="A7163" s="85"/>
      <x:c r="B7163" s="86"/>
    </x:row>
    <x:row r="7164">
      <x:c r="A7164" s="85"/>
      <x:c r="B7164" s="86"/>
    </x:row>
    <x:row r="7165">
      <x:c r="A7165" s="85"/>
      <x:c r="B7165" s="86"/>
    </x:row>
    <x:row r="7166">
      <x:c r="A7166" s="85"/>
      <x:c r="B7166" s="86"/>
    </x:row>
    <x:row r="7167">
      <x:c r="A7167" s="85"/>
      <x:c r="B7167" s="86"/>
    </x:row>
    <x:row r="7168">
      <x:c r="A7168" s="85"/>
      <x:c r="B7168" s="86"/>
    </x:row>
    <x:row r="7169">
      <x:c r="A7169" s="85"/>
      <x:c r="B7169" s="86"/>
    </x:row>
    <x:row r="7170">
      <x:c r="A7170" s="85"/>
      <x:c r="B7170" s="86"/>
    </x:row>
    <x:row r="7171">
      <x:c r="A7171" s="85"/>
      <x:c r="B7171" s="86"/>
    </x:row>
    <x:row r="7172">
      <x:c r="A7172" s="85"/>
      <x:c r="B7172" s="86"/>
    </x:row>
    <x:row r="7173">
      <x:c r="A7173" s="85"/>
      <x:c r="B7173" s="86"/>
    </x:row>
    <x:row r="7174">
      <x:c r="A7174" s="85"/>
      <x:c r="B7174" s="86"/>
    </x:row>
    <x:row r="7175">
      <x:c r="A7175" s="85"/>
      <x:c r="B7175" s="86"/>
    </x:row>
    <x:row r="7176">
      <x:c r="A7176" s="85"/>
      <x:c r="B7176" s="86"/>
    </x:row>
    <x:row r="7177">
      <x:c r="A7177" s="85"/>
      <x:c r="B7177" s="86"/>
    </x:row>
    <x:row r="7178">
      <x:c r="A7178" s="85"/>
      <x:c r="B7178" s="86"/>
    </x:row>
    <x:row r="7179">
      <x:c r="A7179" s="85"/>
      <x:c r="B7179" s="86"/>
    </x:row>
    <x:row r="7180">
      <x:c r="A7180" s="85"/>
      <x:c r="B7180" s="86"/>
    </x:row>
    <x:row r="7181">
      <x:c r="A7181" s="85"/>
      <x:c r="B7181" s="86"/>
    </x:row>
    <x:row r="7182">
      <x:c r="A7182" s="85"/>
      <x:c r="B7182" s="86"/>
    </x:row>
    <x:row r="7183">
      <x:c r="A7183" s="85"/>
      <x:c r="B7183" s="86"/>
    </x:row>
    <x:row r="7184">
      <x:c r="A7184" s="85"/>
      <x:c r="B7184" s="86"/>
    </x:row>
    <x:row r="7185">
      <x:c r="A7185" s="85"/>
      <x:c r="B7185" s="86"/>
    </x:row>
    <x:row r="7186">
      <x:c r="A7186" s="85"/>
      <x:c r="B7186" s="86"/>
    </x:row>
    <x:row r="7187">
      <x:c r="A7187" s="85"/>
      <x:c r="B7187" s="86"/>
    </x:row>
    <x:row r="7188">
      <x:c r="A7188" s="85"/>
      <x:c r="B7188" s="86"/>
    </x:row>
    <x:row r="7189">
      <x:c r="A7189" s="85"/>
      <x:c r="B7189" s="86"/>
    </x:row>
    <x:row r="7190">
      <x:c r="A7190" s="85"/>
      <x:c r="B7190" s="86"/>
    </x:row>
    <x:row r="7191">
      <x:c r="A7191" s="85"/>
      <x:c r="B7191" s="86"/>
    </x:row>
    <x:row r="7192">
      <x:c r="A7192" s="85"/>
      <x:c r="B7192" s="86"/>
    </x:row>
    <x:row r="7193">
      <x:c r="A7193" s="85"/>
      <x:c r="B7193" s="86"/>
    </x:row>
    <x:row r="7194">
      <x:c r="A7194" s="85"/>
      <x:c r="B7194" s="86"/>
    </x:row>
    <x:row r="7195">
      <x:c r="A7195" s="85"/>
      <x:c r="B7195" s="86"/>
    </x:row>
    <x:row r="7196">
      <x:c r="A7196" s="85"/>
      <x:c r="B7196" s="86"/>
    </x:row>
    <x:row r="7197">
      <x:c r="A7197" s="85"/>
      <x:c r="B7197" s="86"/>
    </x:row>
    <x:row r="7198">
      <x:c r="A7198" s="85"/>
      <x:c r="B7198" s="86"/>
    </x:row>
    <x:row r="7199">
      <x:c r="A7199" s="85"/>
      <x:c r="B7199" s="86"/>
    </x:row>
    <x:row r="7200">
      <x:c r="A7200" s="85"/>
      <x:c r="B7200" s="86"/>
    </x:row>
    <x:row r="7201">
      <x:c r="A7201" s="85"/>
      <x:c r="B7201" s="86"/>
    </x:row>
    <x:row r="7202">
      <x:c r="A7202" s="85"/>
      <x:c r="B7202" s="86"/>
    </x:row>
    <x:row r="7203">
      <x:c r="A7203" s="85"/>
      <x:c r="B7203" s="86"/>
    </x:row>
    <x:row r="7204">
      <x:c r="A7204" s="85"/>
      <x:c r="B7204" s="86"/>
    </x:row>
    <x:row r="7205">
      <x:c r="A7205" s="85"/>
      <x:c r="B7205" s="86"/>
    </x:row>
    <x:row r="7206">
      <x:c r="A7206" s="85"/>
      <x:c r="B7206" s="86"/>
    </x:row>
    <x:row r="7207">
      <x:c r="A7207" s="85"/>
      <x:c r="B7207" s="86"/>
    </x:row>
    <x:row r="7208">
      <x:c r="A7208" s="85"/>
      <x:c r="B7208" s="86"/>
    </x:row>
    <x:row r="7209">
      <x:c r="A7209" s="85"/>
      <x:c r="B7209" s="86"/>
    </x:row>
    <x:row r="7210">
      <x:c r="A7210" s="85"/>
      <x:c r="B7210" s="86"/>
    </x:row>
    <x:row r="7211">
      <x:c r="A7211" s="85"/>
      <x:c r="B7211" s="86"/>
    </x:row>
    <x:row r="7212">
      <x:c r="A7212" s="85"/>
      <x:c r="B7212" s="86"/>
    </x:row>
    <x:row r="7213">
      <x:c r="A7213" s="85"/>
      <x:c r="B7213" s="86"/>
    </x:row>
    <x:row r="7214">
      <x:c r="A7214" s="85"/>
      <x:c r="B7214" s="86"/>
    </x:row>
    <x:row r="7215">
      <x:c r="A7215" s="85"/>
      <x:c r="B7215" s="86"/>
    </x:row>
    <x:row r="7216">
      <x:c r="A7216" s="85"/>
      <x:c r="B7216" s="86"/>
    </x:row>
    <x:row r="7217">
      <x:c r="A7217" s="85"/>
      <x:c r="B7217" s="86"/>
    </x:row>
    <x:row r="7218">
      <x:c r="A7218" s="85"/>
      <x:c r="B7218" s="86"/>
    </x:row>
    <x:row r="7219">
      <x:c r="A7219" s="85"/>
      <x:c r="B7219" s="86"/>
    </x:row>
    <x:row r="7220">
      <x:c r="A7220" s="85"/>
      <x:c r="B7220" s="86"/>
    </x:row>
    <x:row r="7221">
      <x:c r="A7221" s="85"/>
      <x:c r="B7221" s="86"/>
    </x:row>
    <x:row r="7222">
      <x:c r="A7222" s="85"/>
      <x:c r="B7222" s="86"/>
    </x:row>
    <x:row r="7223">
      <x:c r="A7223" s="85"/>
      <x:c r="B7223" s="86"/>
    </x:row>
    <x:row r="7224">
      <x:c r="A7224" s="85"/>
      <x:c r="B7224" s="86"/>
    </x:row>
    <x:row r="7225">
      <x:c r="A7225" s="85"/>
      <x:c r="B7225" s="86"/>
    </x:row>
    <x:row r="7226">
      <x:c r="A7226" s="85"/>
      <x:c r="B7226" s="86"/>
    </x:row>
    <x:row r="7227">
      <x:c r="A7227" s="85"/>
      <x:c r="B7227" s="86"/>
    </x:row>
    <x:row r="7228">
      <x:c r="A7228" s="85"/>
      <x:c r="B7228" s="86"/>
    </x:row>
    <x:row r="7229">
      <x:c r="A7229" s="85"/>
      <x:c r="B7229" s="86"/>
    </x:row>
    <x:row r="7230">
      <x:c r="A7230" s="85"/>
      <x:c r="B7230" s="86"/>
    </x:row>
    <x:row r="7231">
      <x:c r="A7231" s="85"/>
      <x:c r="B7231" s="86"/>
    </x:row>
    <x:row r="7232">
      <x:c r="A7232" s="85"/>
      <x:c r="B7232" s="86"/>
    </x:row>
    <x:row r="7233">
      <x:c r="A7233" s="85"/>
      <x:c r="B7233" s="86"/>
    </x:row>
    <x:row r="7234">
      <x:c r="A7234" s="85"/>
      <x:c r="B7234" s="86"/>
    </x:row>
    <x:row r="7235">
      <x:c r="A7235" s="85"/>
      <x:c r="B7235" s="86"/>
    </x:row>
    <x:row r="7236">
      <x:c r="A7236" s="85"/>
      <x:c r="B7236" s="86"/>
    </x:row>
    <x:row r="7237">
      <x:c r="A7237" s="85"/>
      <x:c r="B7237" s="86"/>
    </x:row>
    <x:row r="7238">
      <x:c r="A7238" s="85"/>
      <x:c r="B7238" s="86"/>
    </x:row>
    <x:row r="7239">
      <x:c r="A7239" s="85"/>
      <x:c r="B7239" s="86"/>
    </x:row>
    <x:row r="7240">
      <x:c r="A7240" s="85"/>
      <x:c r="B7240" s="86"/>
    </x:row>
    <x:row r="7241">
      <x:c r="A7241" s="85"/>
      <x:c r="B7241" s="86"/>
    </x:row>
    <x:row r="7242">
      <x:c r="A7242" s="85"/>
      <x:c r="B7242" s="86"/>
    </x:row>
    <x:row r="7243">
      <x:c r="A7243" s="85"/>
      <x:c r="B7243" s="86"/>
    </x:row>
    <x:row r="7244">
      <x:c r="A7244" s="85"/>
      <x:c r="B7244" s="86"/>
    </x:row>
    <x:row r="7245">
      <x:c r="A7245" s="85"/>
      <x:c r="B7245" s="86"/>
    </x:row>
    <x:row r="7246">
      <x:c r="A7246" s="85"/>
      <x:c r="B7246" s="86"/>
    </x:row>
    <x:row r="7247">
      <x:c r="A7247" s="85"/>
      <x:c r="B7247" s="86"/>
    </x:row>
    <x:row r="7248">
      <x:c r="A7248" s="85"/>
      <x:c r="B7248" s="86"/>
    </x:row>
    <x:row r="7249">
      <x:c r="A7249" s="85"/>
      <x:c r="B7249" s="86"/>
    </x:row>
    <x:row r="7250">
      <x:c r="A7250" s="85"/>
      <x:c r="B7250" s="86"/>
    </x:row>
    <x:row r="7251">
      <x:c r="A7251" s="85"/>
      <x:c r="B7251" s="86"/>
    </x:row>
    <x:row r="7252">
      <x:c r="A7252" s="85"/>
      <x:c r="B7252" s="86"/>
    </x:row>
    <x:row r="7253">
      <x:c r="A7253" s="85"/>
      <x:c r="B7253" s="86"/>
    </x:row>
    <x:row r="7254">
      <x:c r="A7254" s="85"/>
      <x:c r="B7254" s="86"/>
    </x:row>
    <x:row r="7255">
      <x:c r="A7255" s="85"/>
      <x:c r="B7255" s="86"/>
    </x:row>
    <x:row r="7256">
      <x:c r="A7256" s="85"/>
      <x:c r="B7256" s="86"/>
    </x:row>
    <x:row r="7257">
      <x:c r="A7257" s="85"/>
      <x:c r="B7257" s="86"/>
    </x:row>
    <x:row r="7258">
      <x:c r="A7258" s="85"/>
      <x:c r="B7258" s="86"/>
    </x:row>
    <x:row r="7259">
      <x:c r="A7259" s="85"/>
      <x:c r="B7259" s="86"/>
    </x:row>
    <x:row r="7260">
      <x:c r="A7260" s="85"/>
      <x:c r="B7260" s="86"/>
    </x:row>
    <x:row r="7261">
      <x:c r="A7261" s="85"/>
      <x:c r="B7261" s="86"/>
    </x:row>
    <x:row r="7262">
      <x:c r="A7262" s="85"/>
      <x:c r="B7262" s="86"/>
    </x:row>
    <x:row r="7263">
      <x:c r="A7263" s="85"/>
      <x:c r="B7263" s="86"/>
    </x:row>
    <x:row r="7264">
      <x:c r="A7264" s="85"/>
      <x:c r="B7264" s="86"/>
    </x:row>
    <x:row r="7265">
      <x:c r="A7265" s="85"/>
      <x:c r="B7265" s="86"/>
    </x:row>
    <x:row r="7266">
      <x:c r="A7266" s="85"/>
      <x:c r="B7266" s="86"/>
    </x:row>
    <x:row r="7267">
      <x:c r="A7267" s="85"/>
      <x:c r="B7267" s="86"/>
    </x:row>
    <x:row r="7268">
      <x:c r="A7268" s="85"/>
      <x:c r="B7268" s="86"/>
    </x:row>
    <x:row r="7269">
      <x:c r="A7269" s="85"/>
      <x:c r="B7269" s="86"/>
    </x:row>
    <x:row r="7270">
      <x:c r="A7270" s="85"/>
      <x:c r="B7270" s="86"/>
    </x:row>
    <x:row r="7271">
      <x:c r="A7271" s="85"/>
      <x:c r="B7271" s="86"/>
    </x:row>
    <x:row r="7272">
      <x:c r="A7272" s="85"/>
      <x:c r="B7272" s="86"/>
    </x:row>
    <x:row r="7273">
      <x:c r="A7273" s="85"/>
      <x:c r="B7273" s="86"/>
    </x:row>
    <x:row r="7274">
      <x:c r="A7274" s="85"/>
      <x:c r="B7274" s="86"/>
    </x:row>
    <x:row r="7275">
      <x:c r="A7275" s="85"/>
      <x:c r="B7275" s="86"/>
    </x:row>
    <x:row r="7276">
      <x:c r="A7276" s="85"/>
      <x:c r="B7276" s="86"/>
    </x:row>
    <x:row r="7277">
      <x:c r="A7277" s="85"/>
      <x:c r="B7277" s="86"/>
    </x:row>
    <x:row r="7278">
      <x:c r="A7278" s="85"/>
      <x:c r="B7278" s="86"/>
    </x:row>
    <x:row r="7279">
      <x:c r="A7279" s="85"/>
      <x:c r="B7279" s="86"/>
    </x:row>
    <x:row r="7280">
      <x:c r="A7280" s="85"/>
      <x:c r="B7280" s="86"/>
    </x:row>
    <x:row r="7281">
      <x:c r="A7281" s="85"/>
      <x:c r="B7281" s="86"/>
    </x:row>
    <x:row r="7282">
      <x:c r="A7282" s="85"/>
      <x:c r="B7282" s="86"/>
    </x:row>
    <x:row r="7283">
      <x:c r="A7283" s="85"/>
      <x:c r="B7283" s="86"/>
    </x:row>
    <x:row r="7284">
      <x:c r="A7284" s="85"/>
      <x:c r="B7284" s="86"/>
    </x:row>
    <x:row r="7285">
      <x:c r="A7285" s="85"/>
      <x:c r="B7285" s="86"/>
    </x:row>
    <x:row r="7286">
      <x:c r="A7286" s="85"/>
      <x:c r="B7286" s="86"/>
    </x:row>
    <x:row r="7287">
      <x:c r="A7287" s="85"/>
      <x:c r="B7287" s="86"/>
    </x:row>
    <x:row r="7288">
      <x:c r="A7288" s="85"/>
      <x:c r="B7288" s="86"/>
    </x:row>
    <x:row r="7289">
      <x:c r="A7289" s="85"/>
      <x:c r="B7289" s="86"/>
    </x:row>
    <x:row r="7290">
      <x:c r="A7290" s="85"/>
      <x:c r="B7290" s="86"/>
    </x:row>
    <x:row r="7291">
      <x:c r="A7291" s="85"/>
      <x:c r="B7291" s="86"/>
    </x:row>
    <x:row r="7292">
      <x:c r="A7292" s="85"/>
      <x:c r="B7292" s="86"/>
    </x:row>
    <x:row r="7293">
      <x:c r="A7293" s="85"/>
      <x:c r="B7293" s="86"/>
    </x:row>
    <x:row r="7294">
      <x:c r="A7294" s="85"/>
      <x:c r="B7294" s="86"/>
    </x:row>
    <x:row r="7295">
      <x:c r="A7295" s="85"/>
      <x:c r="B7295" s="86"/>
    </x:row>
    <x:row r="7296">
      <x:c r="A7296" s="85"/>
      <x:c r="B7296" s="86"/>
    </x:row>
    <x:row r="7297">
      <x:c r="A7297" s="85"/>
      <x:c r="B7297" s="86"/>
    </x:row>
    <x:row r="7298">
      <x:c r="A7298" s="85"/>
      <x:c r="B7298" s="86"/>
    </x:row>
    <x:row r="7299">
      <x:c r="A7299" s="85"/>
      <x:c r="B7299" s="86"/>
    </x:row>
    <x:row r="7300">
      <x:c r="A7300" s="85"/>
      <x:c r="B7300" s="86"/>
    </x:row>
    <x:row r="7301">
      <x:c r="A7301" s="85"/>
      <x:c r="B7301" s="86"/>
    </x:row>
    <x:row r="7302">
      <x:c r="A7302" s="85"/>
      <x:c r="B7302" s="86"/>
    </x:row>
    <x:row r="7303">
      <x:c r="A7303" s="85"/>
      <x:c r="B7303" s="86"/>
    </x:row>
    <x:row r="7304">
      <x:c r="A7304" s="85"/>
      <x:c r="B7304" s="86"/>
    </x:row>
    <x:row r="7305">
      <x:c r="A7305" s="85"/>
      <x:c r="B7305" s="86"/>
    </x:row>
    <x:row r="7306">
      <x:c r="A7306" s="85"/>
      <x:c r="B7306" s="86"/>
    </x:row>
    <x:row r="7307">
      <x:c r="A7307" s="85"/>
      <x:c r="B7307" s="86"/>
    </x:row>
    <x:row r="7308">
      <x:c r="A7308" s="85"/>
      <x:c r="B7308" s="86"/>
    </x:row>
    <x:row r="7309">
      <x:c r="A7309" s="85"/>
      <x:c r="B7309" s="86"/>
    </x:row>
    <x:row r="7310">
      <x:c r="A7310" s="85"/>
      <x:c r="B7310" s="86"/>
    </x:row>
    <x:row r="7311">
      <x:c r="A7311" s="85"/>
      <x:c r="B7311" s="86"/>
    </x:row>
    <x:row r="7312">
      <x:c r="A7312" s="85"/>
      <x:c r="B7312" s="86"/>
    </x:row>
    <x:row r="7313">
      <x:c r="A7313" s="85"/>
      <x:c r="B7313" s="86"/>
    </x:row>
    <x:row r="7314">
      <x:c r="A7314" s="85"/>
      <x:c r="B7314" s="86"/>
    </x:row>
    <x:row r="7315">
      <x:c r="A7315" s="85"/>
      <x:c r="B7315" s="86"/>
    </x:row>
    <x:row r="7316">
      <x:c r="A7316" s="85"/>
      <x:c r="B7316" s="86"/>
    </x:row>
    <x:row r="7317">
      <x:c r="A7317" s="85"/>
      <x:c r="B7317" s="86"/>
    </x:row>
    <x:row r="7318">
      <x:c r="A7318" s="85"/>
      <x:c r="B7318" s="86"/>
    </x:row>
    <x:row r="7319">
      <x:c r="A7319" s="85"/>
      <x:c r="B7319" s="86"/>
    </x:row>
    <x:row r="7320">
      <x:c r="A7320" s="85"/>
      <x:c r="B7320" s="86"/>
    </x:row>
    <x:row r="7321">
      <x:c r="A7321" s="85"/>
      <x:c r="B7321" s="86"/>
    </x:row>
    <x:row r="7322">
      <x:c r="A7322" s="85"/>
      <x:c r="B7322" s="86"/>
    </x:row>
    <x:row r="7323">
      <x:c r="A7323" s="85"/>
      <x:c r="B7323" s="86"/>
    </x:row>
    <x:row r="7324">
      <x:c r="A7324" s="85"/>
      <x:c r="B7324" s="86"/>
    </x:row>
    <x:row r="7325">
      <x:c r="A7325" s="85"/>
      <x:c r="B7325" s="86"/>
    </x:row>
    <x:row r="7326">
      <x:c r="A7326" s="85"/>
      <x:c r="B7326" s="86"/>
    </x:row>
    <x:row r="7327">
      <x:c r="A7327" s="85"/>
      <x:c r="B7327" s="86"/>
    </x:row>
    <x:row r="7328">
      <x:c r="A7328" s="85"/>
      <x:c r="B7328" s="86"/>
    </x:row>
    <x:row r="7329">
      <x:c r="A7329" s="85"/>
      <x:c r="B7329" s="86"/>
    </x:row>
    <x:row r="7330">
      <x:c r="A7330" s="85"/>
      <x:c r="B7330" s="86"/>
    </x:row>
    <x:row r="7331">
      <x:c r="A7331" s="85"/>
      <x:c r="B7331" s="86"/>
    </x:row>
    <x:row r="7332">
      <x:c r="A7332" s="85"/>
      <x:c r="B7332" s="86"/>
    </x:row>
    <x:row r="7333">
      <x:c r="A7333" s="85"/>
      <x:c r="B7333" s="86"/>
    </x:row>
    <x:row r="7334">
      <x:c r="A7334" s="85"/>
      <x:c r="B7334" s="86"/>
    </x:row>
    <x:row r="7335">
      <x:c r="A7335" s="85"/>
      <x:c r="B7335" s="86"/>
    </x:row>
    <x:row r="7336">
      <x:c r="A7336" s="85"/>
      <x:c r="B7336" s="86"/>
    </x:row>
    <x:row r="7337">
      <x:c r="A7337" s="85"/>
      <x:c r="B7337" s="86"/>
    </x:row>
    <x:row r="7338">
      <x:c r="A7338" s="85"/>
      <x:c r="B7338" s="86"/>
    </x:row>
    <x:row r="7339">
      <x:c r="A7339" s="85"/>
      <x:c r="B7339" s="86"/>
    </x:row>
    <x:row r="7340">
      <x:c r="A7340" s="85"/>
      <x:c r="B7340" s="86"/>
    </x:row>
    <x:row r="7341">
      <x:c r="A7341" s="85"/>
      <x:c r="B7341" s="86"/>
    </x:row>
    <x:row r="7342">
      <x:c r="A7342" s="85"/>
      <x:c r="B7342" s="86"/>
    </x:row>
    <x:row r="7343">
      <x:c r="A7343" s="85"/>
      <x:c r="B7343" s="86"/>
    </x:row>
    <x:row r="7344">
      <x:c r="A7344" s="85"/>
      <x:c r="B7344" s="86"/>
    </x:row>
    <x:row r="7345">
      <x:c r="A7345" s="85"/>
      <x:c r="B7345" s="86"/>
    </x:row>
    <x:row r="7346">
      <x:c r="A7346" s="85"/>
      <x:c r="B7346" s="86"/>
    </x:row>
    <x:row r="7347">
      <x:c r="A7347" s="85"/>
      <x:c r="B7347" s="86"/>
    </x:row>
    <x:row r="7348">
      <x:c r="A7348" s="85"/>
      <x:c r="B7348" s="86"/>
    </x:row>
    <x:row r="7349">
      <x:c r="A7349" s="85"/>
      <x:c r="B7349" s="86"/>
    </x:row>
    <x:row r="7350">
      <x:c r="A7350" s="85"/>
      <x:c r="B7350" s="86"/>
    </x:row>
    <x:row r="7351">
      <x:c r="A7351" s="85"/>
      <x:c r="B7351" s="86"/>
    </x:row>
    <x:row r="7352">
      <x:c r="A7352" s="85"/>
      <x:c r="B7352" s="86"/>
    </x:row>
    <x:row r="7353">
      <x:c r="A7353" s="85"/>
      <x:c r="B7353" s="86"/>
    </x:row>
    <x:row r="7354">
      <x:c r="A7354" s="85"/>
      <x:c r="B7354" s="86"/>
    </x:row>
    <x:row r="7355">
      <x:c r="A7355" s="85"/>
      <x:c r="B7355" s="86"/>
    </x:row>
    <x:row r="7356">
      <x:c r="A7356" s="85"/>
      <x:c r="B7356" s="86"/>
    </x:row>
    <x:row r="7357">
      <x:c r="A7357" s="85"/>
      <x:c r="B7357" s="86"/>
    </x:row>
    <x:row r="7358">
      <x:c r="A7358" s="85"/>
      <x:c r="B7358" s="86"/>
    </x:row>
    <x:row r="7359">
      <x:c r="A7359" s="85"/>
      <x:c r="B7359" s="86"/>
    </x:row>
    <x:row r="7360">
      <x:c r="A7360" s="85"/>
      <x:c r="B7360" s="86"/>
    </x:row>
    <x:row r="7361">
      <x:c r="A7361" s="85"/>
      <x:c r="B7361" s="86"/>
    </x:row>
    <x:row r="7362">
      <x:c r="A7362" s="85"/>
      <x:c r="B7362" s="86"/>
    </x:row>
    <x:row r="7363">
      <x:c r="A7363" s="85"/>
      <x:c r="B7363" s="86"/>
    </x:row>
    <x:row r="7364">
      <x:c r="A7364" s="85"/>
      <x:c r="B7364" s="86"/>
    </x:row>
    <x:row r="7365">
      <x:c r="A7365" s="85"/>
      <x:c r="B7365" s="86"/>
    </x:row>
    <x:row r="7366">
      <x:c r="A7366" s="85"/>
      <x:c r="B7366" s="86"/>
    </x:row>
    <x:row r="7367">
      <x:c r="A7367" s="85"/>
      <x:c r="B7367" s="86"/>
    </x:row>
    <x:row r="7368">
      <x:c r="A7368" s="85"/>
      <x:c r="B7368" s="86"/>
    </x:row>
    <x:row r="7369">
      <x:c r="A7369" s="85"/>
      <x:c r="B7369" s="86"/>
    </x:row>
    <x:row r="7370">
      <x:c r="A7370" s="85"/>
      <x:c r="B7370" s="86"/>
    </x:row>
    <x:row r="7371">
      <x:c r="A7371" s="85"/>
      <x:c r="B7371" s="86"/>
    </x:row>
    <x:row r="7372">
      <x:c r="A7372" s="85"/>
      <x:c r="B7372" s="86"/>
    </x:row>
    <x:row r="7373">
      <x:c r="A7373" s="85"/>
      <x:c r="B7373" s="86"/>
    </x:row>
    <x:row r="7374">
      <x:c r="A7374" s="85"/>
      <x:c r="B7374" s="86"/>
    </x:row>
    <x:row r="7375">
      <x:c r="A7375" s="85"/>
      <x:c r="B7375" s="86"/>
    </x:row>
    <x:row r="7376">
      <x:c r="A7376" s="85"/>
      <x:c r="B7376" s="86"/>
    </x:row>
    <x:row r="7377">
      <x:c r="A7377" s="85"/>
      <x:c r="B7377" s="86"/>
    </x:row>
    <x:row r="7378">
      <x:c r="A7378" s="85"/>
      <x:c r="B7378" s="86"/>
    </x:row>
    <x:row r="7379">
      <x:c r="A7379" s="85"/>
      <x:c r="B7379" s="86"/>
    </x:row>
    <x:row r="7380">
      <x:c r="A7380" s="85"/>
      <x:c r="B7380" s="86"/>
    </x:row>
    <x:row r="7381">
      <x:c r="A7381" s="85"/>
      <x:c r="B7381" s="86"/>
    </x:row>
    <x:row r="7382">
      <x:c r="A7382" s="85"/>
      <x:c r="B7382" s="86"/>
    </x:row>
    <x:row r="7383">
      <x:c r="A7383" s="85"/>
      <x:c r="B7383" s="86"/>
    </x:row>
    <x:row r="7384">
      <x:c r="A7384" s="85"/>
      <x:c r="B7384" s="86"/>
    </x:row>
    <x:row r="7385">
      <x:c r="A7385" s="85"/>
      <x:c r="B7385" s="86"/>
    </x:row>
    <x:row r="7386">
      <x:c r="A7386" s="85"/>
      <x:c r="B7386" s="86"/>
    </x:row>
    <x:row r="7387">
      <x:c r="A7387" s="85"/>
      <x:c r="B7387" s="86"/>
    </x:row>
    <x:row r="7388">
      <x:c r="A7388" s="85"/>
      <x:c r="B7388" s="86"/>
    </x:row>
    <x:row r="7389">
      <x:c r="A7389" s="85"/>
      <x:c r="B7389" s="86"/>
    </x:row>
    <x:row r="7390">
      <x:c r="A7390" s="85"/>
      <x:c r="B7390" s="86"/>
    </x:row>
    <x:row r="7391">
      <x:c r="A7391" s="85"/>
      <x:c r="B7391" s="86"/>
    </x:row>
    <x:row r="7392">
      <x:c r="A7392" s="85"/>
      <x:c r="B7392" s="86"/>
    </x:row>
    <x:row r="7393">
      <x:c r="A7393" s="85"/>
      <x:c r="B7393" s="86"/>
    </x:row>
    <x:row r="7394">
      <x:c r="A7394" s="85"/>
      <x:c r="B7394" s="86"/>
    </x:row>
    <x:row r="7395">
      <x:c r="A7395" s="85"/>
      <x:c r="B7395" s="86"/>
    </x:row>
    <x:row r="7396">
      <x:c r="A7396" s="85"/>
      <x:c r="B7396" s="86"/>
    </x:row>
    <x:row r="7397">
      <x:c r="A7397" s="85"/>
      <x:c r="B7397" s="86"/>
    </x:row>
    <x:row r="7398">
      <x:c r="A7398" s="85"/>
      <x:c r="B7398" s="86"/>
    </x:row>
    <x:row r="7399">
      <x:c r="A7399" s="85"/>
      <x:c r="B7399" s="86"/>
    </x:row>
    <x:row r="7400">
      <x:c r="A7400" s="85"/>
      <x:c r="B7400" s="86"/>
    </x:row>
    <x:row r="7401">
      <x:c r="A7401" s="85"/>
      <x:c r="B7401" s="86"/>
    </x:row>
    <x:row r="7402">
      <x:c r="A7402" s="85"/>
      <x:c r="B7402" s="86"/>
    </x:row>
    <x:row r="7403">
      <x:c r="A7403" s="85"/>
      <x:c r="B7403" s="86"/>
    </x:row>
    <x:row r="7404">
      <x:c r="A7404" s="85"/>
      <x:c r="B7404" s="86"/>
    </x:row>
    <x:row r="7405">
      <x:c r="A7405" s="85"/>
      <x:c r="B7405" s="86"/>
    </x:row>
    <x:row r="7406">
      <x:c r="A7406" s="85"/>
      <x:c r="B7406" s="86"/>
    </x:row>
    <x:row r="7407">
      <x:c r="A7407" s="85"/>
      <x:c r="B7407" s="86"/>
    </x:row>
    <x:row r="7408">
      <x:c r="A7408" s="85"/>
      <x:c r="B7408" s="86"/>
    </x:row>
    <x:row r="7409">
      <x:c r="A7409" s="85"/>
      <x:c r="B7409" s="86"/>
    </x:row>
    <x:row r="7410">
      <x:c r="A7410" s="85"/>
      <x:c r="B7410" s="86"/>
    </x:row>
    <x:row r="7411">
      <x:c r="A7411" s="85"/>
      <x:c r="B7411" s="86"/>
    </x:row>
    <x:row r="7412">
      <x:c r="A7412" s="85"/>
      <x:c r="B7412" s="86"/>
    </x:row>
    <x:row r="7413">
      <x:c r="A7413" s="85"/>
      <x:c r="B7413" s="86"/>
    </x:row>
    <x:row r="7414">
      <x:c r="A7414" s="85"/>
      <x:c r="B7414" s="86"/>
    </x:row>
    <x:row r="7415">
      <x:c r="A7415" s="85"/>
      <x:c r="B7415" s="86"/>
    </x:row>
    <x:row r="7416">
      <x:c r="A7416" s="85"/>
      <x:c r="B7416" s="86"/>
    </x:row>
    <x:row r="7417">
      <x:c r="A7417" s="85"/>
      <x:c r="B7417" s="86"/>
    </x:row>
    <x:row r="7418">
      <x:c r="A7418" s="85"/>
      <x:c r="B7418" s="86"/>
    </x:row>
    <x:row r="7419">
      <x:c r="A7419" s="85"/>
      <x:c r="B7419" s="86"/>
    </x:row>
    <x:row r="7420">
      <x:c r="A7420" s="85"/>
      <x:c r="B7420" s="86"/>
    </x:row>
    <x:row r="7421">
      <x:c r="A7421" s="85"/>
      <x:c r="B7421" s="86"/>
    </x:row>
    <x:row r="7422">
      <x:c r="A7422" s="85"/>
      <x:c r="B7422" s="86"/>
    </x:row>
    <x:row r="7423">
      <x:c r="A7423" s="85"/>
      <x:c r="B7423" s="86"/>
    </x:row>
    <x:row r="7424">
      <x:c r="A7424" s="85"/>
      <x:c r="B7424" s="86"/>
    </x:row>
    <x:row r="7425">
      <x:c r="A7425" s="85"/>
      <x:c r="B7425" s="86"/>
    </x:row>
    <x:row r="7426">
      <x:c r="A7426" s="85"/>
      <x:c r="B7426" s="86"/>
    </x:row>
    <x:row r="7427">
      <x:c r="A7427" s="85"/>
      <x:c r="B7427" s="86"/>
    </x:row>
    <x:row r="7428">
      <x:c r="A7428" s="85"/>
      <x:c r="B7428" s="86"/>
    </x:row>
    <x:row r="7429">
      <x:c r="A7429" s="85"/>
      <x:c r="B7429" s="86"/>
    </x:row>
    <x:row r="7430">
      <x:c r="A7430" s="85"/>
      <x:c r="B7430" s="86"/>
    </x:row>
    <x:row r="7431">
      <x:c r="A7431" s="85"/>
      <x:c r="B7431" s="86"/>
    </x:row>
    <x:row r="7432">
      <x:c r="A7432" s="85"/>
      <x:c r="B7432" s="86"/>
    </x:row>
    <x:row r="7433">
      <x:c r="A7433" s="85"/>
      <x:c r="B7433" s="86"/>
    </x:row>
    <x:row r="7434">
      <x:c r="A7434" s="85"/>
      <x:c r="B7434" s="86"/>
    </x:row>
    <x:row r="7435">
      <x:c r="A7435" s="85"/>
      <x:c r="B7435" s="86"/>
    </x:row>
    <x:row r="7436">
      <x:c r="A7436" s="85"/>
      <x:c r="B7436" s="86"/>
    </x:row>
    <x:row r="7437">
      <x:c r="A7437" s="85"/>
      <x:c r="B7437" s="86"/>
    </x:row>
    <x:row r="7438">
      <x:c r="A7438" s="85"/>
      <x:c r="B7438" s="86"/>
    </x:row>
    <x:row r="7439">
      <x:c r="A7439" s="85"/>
      <x:c r="B7439" s="86"/>
    </x:row>
    <x:row r="7440">
      <x:c r="A7440" s="85"/>
      <x:c r="B7440" s="86"/>
    </x:row>
    <x:row r="7441">
      <x:c r="A7441" s="85"/>
      <x:c r="B7441" s="86"/>
    </x:row>
    <x:row r="7442">
      <x:c r="A7442" s="85"/>
      <x:c r="B7442" s="86"/>
    </x:row>
    <x:row r="7443">
      <x:c r="A7443" s="85"/>
      <x:c r="B7443" s="86"/>
    </x:row>
    <x:row r="7444">
      <x:c r="A7444" s="85"/>
      <x:c r="B7444" s="86"/>
    </x:row>
    <x:row r="7445">
      <x:c r="A7445" s="85"/>
      <x:c r="B7445" s="86"/>
    </x:row>
    <x:row r="7446">
      <x:c r="A7446" s="85"/>
      <x:c r="B7446" s="86"/>
    </x:row>
    <x:row r="7447">
      <x:c r="A7447" s="85"/>
      <x:c r="B7447" s="86"/>
    </x:row>
    <x:row r="7448">
      <x:c r="A7448" s="85"/>
      <x:c r="B7448" s="86"/>
    </x:row>
    <x:row r="7449">
      <x:c r="A7449" s="85"/>
      <x:c r="B7449" s="86"/>
    </x:row>
    <x:row r="7450">
      <x:c r="A7450" s="85"/>
      <x:c r="B7450" s="86"/>
    </x:row>
    <x:row r="7451">
      <x:c r="A7451" s="85"/>
      <x:c r="B7451" s="86"/>
    </x:row>
    <x:row r="7452">
      <x:c r="A7452" s="85"/>
      <x:c r="B7452" s="86"/>
    </x:row>
    <x:row r="7453">
      <x:c r="A7453" s="85"/>
      <x:c r="B7453" s="86"/>
    </x:row>
    <x:row r="7454">
      <x:c r="A7454" s="85"/>
      <x:c r="B7454" s="86"/>
    </x:row>
    <x:row r="7455">
      <x:c r="A7455" s="85"/>
      <x:c r="B7455" s="86"/>
    </x:row>
    <x:row r="7456">
      <x:c r="A7456" s="85"/>
      <x:c r="B7456" s="86"/>
    </x:row>
    <x:row r="7457">
      <x:c r="A7457" s="85"/>
      <x:c r="B7457" s="86"/>
    </x:row>
    <x:row r="7458">
      <x:c r="A7458" s="85"/>
      <x:c r="B7458" s="86"/>
    </x:row>
    <x:row r="7459">
      <x:c r="A7459" s="85"/>
      <x:c r="B7459" s="86"/>
    </x:row>
    <x:row r="7460">
      <x:c r="A7460" s="85"/>
      <x:c r="B7460" s="86"/>
    </x:row>
    <x:row r="7461">
      <x:c r="A7461" s="85"/>
      <x:c r="B7461" s="86"/>
    </x:row>
    <x:row r="7462">
      <x:c r="A7462" s="85"/>
      <x:c r="B7462" s="86"/>
    </x:row>
    <x:row r="7463">
      <x:c r="A7463" s="85"/>
      <x:c r="B7463" s="86"/>
    </x:row>
    <x:row r="7464">
      <x:c r="A7464" s="85"/>
      <x:c r="B7464" s="86"/>
    </x:row>
    <x:row r="7465">
      <x:c r="A7465" s="85"/>
      <x:c r="B7465" s="86"/>
    </x:row>
    <x:row r="7466">
      <x:c r="A7466" s="85"/>
      <x:c r="B7466" s="86"/>
    </x:row>
    <x:row r="7467">
      <x:c r="A7467" s="85"/>
      <x:c r="B7467" s="86"/>
    </x:row>
    <x:row r="7468">
      <x:c r="A7468" s="85"/>
      <x:c r="B7468" s="86"/>
    </x:row>
    <x:row r="7469">
      <x:c r="A7469" s="85"/>
      <x:c r="B7469" s="86"/>
    </x:row>
    <x:row r="7470">
      <x:c r="A7470" s="85"/>
      <x:c r="B7470" s="86"/>
    </x:row>
    <x:row r="7471">
      <x:c r="A7471" s="85"/>
      <x:c r="B7471" s="86"/>
    </x:row>
    <x:row r="7472">
      <x:c r="A7472" s="85"/>
      <x:c r="B7472" s="86"/>
    </x:row>
    <x:row r="7473">
      <x:c r="A7473" s="85"/>
      <x:c r="B7473" s="86"/>
    </x:row>
    <x:row r="7474">
      <x:c r="A7474" s="85"/>
      <x:c r="B7474" s="86"/>
    </x:row>
    <x:row r="7475">
      <x:c r="A7475" s="85"/>
      <x:c r="B7475" s="86"/>
    </x:row>
    <x:row r="7476">
      <x:c r="A7476" s="85"/>
      <x:c r="B7476" s="86"/>
    </x:row>
    <x:row r="7477">
      <x:c r="A7477" s="85"/>
      <x:c r="B7477" s="86"/>
    </x:row>
    <x:row r="7478">
      <x:c r="A7478" s="85"/>
      <x:c r="B7478" s="86"/>
    </x:row>
    <x:row r="7479">
      <x:c r="A7479" s="85"/>
      <x:c r="B7479" s="86"/>
    </x:row>
    <x:row r="7480">
      <x:c r="A7480" s="85"/>
      <x:c r="B7480" s="86"/>
    </x:row>
    <x:row r="7481">
      <x:c r="A7481" s="85"/>
      <x:c r="B7481" s="86"/>
    </x:row>
    <x:row r="7482">
      <x:c r="A7482" s="85"/>
      <x:c r="B7482" s="86"/>
    </x:row>
    <x:row r="7483">
      <x:c r="A7483" s="85"/>
      <x:c r="B7483" s="86"/>
    </x:row>
    <x:row r="7484">
      <x:c r="A7484" s="85"/>
      <x:c r="B7484" s="86"/>
    </x:row>
    <x:row r="7485">
      <x:c r="A7485" s="85"/>
      <x:c r="B7485" s="86"/>
    </x:row>
    <x:row r="7486">
      <x:c r="A7486" s="85"/>
      <x:c r="B7486" s="86"/>
    </x:row>
    <x:row r="7487">
      <x:c r="A7487" s="85"/>
      <x:c r="B7487" s="86"/>
    </x:row>
    <x:row r="7488">
      <x:c r="A7488" s="85"/>
      <x:c r="B7488" s="86"/>
    </x:row>
    <x:row r="7489">
      <x:c r="A7489" s="85"/>
      <x:c r="B7489" s="86"/>
    </x:row>
    <x:row r="7490">
      <x:c r="A7490" s="85"/>
      <x:c r="B7490" s="86"/>
    </x:row>
    <x:row r="7491">
      <x:c r="A7491" s="85"/>
      <x:c r="B7491" s="86"/>
    </x:row>
    <x:row r="7492">
      <x:c r="A7492" s="85"/>
      <x:c r="B7492" s="86"/>
    </x:row>
    <x:row r="7493">
      <x:c r="A7493" s="85"/>
      <x:c r="B7493" s="86"/>
    </x:row>
    <x:row r="7494">
      <x:c r="A7494" s="85"/>
      <x:c r="B7494" s="86"/>
    </x:row>
    <x:row r="7495">
      <x:c r="A7495" s="85"/>
      <x:c r="B7495" s="86"/>
    </x:row>
    <x:row r="7496">
      <x:c r="A7496" s="85"/>
      <x:c r="B7496" s="86"/>
    </x:row>
    <x:row r="7497">
      <x:c r="A7497" s="85"/>
      <x:c r="B7497" s="86"/>
    </x:row>
    <x:row r="7498">
      <x:c r="A7498" s="85"/>
      <x:c r="B7498" s="86"/>
    </x:row>
    <x:row r="7499">
      <x:c r="A7499" s="85"/>
      <x:c r="B7499" s="86"/>
    </x:row>
    <x:row r="7500">
      <x:c r="A7500" s="85"/>
      <x:c r="B7500" s="86"/>
    </x:row>
    <x:row r="7501">
      <x:c r="A7501" s="85"/>
      <x:c r="B7501" s="86"/>
    </x:row>
    <x:row r="7502">
      <x:c r="A7502" s="85"/>
      <x:c r="B7502" s="86"/>
    </x:row>
    <x:row r="7503">
      <x:c r="A7503" s="85"/>
      <x:c r="B7503" s="86"/>
    </x:row>
    <x:row r="7504">
      <x:c r="A7504" s="85"/>
      <x:c r="B7504" s="86"/>
    </x:row>
    <x:row r="7505">
      <x:c r="A7505" s="85"/>
      <x:c r="B7505" s="86"/>
    </x:row>
    <x:row r="7506">
      <x:c r="A7506" s="85"/>
      <x:c r="B7506" s="86"/>
    </x:row>
    <x:row r="7507">
      <x:c r="A7507" s="85"/>
      <x:c r="B7507" s="86"/>
    </x:row>
    <x:row r="7508">
      <x:c r="A7508" s="85"/>
      <x:c r="B7508" s="86"/>
    </x:row>
    <x:row r="7509">
      <x:c r="A7509" s="85"/>
      <x:c r="B7509" s="86"/>
    </x:row>
    <x:row r="7510">
      <x:c r="A7510" s="85"/>
      <x:c r="B7510" s="86"/>
    </x:row>
    <x:row r="7511">
      <x:c r="A7511" s="85"/>
      <x:c r="B7511" s="86"/>
    </x:row>
    <x:row r="7512">
      <x:c r="A7512" s="85"/>
      <x:c r="B7512" s="86"/>
    </x:row>
    <x:row r="7513">
      <x:c r="A7513" s="85"/>
      <x:c r="B7513" s="86"/>
    </x:row>
    <x:row r="7514">
      <x:c r="A7514" s="85"/>
      <x:c r="B7514" s="86"/>
    </x:row>
    <x:row r="7515">
      <x:c r="A7515" s="85"/>
      <x:c r="B7515" s="86"/>
    </x:row>
    <x:row r="7516">
      <x:c r="A7516" s="85"/>
      <x:c r="B7516" s="86"/>
    </x:row>
    <x:row r="7517">
      <x:c r="A7517" s="85"/>
      <x:c r="B7517" s="86"/>
    </x:row>
    <x:row r="7518">
      <x:c r="A7518" s="85"/>
      <x:c r="B7518" s="86"/>
    </x:row>
    <x:row r="7519">
      <x:c r="A7519" s="85"/>
      <x:c r="B7519" s="86"/>
    </x:row>
    <x:row r="7520">
      <x:c r="A7520" s="85"/>
      <x:c r="B7520" s="86"/>
    </x:row>
    <x:row r="7521">
      <x:c r="A7521" s="85"/>
      <x:c r="B7521" s="86"/>
    </x:row>
    <x:row r="7522">
      <x:c r="A7522" s="85"/>
      <x:c r="B7522" s="86"/>
    </x:row>
    <x:row r="7523">
      <x:c r="A7523" s="85"/>
      <x:c r="B7523" s="86"/>
    </x:row>
    <x:row r="7524">
      <x:c r="A7524" s="85"/>
      <x:c r="B7524" s="86"/>
    </x:row>
    <x:row r="7525">
      <x:c r="A7525" s="85"/>
      <x:c r="B7525" s="86"/>
    </x:row>
    <x:row r="7526">
      <x:c r="A7526" s="85"/>
      <x:c r="B7526" s="86"/>
    </x:row>
    <x:row r="7527">
      <x:c r="A7527" s="85"/>
      <x:c r="B7527" s="86"/>
    </x:row>
    <x:row r="7528">
      <x:c r="A7528" s="85"/>
      <x:c r="B7528" s="86"/>
    </x:row>
    <x:row r="7529">
      <x:c r="A7529" s="85"/>
      <x:c r="B7529" s="86"/>
    </x:row>
    <x:row r="7530">
      <x:c r="A7530" s="85"/>
      <x:c r="B7530" s="86"/>
    </x:row>
    <x:row r="7531">
      <x:c r="A7531" s="85"/>
      <x:c r="B7531" s="86"/>
    </x:row>
    <x:row r="7532">
      <x:c r="A7532" s="85"/>
      <x:c r="B7532" s="86"/>
    </x:row>
    <x:row r="7533">
      <x:c r="A7533" s="85"/>
      <x:c r="B7533" s="86"/>
    </x:row>
    <x:row r="7534">
      <x:c r="A7534" s="85"/>
      <x:c r="B7534" s="86"/>
    </x:row>
    <x:row r="7535">
      <x:c r="A7535" s="85"/>
      <x:c r="B7535" s="86"/>
    </x:row>
    <x:row r="7536">
      <x:c r="A7536" s="85"/>
      <x:c r="B7536" s="86"/>
    </x:row>
    <x:row r="7537">
      <x:c r="A7537" s="85"/>
      <x:c r="B7537" s="86"/>
    </x:row>
    <x:row r="7538">
      <x:c r="A7538" s="85"/>
      <x:c r="B7538" s="86"/>
    </x:row>
    <x:row r="7539">
      <x:c r="A7539" s="85"/>
      <x:c r="B7539" s="86"/>
    </x:row>
    <x:row r="7540">
      <x:c r="A7540" s="85"/>
      <x:c r="B7540" s="86"/>
    </x:row>
    <x:row r="7541">
      <x:c r="A7541" s="85"/>
      <x:c r="B7541" s="86"/>
    </x:row>
    <x:row r="7542">
      <x:c r="A7542" s="85"/>
      <x:c r="B7542" s="86"/>
    </x:row>
    <x:row r="7543">
      <x:c r="A7543" s="85"/>
      <x:c r="B7543" s="86"/>
    </x:row>
    <x:row r="7544">
      <x:c r="A7544" s="85"/>
      <x:c r="B7544" s="86"/>
    </x:row>
    <x:row r="7545">
      <x:c r="A7545" s="85"/>
      <x:c r="B7545" s="86"/>
    </x:row>
    <x:row r="7546">
      <x:c r="A7546" s="85"/>
      <x:c r="B7546" s="86"/>
    </x:row>
    <x:row r="7547">
      <x:c r="A7547" s="85"/>
      <x:c r="B7547" s="86"/>
    </x:row>
    <x:row r="7548">
      <x:c r="A7548" s="85"/>
      <x:c r="B7548" s="86"/>
    </x:row>
    <x:row r="7549">
      <x:c r="A7549" s="85"/>
      <x:c r="B7549" s="86"/>
    </x:row>
    <x:row r="7550">
      <x:c r="A7550" s="85"/>
      <x:c r="B7550" s="86"/>
    </x:row>
    <x:row r="7551">
      <x:c r="A7551" s="85"/>
      <x:c r="B7551" s="86"/>
    </x:row>
    <x:row r="7552">
      <x:c r="A7552" s="85"/>
      <x:c r="B7552" s="86"/>
    </x:row>
    <x:row r="7553">
      <x:c r="A7553" s="85"/>
      <x:c r="B7553" s="86"/>
    </x:row>
    <x:row r="7554">
      <x:c r="A7554" s="85"/>
      <x:c r="B7554" s="86"/>
    </x:row>
    <x:row r="7555">
      <x:c r="A7555" s="85"/>
      <x:c r="B7555" s="86"/>
    </x:row>
    <x:row r="7556">
      <x:c r="A7556" s="85"/>
      <x:c r="B7556" s="86"/>
    </x:row>
    <x:row r="7557">
      <x:c r="A7557" s="85"/>
      <x:c r="B7557" s="86"/>
    </x:row>
    <x:row r="7558">
      <x:c r="A7558" s="85"/>
      <x:c r="B7558" s="86"/>
    </x:row>
    <x:row r="7559">
      <x:c r="A7559" s="85"/>
      <x:c r="B7559" s="86"/>
    </x:row>
    <x:row r="7560">
      <x:c r="A7560" s="85"/>
      <x:c r="B7560" s="86"/>
    </x:row>
    <x:row r="7561">
      <x:c r="A7561" s="85"/>
      <x:c r="B7561" s="86"/>
    </x:row>
    <x:row r="7562">
      <x:c r="A7562" s="85"/>
      <x:c r="B7562" s="86"/>
    </x:row>
    <x:row r="7563">
      <x:c r="A7563" s="85"/>
      <x:c r="B7563" s="86"/>
    </x:row>
    <x:row r="7564">
      <x:c r="A7564" s="85"/>
      <x:c r="B7564" s="86"/>
    </x:row>
    <x:row r="7565">
      <x:c r="A7565" s="85"/>
      <x:c r="B7565" s="86"/>
    </x:row>
    <x:row r="7566">
      <x:c r="A7566" s="85"/>
      <x:c r="B7566" s="86"/>
    </x:row>
    <x:row r="7567">
      <x:c r="A7567" s="85"/>
      <x:c r="B7567" s="86"/>
    </x:row>
    <x:row r="7568">
      <x:c r="A7568" s="85"/>
      <x:c r="B7568" s="86"/>
    </x:row>
    <x:row r="7569">
      <x:c r="A7569" s="85"/>
      <x:c r="B7569" s="86"/>
    </x:row>
    <x:row r="7570">
      <x:c r="A7570" s="85"/>
      <x:c r="B7570" s="86"/>
    </x:row>
    <x:row r="7571">
      <x:c r="A7571" s="85"/>
      <x:c r="B7571" s="86"/>
    </x:row>
    <x:row r="7572">
      <x:c r="A7572" s="85"/>
      <x:c r="B7572" s="86"/>
    </x:row>
    <x:row r="7573">
      <x:c r="A7573" s="85"/>
      <x:c r="B7573" s="86"/>
    </x:row>
    <x:row r="7574">
      <x:c r="A7574" s="85"/>
      <x:c r="B7574" s="86"/>
    </x:row>
    <x:row r="7575">
      <x:c r="A7575" s="85"/>
      <x:c r="B7575" s="86"/>
    </x:row>
    <x:row r="7576">
      <x:c r="A7576" s="85"/>
      <x:c r="B7576" s="86"/>
    </x:row>
    <x:row r="7577">
      <x:c r="A7577" s="85"/>
      <x:c r="B7577" s="86"/>
    </x:row>
    <x:row r="7578">
      <x:c r="A7578" s="85"/>
      <x:c r="B7578" s="86"/>
    </x:row>
    <x:row r="7579">
      <x:c r="A7579" s="85"/>
      <x:c r="B7579" s="86"/>
    </x:row>
    <x:row r="7580">
      <x:c r="A7580" s="85"/>
      <x:c r="B7580" s="86"/>
    </x:row>
    <x:row r="7581">
      <x:c r="A7581" s="85"/>
      <x:c r="B7581" s="86"/>
    </x:row>
    <x:row r="7582">
      <x:c r="A7582" s="85"/>
      <x:c r="B7582" s="86"/>
    </x:row>
    <x:row r="7583">
      <x:c r="A7583" s="85"/>
      <x:c r="B7583" s="86"/>
    </x:row>
    <x:row r="7584">
      <x:c r="A7584" s="85"/>
      <x:c r="B7584" s="86"/>
    </x:row>
    <x:row r="7585">
      <x:c r="A7585" s="85"/>
      <x:c r="B7585" s="86"/>
    </x:row>
    <x:row r="7586">
      <x:c r="A7586" s="85"/>
      <x:c r="B7586" s="86"/>
    </x:row>
    <x:row r="7587">
      <x:c r="A7587" s="85"/>
      <x:c r="B7587" s="86"/>
    </x:row>
    <x:row r="7588">
      <x:c r="A7588" s="85"/>
      <x:c r="B7588" s="86"/>
    </x:row>
    <x:row r="7589">
      <x:c r="A7589" s="85"/>
      <x:c r="B7589" s="86"/>
    </x:row>
    <x:row r="7590">
      <x:c r="A7590" s="85"/>
      <x:c r="B7590" s="86"/>
    </x:row>
    <x:row r="7591">
      <x:c r="A7591" s="85"/>
      <x:c r="B7591" s="86"/>
    </x:row>
    <x:row r="7592">
      <x:c r="A7592" s="85"/>
      <x:c r="B7592" s="86"/>
    </x:row>
    <x:row r="7593">
      <x:c r="A7593" s="85"/>
      <x:c r="B7593" s="86"/>
    </x:row>
    <x:row r="7594">
      <x:c r="A7594" s="85"/>
      <x:c r="B7594" s="86"/>
    </x:row>
    <x:row r="7595">
      <x:c r="A7595" s="85"/>
      <x:c r="B7595" s="86"/>
    </x:row>
    <x:row r="7596">
      <x:c r="A7596" s="85"/>
      <x:c r="B7596" s="86"/>
    </x:row>
    <x:row r="7597">
      <x:c r="A7597" s="85"/>
      <x:c r="B7597" s="86"/>
    </x:row>
    <x:row r="7598">
      <x:c r="A7598" s="85"/>
      <x:c r="B7598" s="86"/>
    </x:row>
    <x:row r="7599">
      <x:c r="A7599" s="85"/>
      <x:c r="B7599" s="86"/>
    </x:row>
    <x:row r="7600">
      <x:c r="A7600" s="85"/>
      <x:c r="B7600" s="86"/>
    </x:row>
    <x:row r="7601">
      <x:c r="A7601" s="85"/>
      <x:c r="B7601" s="86"/>
    </x:row>
    <x:row r="7602">
      <x:c r="A7602" s="85"/>
      <x:c r="B7602" s="86"/>
    </x:row>
    <x:row r="7603">
      <x:c r="A7603" s="85"/>
      <x:c r="B7603" s="86"/>
    </x:row>
    <x:row r="7604">
      <x:c r="A7604" s="85"/>
      <x:c r="B7604" s="86"/>
    </x:row>
    <x:row r="7605">
      <x:c r="A7605" s="85"/>
      <x:c r="B7605" s="86"/>
    </x:row>
    <x:row r="7606">
      <x:c r="A7606" s="85"/>
      <x:c r="B7606" s="86"/>
    </x:row>
    <x:row r="7607">
      <x:c r="A7607" s="85"/>
      <x:c r="B7607" s="86"/>
    </x:row>
    <x:row r="7608">
      <x:c r="A7608" s="85"/>
      <x:c r="B7608" s="86"/>
    </x:row>
    <x:row r="7609">
      <x:c r="A7609" s="85"/>
      <x:c r="B7609" s="86"/>
    </x:row>
    <x:row r="7610">
      <x:c r="A7610" s="85"/>
      <x:c r="B7610" s="86"/>
    </x:row>
    <x:row r="7611">
      <x:c r="A7611" s="85"/>
      <x:c r="B7611" s="86"/>
    </x:row>
    <x:row r="7612">
      <x:c r="A7612" s="85"/>
      <x:c r="B7612" s="86"/>
    </x:row>
    <x:row r="7613">
      <x:c r="A7613" s="85"/>
      <x:c r="B7613" s="86"/>
    </x:row>
    <x:row r="7614">
      <x:c r="A7614" s="85"/>
      <x:c r="B7614" s="86"/>
    </x:row>
    <x:row r="7615">
      <x:c r="A7615" s="85"/>
      <x:c r="B7615" s="86"/>
    </x:row>
    <x:row r="7616">
      <x:c r="A7616" s="85"/>
      <x:c r="B7616" s="86"/>
    </x:row>
    <x:row r="7617">
      <x:c r="A7617" s="85"/>
      <x:c r="B7617" s="86"/>
    </x:row>
    <x:row r="7618">
      <x:c r="A7618" s="85"/>
      <x:c r="B7618" s="86"/>
    </x:row>
    <x:row r="7619">
      <x:c r="A7619" s="85"/>
      <x:c r="B7619" s="86"/>
    </x:row>
    <x:row r="7620">
      <x:c r="A7620" s="85"/>
      <x:c r="B7620" s="86"/>
    </x:row>
    <x:row r="7621">
      <x:c r="A7621" s="85"/>
      <x:c r="B7621" s="86"/>
    </x:row>
    <x:row r="7622">
      <x:c r="A7622" s="85"/>
      <x:c r="B7622" s="86"/>
    </x:row>
    <x:row r="7623">
      <x:c r="A7623" s="85"/>
      <x:c r="B7623" s="86"/>
    </x:row>
    <x:row r="7624">
      <x:c r="A7624" s="85"/>
      <x:c r="B7624" s="86"/>
    </x:row>
    <x:row r="7625">
      <x:c r="A7625" s="85"/>
      <x:c r="B7625" s="86"/>
    </x:row>
    <x:row r="7626">
      <x:c r="A7626" s="85"/>
      <x:c r="B7626" s="86"/>
    </x:row>
    <x:row r="7627">
      <x:c r="A7627" s="85"/>
      <x:c r="B7627" s="86"/>
    </x:row>
    <x:row r="7628">
      <x:c r="A7628" s="85"/>
      <x:c r="B7628" s="86"/>
    </x:row>
    <x:row r="7629">
      <x:c r="A7629" s="85"/>
      <x:c r="B7629" s="86"/>
    </x:row>
    <x:row r="7630">
      <x:c r="A7630" s="85"/>
      <x:c r="B7630" s="86"/>
    </x:row>
    <x:row r="7631">
      <x:c r="A7631" s="85"/>
      <x:c r="B7631" s="86"/>
    </x:row>
    <x:row r="7632">
      <x:c r="A7632" s="85"/>
      <x:c r="B7632" s="86"/>
    </x:row>
    <x:row r="7633">
      <x:c r="A7633" s="85"/>
      <x:c r="B7633" s="86"/>
    </x:row>
    <x:row r="7634">
      <x:c r="A7634" s="85"/>
      <x:c r="B7634" s="86"/>
    </x:row>
    <x:row r="7635">
      <x:c r="A7635" s="85"/>
      <x:c r="B7635" s="86"/>
    </x:row>
    <x:row r="7636">
      <x:c r="A7636" s="85"/>
      <x:c r="B7636" s="86"/>
    </x:row>
    <x:row r="7637">
      <x:c r="A7637" s="85"/>
      <x:c r="B7637" s="86"/>
    </x:row>
    <x:row r="7638">
      <x:c r="A7638" s="85"/>
      <x:c r="B7638" s="86"/>
    </x:row>
    <x:row r="7639">
      <x:c r="A7639" s="85"/>
      <x:c r="B7639" s="86"/>
    </x:row>
    <x:row r="7640">
      <x:c r="A7640" s="85"/>
      <x:c r="B7640" s="86"/>
    </x:row>
    <x:row r="7641">
      <x:c r="A7641" s="85"/>
      <x:c r="B7641" s="86"/>
    </x:row>
    <x:row r="7642">
      <x:c r="A7642" s="85"/>
      <x:c r="B7642" s="86"/>
    </x:row>
    <x:row r="7643">
      <x:c r="A7643" s="85"/>
      <x:c r="B7643" s="86"/>
    </x:row>
    <x:row r="7644">
      <x:c r="A7644" s="85"/>
      <x:c r="B7644" s="86"/>
    </x:row>
    <x:row r="7645">
      <x:c r="A7645" s="85"/>
      <x:c r="B7645" s="86"/>
    </x:row>
    <x:row r="7646">
      <x:c r="A7646" s="85"/>
      <x:c r="B7646" s="86"/>
    </x:row>
    <x:row r="7647">
      <x:c r="A7647" s="85"/>
      <x:c r="B7647" s="86"/>
    </x:row>
    <x:row r="7648">
      <x:c r="A7648" s="85"/>
      <x:c r="B7648" s="86"/>
    </x:row>
    <x:row r="7649">
      <x:c r="A7649" s="85"/>
      <x:c r="B7649" s="86"/>
    </x:row>
    <x:row r="7650">
      <x:c r="A7650" s="85"/>
      <x:c r="B7650" s="86"/>
    </x:row>
    <x:row r="7651">
      <x:c r="A7651" s="85"/>
      <x:c r="B7651" s="86"/>
    </x:row>
    <x:row r="7652">
      <x:c r="A7652" s="85"/>
      <x:c r="B7652" s="86"/>
    </x:row>
    <x:row r="7653">
      <x:c r="A7653" s="85"/>
      <x:c r="B7653" s="86"/>
    </x:row>
    <x:row r="7654">
      <x:c r="A7654" s="85"/>
      <x:c r="B7654" s="86"/>
    </x:row>
    <x:row r="7655">
      <x:c r="A7655" s="85"/>
      <x:c r="B7655" s="86"/>
    </x:row>
    <x:row r="7656">
      <x:c r="A7656" s="85"/>
      <x:c r="B7656" s="86"/>
    </x:row>
    <x:row r="7657">
      <x:c r="A7657" s="85"/>
      <x:c r="B7657" s="86"/>
    </x:row>
    <x:row r="7658">
      <x:c r="A7658" s="85"/>
      <x:c r="B7658" s="86"/>
    </x:row>
    <x:row r="7659">
      <x:c r="A7659" s="85"/>
      <x:c r="B7659" s="86"/>
    </x:row>
    <x:row r="7660">
      <x:c r="A7660" s="85"/>
      <x:c r="B7660" s="86"/>
    </x:row>
    <x:row r="7661">
      <x:c r="A7661" s="85"/>
      <x:c r="B7661" s="86"/>
    </x:row>
    <x:row r="7662">
      <x:c r="A7662" s="85"/>
      <x:c r="B7662" s="86"/>
    </x:row>
    <x:row r="7663">
      <x:c r="A7663" s="85"/>
      <x:c r="B7663" s="86"/>
    </x:row>
    <x:row r="7664">
      <x:c r="A7664" s="85"/>
      <x:c r="B7664" s="86"/>
    </x:row>
    <x:row r="7665">
      <x:c r="A7665" s="85"/>
      <x:c r="B7665" s="86"/>
    </x:row>
    <x:row r="7666">
      <x:c r="A7666" s="85"/>
      <x:c r="B7666" s="86"/>
    </x:row>
    <x:row r="7667">
      <x:c r="A7667" s="85"/>
      <x:c r="B7667" s="86"/>
    </x:row>
    <x:row r="7668">
      <x:c r="A7668" s="85"/>
      <x:c r="B7668" s="86"/>
    </x:row>
    <x:row r="7669">
      <x:c r="A7669" s="85"/>
      <x:c r="B7669" s="86"/>
    </x:row>
    <x:row r="7670">
      <x:c r="A7670" s="85"/>
      <x:c r="B7670" s="86"/>
    </x:row>
    <x:row r="7671">
      <x:c r="A7671" s="85"/>
      <x:c r="B7671" s="86"/>
    </x:row>
    <x:row r="7672">
      <x:c r="A7672" s="85"/>
      <x:c r="B7672" s="86"/>
    </x:row>
    <x:row r="7673">
      <x:c r="A7673" s="85"/>
      <x:c r="B7673" s="86"/>
    </x:row>
    <x:row r="7674">
      <x:c r="A7674" s="85"/>
      <x:c r="B7674" s="86"/>
    </x:row>
    <x:row r="7675">
      <x:c r="A7675" s="85"/>
      <x:c r="B7675" s="86"/>
    </x:row>
    <x:row r="7676">
      <x:c r="A7676" s="85"/>
      <x:c r="B7676" s="86"/>
    </x:row>
    <x:row r="7677">
      <x:c r="A7677" s="85"/>
      <x:c r="B7677" s="86"/>
    </x:row>
    <x:row r="7678">
      <x:c r="A7678" s="85"/>
      <x:c r="B7678" s="86"/>
    </x:row>
    <x:row r="7679">
      <x:c r="A7679" s="85"/>
      <x:c r="B7679" s="86"/>
    </x:row>
    <x:row r="7680">
      <x:c r="A7680" s="85"/>
      <x:c r="B7680" s="86"/>
    </x:row>
    <x:row r="7681">
      <x:c r="A7681" s="85"/>
      <x:c r="B7681" s="86"/>
    </x:row>
    <x:row r="7682">
      <x:c r="A7682" s="85"/>
      <x:c r="B7682" s="86"/>
    </x:row>
    <x:row r="7683">
      <x:c r="A7683" s="85"/>
      <x:c r="B7683" s="86"/>
    </x:row>
    <x:row r="7684">
      <x:c r="A7684" s="85"/>
      <x:c r="B7684" s="86"/>
    </x:row>
    <x:row r="7685">
      <x:c r="A7685" s="85"/>
      <x:c r="B7685" s="86"/>
    </x:row>
    <x:row r="7686">
      <x:c r="A7686" s="85"/>
      <x:c r="B7686" s="86"/>
    </x:row>
    <x:row r="7687">
      <x:c r="A7687" s="85"/>
      <x:c r="B7687" s="86"/>
    </x:row>
    <x:row r="7688">
      <x:c r="A7688" s="85"/>
      <x:c r="B7688" s="86"/>
    </x:row>
    <x:row r="7689">
      <x:c r="A7689" s="85"/>
      <x:c r="B7689" s="86"/>
    </x:row>
    <x:row r="7690">
      <x:c r="A7690" s="85"/>
      <x:c r="B7690" s="86"/>
    </x:row>
    <x:row r="7691">
      <x:c r="A7691" s="85"/>
      <x:c r="B7691" s="86"/>
    </x:row>
    <x:row r="7692">
      <x:c r="A7692" s="85"/>
      <x:c r="B7692" s="86"/>
    </x:row>
    <x:row r="7693">
      <x:c r="A7693" s="85"/>
      <x:c r="B7693" s="86"/>
    </x:row>
    <x:row r="7694">
      <x:c r="A7694" s="85"/>
      <x:c r="B7694" s="86"/>
    </x:row>
    <x:row r="7695">
      <x:c r="A7695" s="85"/>
      <x:c r="B7695" s="86"/>
    </x:row>
    <x:row r="7696">
      <x:c r="A7696" s="85"/>
      <x:c r="B7696" s="86"/>
    </x:row>
    <x:row r="7697">
      <x:c r="A7697" s="85"/>
      <x:c r="B7697" s="86"/>
    </x:row>
    <x:row r="7698">
      <x:c r="A7698" s="85"/>
      <x:c r="B7698" s="86"/>
    </x:row>
    <x:row r="7699">
      <x:c r="A7699" s="85"/>
      <x:c r="B7699" s="86"/>
    </x:row>
    <x:row r="7700">
      <x:c r="A7700" s="85"/>
      <x:c r="B7700" s="86"/>
    </x:row>
    <x:row r="7701">
      <x:c r="A7701" s="85"/>
      <x:c r="B7701" s="86"/>
    </x:row>
    <x:row r="7702">
      <x:c r="A7702" s="85"/>
      <x:c r="B7702" s="86"/>
    </x:row>
    <x:row r="7703">
      <x:c r="A7703" s="85"/>
      <x:c r="B7703" s="86"/>
    </x:row>
    <x:row r="7704">
      <x:c r="A7704" s="85"/>
      <x:c r="B7704" s="86"/>
    </x:row>
    <x:row r="7705">
      <x:c r="A7705" s="85"/>
      <x:c r="B7705" s="86"/>
    </x:row>
    <x:row r="7706">
      <x:c r="A7706" s="85"/>
      <x:c r="B7706" s="86"/>
    </x:row>
    <x:row r="7707">
      <x:c r="A7707" s="85"/>
      <x:c r="B7707" s="86"/>
    </x:row>
    <x:row r="7708">
      <x:c r="A7708" s="85"/>
      <x:c r="B7708" s="86"/>
    </x:row>
    <x:row r="7709">
      <x:c r="A7709" s="85"/>
      <x:c r="B7709" s="86"/>
    </x:row>
    <x:row r="7710">
      <x:c r="A7710" s="85"/>
      <x:c r="B7710" s="86"/>
    </x:row>
    <x:row r="7711">
      <x:c r="A7711" s="85"/>
      <x:c r="B7711" s="86"/>
    </x:row>
    <x:row r="7712">
      <x:c r="A7712" s="85"/>
      <x:c r="B7712" s="86"/>
    </x:row>
    <x:row r="7713">
      <x:c r="A7713" s="85"/>
      <x:c r="B7713" s="86"/>
    </x:row>
    <x:row r="7714">
      <x:c r="A7714" s="85"/>
      <x:c r="B7714" s="86"/>
    </x:row>
    <x:row r="7715">
      <x:c r="A7715" s="85"/>
      <x:c r="B7715" s="86"/>
    </x:row>
    <x:row r="7716">
      <x:c r="A7716" s="85"/>
      <x:c r="B7716" s="86"/>
    </x:row>
    <x:row r="7717">
      <x:c r="A7717" s="85"/>
      <x:c r="B7717" s="86"/>
    </x:row>
    <x:row r="7718">
      <x:c r="A7718" s="85"/>
      <x:c r="B7718" s="86"/>
    </x:row>
    <x:row r="7719">
      <x:c r="A7719" s="85"/>
      <x:c r="B7719" s="86"/>
    </x:row>
    <x:row r="7720">
      <x:c r="A7720" s="85"/>
      <x:c r="B7720" s="86"/>
    </x:row>
    <x:row r="7721">
      <x:c r="A7721" s="85"/>
      <x:c r="B7721" s="86"/>
    </x:row>
    <x:row r="7722">
      <x:c r="A7722" s="85"/>
      <x:c r="B7722" s="86"/>
    </x:row>
    <x:row r="7723">
      <x:c r="A7723" s="85"/>
      <x:c r="B7723" s="86"/>
    </x:row>
    <x:row r="7724">
      <x:c r="A7724" s="85"/>
      <x:c r="B7724" s="86"/>
    </x:row>
    <x:row r="7725">
      <x:c r="A7725" s="85"/>
      <x:c r="B7725" s="86"/>
    </x:row>
    <x:row r="7726">
      <x:c r="A7726" s="85"/>
      <x:c r="B7726" s="86"/>
    </x:row>
    <x:row r="7727">
      <x:c r="A7727" s="85"/>
      <x:c r="B7727" s="86"/>
    </x:row>
    <x:row r="7728">
      <x:c r="A7728" s="85"/>
      <x:c r="B7728" s="86"/>
    </x:row>
    <x:row r="7729">
      <x:c r="A7729" s="85"/>
      <x:c r="B7729" s="86"/>
    </x:row>
    <x:row r="7730">
      <x:c r="A7730" s="85"/>
      <x:c r="B7730" s="86"/>
    </x:row>
    <x:row r="7731">
      <x:c r="A7731" s="85"/>
      <x:c r="B7731" s="86"/>
    </x:row>
    <x:row r="7732">
      <x:c r="A7732" s="85"/>
      <x:c r="B7732" s="86"/>
    </x:row>
    <x:row r="7733">
      <x:c r="A7733" s="85"/>
      <x:c r="B7733" s="86"/>
    </x:row>
    <x:row r="7734">
      <x:c r="A7734" s="85"/>
      <x:c r="B7734" s="86"/>
    </x:row>
    <x:row r="7735">
      <x:c r="A7735" s="85"/>
      <x:c r="B7735" s="86"/>
    </x:row>
    <x:row r="7736">
      <x:c r="A7736" s="85"/>
      <x:c r="B7736" s="86"/>
    </x:row>
    <x:row r="7737">
      <x:c r="A7737" s="85"/>
      <x:c r="B7737" s="86"/>
    </x:row>
    <x:row r="7738">
      <x:c r="A7738" s="85"/>
      <x:c r="B7738" s="86"/>
    </x:row>
    <x:row r="7739">
      <x:c r="A7739" s="85"/>
      <x:c r="B7739" s="86"/>
    </x:row>
    <x:row r="7740">
      <x:c r="A7740" s="85"/>
      <x:c r="B7740" s="86"/>
    </x:row>
    <x:row r="7741">
      <x:c r="A7741" s="85"/>
      <x:c r="B7741" s="86"/>
    </x:row>
    <x:row r="7742">
      <x:c r="A7742" s="85"/>
      <x:c r="B7742" s="86"/>
    </x:row>
    <x:row r="7743">
      <x:c r="A7743" s="85"/>
      <x:c r="B7743" s="86"/>
    </x:row>
    <x:row r="7744">
      <x:c r="A7744" s="85"/>
      <x:c r="B7744" s="86"/>
    </x:row>
    <x:row r="7745">
      <x:c r="A7745" s="85"/>
      <x:c r="B7745" s="86"/>
    </x:row>
    <x:row r="7746">
      <x:c r="A7746" s="85"/>
      <x:c r="B7746" s="86"/>
    </x:row>
    <x:row r="7747">
      <x:c r="A7747" s="85"/>
      <x:c r="B7747" s="86"/>
    </x:row>
    <x:row r="7748">
      <x:c r="A7748" s="85"/>
      <x:c r="B7748" s="86"/>
    </x:row>
    <x:row r="7749">
      <x:c r="A7749" s="85"/>
      <x:c r="B7749" s="86"/>
    </x:row>
    <x:row r="7750">
      <x:c r="A7750" s="85"/>
      <x:c r="B7750" s="86"/>
    </x:row>
    <x:row r="7751">
      <x:c r="A7751" s="85"/>
      <x:c r="B7751" s="86"/>
    </x:row>
    <x:row r="7752">
      <x:c r="A7752" s="85"/>
      <x:c r="B7752" s="86"/>
    </x:row>
    <x:row r="7753">
      <x:c r="A7753" s="85"/>
      <x:c r="B7753" s="86"/>
    </x:row>
    <x:row r="7754">
      <x:c r="A7754" s="85"/>
      <x:c r="B7754" s="86"/>
    </x:row>
    <x:row r="7755">
      <x:c r="A7755" s="85"/>
      <x:c r="B7755" s="86"/>
    </x:row>
    <x:row r="7756">
      <x:c r="A7756" s="85"/>
      <x:c r="B7756" s="86"/>
    </x:row>
    <x:row r="7757">
      <x:c r="A7757" s="85"/>
      <x:c r="B7757" s="86"/>
    </x:row>
    <x:row r="7758">
      <x:c r="A7758" s="85"/>
      <x:c r="B7758" s="86"/>
    </x:row>
    <x:row r="7759">
      <x:c r="A7759" s="85"/>
      <x:c r="B7759" s="86"/>
    </x:row>
    <x:row r="7760">
      <x:c r="A7760" s="85"/>
      <x:c r="B7760" s="86"/>
    </x:row>
    <x:row r="7761">
      <x:c r="A7761" s="85"/>
      <x:c r="B7761" s="86"/>
    </x:row>
    <x:row r="7762">
      <x:c r="A7762" s="85"/>
      <x:c r="B7762" s="86"/>
    </x:row>
    <x:row r="7763">
      <x:c r="A7763" s="85"/>
      <x:c r="B7763" s="86"/>
    </x:row>
    <x:row r="7764">
      <x:c r="A7764" s="85"/>
      <x:c r="B7764" s="86"/>
    </x:row>
    <x:row r="7765">
      <x:c r="A7765" s="85"/>
      <x:c r="B7765" s="86"/>
    </x:row>
    <x:row r="7766">
      <x:c r="A7766" s="85"/>
      <x:c r="B7766" s="86"/>
    </x:row>
    <x:row r="7767">
      <x:c r="A7767" s="85"/>
      <x:c r="B7767" s="86"/>
    </x:row>
    <x:row r="7768">
      <x:c r="A7768" s="85"/>
      <x:c r="B7768" s="86"/>
    </x:row>
    <x:row r="7769">
      <x:c r="A7769" s="85"/>
      <x:c r="B7769" s="86"/>
    </x:row>
    <x:row r="7770">
      <x:c r="A7770" s="85"/>
      <x:c r="B7770" s="86"/>
    </x:row>
    <x:row r="7771">
      <x:c r="A7771" s="85"/>
      <x:c r="B7771" s="86"/>
    </x:row>
    <x:row r="7772">
      <x:c r="A7772" s="85"/>
      <x:c r="B7772" s="86"/>
    </x:row>
    <x:row r="7773">
      <x:c r="A7773" s="85"/>
      <x:c r="B7773" s="86"/>
    </x:row>
    <x:row r="7774">
      <x:c r="A7774" s="85"/>
      <x:c r="B7774" s="86"/>
    </x:row>
    <x:row r="7775">
      <x:c r="A7775" s="85"/>
      <x:c r="B7775" s="86"/>
    </x:row>
    <x:row r="7776">
      <x:c r="A7776" s="85"/>
      <x:c r="B7776" s="86"/>
    </x:row>
    <x:row r="7777">
      <x:c r="A7777" s="85"/>
      <x:c r="B7777" s="86"/>
    </x:row>
    <x:row r="7778">
      <x:c r="A7778" s="85"/>
      <x:c r="B7778" s="86"/>
    </x:row>
    <x:row r="7779">
      <x:c r="A7779" s="85"/>
      <x:c r="B7779" s="86"/>
    </x:row>
    <x:row r="7780">
      <x:c r="A7780" s="85"/>
      <x:c r="B7780" s="86"/>
    </x:row>
    <x:row r="7781">
      <x:c r="A7781" s="85"/>
      <x:c r="B7781" s="86"/>
    </x:row>
    <x:row r="7782">
      <x:c r="A7782" s="85"/>
      <x:c r="B7782" s="86"/>
    </x:row>
    <x:row r="7783">
      <x:c r="A7783" s="85"/>
      <x:c r="B7783" s="86"/>
    </x:row>
    <x:row r="7784">
      <x:c r="A7784" s="85"/>
      <x:c r="B7784" s="86"/>
    </x:row>
    <x:row r="7785">
      <x:c r="A7785" s="85"/>
      <x:c r="B7785" s="86"/>
    </x:row>
    <x:row r="7786">
      <x:c r="A7786" s="85"/>
      <x:c r="B7786" s="86"/>
    </x:row>
    <x:row r="7787">
      <x:c r="A7787" s="85"/>
      <x:c r="B7787" s="86"/>
    </x:row>
    <x:row r="7788">
      <x:c r="A7788" s="85"/>
      <x:c r="B7788" s="86"/>
    </x:row>
    <x:row r="7789">
      <x:c r="A7789" s="85"/>
      <x:c r="B7789" s="86"/>
    </x:row>
    <x:row r="7790">
      <x:c r="A7790" s="85"/>
      <x:c r="B7790" s="86"/>
    </x:row>
    <x:row r="7791">
      <x:c r="A7791" s="85"/>
      <x:c r="B7791" s="86"/>
    </x:row>
    <x:row r="7792">
      <x:c r="A7792" s="85"/>
      <x:c r="B7792" s="86"/>
    </x:row>
    <x:row r="7793">
      <x:c r="A7793" s="85"/>
      <x:c r="B7793" s="86"/>
    </x:row>
    <x:row r="7794">
      <x:c r="A7794" s="85"/>
      <x:c r="B7794" s="86"/>
    </x:row>
    <x:row r="7795">
      <x:c r="A7795" s="85"/>
      <x:c r="B7795" s="86"/>
    </x:row>
    <x:row r="7796">
      <x:c r="A7796" s="85"/>
      <x:c r="B7796" s="86"/>
    </x:row>
    <x:row r="7797">
      <x:c r="A7797" s="85"/>
      <x:c r="B7797" s="86"/>
    </x:row>
    <x:row r="7798">
      <x:c r="A7798" s="85"/>
      <x:c r="B7798" s="86"/>
    </x:row>
    <x:row r="7799">
      <x:c r="A7799" s="85"/>
      <x:c r="B7799" s="86"/>
    </x:row>
    <x:row r="7800">
      <x:c r="A7800" s="85"/>
      <x:c r="B7800" s="86"/>
    </x:row>
    <x:row r="7801">
      <x:c r="A7801" s="85"/>
      <x:c r="B7801" s="86"/>
    </x:row>
    <x:row r="7802">
      <x:c r="A7802" s="85"/>
      <x:c r="B7802" s="86"/>
    </x:row>
    <x:row r="7803">
      <x:c r="A7803" s="85"/>
      <x:c r="B7803" s="86"/>
    </x:row>
    <x:row r="7804">
      <x:c r="A7804" s="85"/>
      <x:c r="B7804" s="86"/>
    </x:row>
    <x:row r="7805">
      <x:c r="A7805" s="85"/>
      <x:c r="B7805" s="86"/>
    </x:row>
    <x:row r="7806">
      <x:c r="A7806" s="85"/>
      <x:c r="B7806" s="86"/>
    </x:row>
    <x:row r="7807">
      <x:c r="A7807" s="85"/>
      <x:c r="B7807" s="86"/>
    </x:row>
    <x:row r="7808">
      <x:c r="A7808" s="85"/>
      <x:c r="B7808" s="86"/>
    </x:row>
    <x:row r="7809">
      <x:c r="A7809" s="85"/>
      <x:c r="B7809" s="86"/>
    </x:row>
    <x:row r="7810">
      <x:c r="A7810" s="85"/>
      <x:c r="B7810" s="86"/>
    </x:row>
    <x:row r="7811">
      <x:c r="A7811" s="85"/>
      <x:c r="B7811" s="86"/>
    </x:row>
    <x:row r="7812">
      <x:c r="A7812" s="85"/>
      <x:c r="B7812" s="86"/>
    </x:row>
    <x:row r="7813">
      <x:c r="A7813" s="85"/>
      <x:c r="B7813" s="86"/>
    </x:row>
    <x:row r="7814">
      <x:c r="A7814" s="85"/>
      <x:c r="B7814" s="86"/>
    </x:row>
    <x:row r="7815">
      <x:c r="A7815" s="85"/>
      <x:c r="B7815" s="86"/>
    </x:row>
    <x:row r="7816">
      <x:c r="A7816" s="85"/>
      <x:c r="B7816" s="86"/>
    </x:row>
    <x:row r="7817">
      <x:c r="A7817" s="85"/>
      <x:c r="B7817" s="86"/>
    </x:row>
    <x:row r="7818">
      <x:c r="A7818" s="85"/>
      <x:c r="B7818" s="86"/>
    </x:row>
    <x:row r="7819">
      <x:c r="A7819" s="85"/>
      <x:c r="B7819" s="86"/>
    </x:row>
    <x:row r="7820">
      <x:c r="A7820" s="85"/>
      <x:c r="B7820" s="86"/>
    </x:row>
    <x:row r="7821">
      <x:c r="A7821" s="85"/>
      <x:c r="B7821" s="86"/>
    </x:row>
    <x:row r="7822">
      <x:c r="A7822" s="85"/>
      <x:c r="B7822" s="86"/>
    </x:row>
    <x:row r="7823">
      <x:c r="A7823" s="85"/>
      <x:c r="B7823" s="86"/>
    </x:row>
    <x:row r="7824">
      <x:c r="A7824" s="85"/>
      <x:c r="B7824" s="86"/>
    </x:row>
    <x:row r="7825">
      <x:c r="A7825" s="85"/>
      <x:c r="B7825" s="86"/>
    </x:row>
    <x:row r="7826">
      <x:c r="A7826" s="85"/>
      <x:c r="B7826" s="86"/>
    </x:row>
    <x:row r="7827">
      <x:c r="A7827" s="85"/>
      <x:c r="B7827" s="86"/>
    </x:row>
    <x:row r="7828">
      <x:c r="A7828" s="85"/>
      <x:c r="B7828" s="86"/>
    </x:row>
    <x:row r="7829">
      <x:c r="A7829" s="85"/>
      <x:c r="B7829" s="86"/>
    </x:row>
    <x:row r="7830">
      <x:c r="A7830" s="85"/>
      <x:c r="B7830" s="86"/>
    </x:row>
    <x:row r="7831">
      <x:c r="A7831" s="85"/>
      <x:c r="B7831" s="86"/>
    </x:row>
    <x:row r="7832">
      <x:c r="A7832" s="85"/>
      <x:c r="B7832" s="86"/>
    </x:row>
    <x:row r="7833">
      <x:c r="A7833" s="85"/>
      <x:c r="B7833" s="86"/>
    </x:row>
    <x:row r="7834">
      <x:c r="A7834" s="85"/>
      <x:c r="B7834" s="86"/>
    </x:row>
    <x:row r="7835">
      <x:c r="A7835" s="85"/>
      <x:c r="B7835" s="86"/>
    </x:row>
    <x:row r="7836">
      <x:c r="A7836" s="85"/>
      <x:c r="B7836" s="86"/>
    </x:row>
    <x:row r="7837">
      <x:c r="A7837" s="85"/>
      <x:c r="B7837" s="86"/>
    </x:row>
    <x:row r="7838">
      <x:c r="A7838" s="85"/>
      <x:c r="B7838" s="86"/>
    </x:row>
    <x:row r="7839">
      <x:c r="A7839" s="85"/>
      <x:c r="B7839" s="86"/>
    </x:row>
    <x:row r="7840">
      <x:c r="A7840" s="85"/>
      <x:c r="B7840" s="86"/>
    </x:row>
    <x:row r="7841">
      <x:c r="A7841" s="85"/>
      <x:c r="B7841" s="86"/>
    </x:row>
    <x:row r="7842">
      <x:c r="A7842" s="85"/>
      <x:c r="B7842" s="86"/>
    </x:row>
    <x:row r="7843">
      <x:c r="A7843" s="85"/>
      <x:c r="B7843" s="86"/>
    </x:row>
    <x:row r="7844">
      <x:c r="A7844" s="85"/>
      <x:c r="B7844" s="86"/>
    </x:row>
    <x:row r="7845">
      <x:c r="A7845" s="85"/>
      <x:c r="B7845" s="86"/>
    </x:row>
    <x:row r="7846">
      <x:c r="A7846" s="85"/>
      <x:c r="B7846" s="86"/>
    </x:row>
    <x:row r="7847">
      <x:c r="A7847" s="85"/>
      <x:c r="B7847" s="86"/>
    </x:row>
    <x:row r="7848">
      <x:c r="A7848" s="85"/>
      <x:c r="B7848" s="86"/>
    </x:row>
    <x:row r="7849">
      <x:c r="A7849" s="85"/>
      <x:c r="B7849" s="86"/>
    </x:row>
    <x:row r="7850">
      <x:c r="A7850" s="85"/>
      <x:c r="B7850" s="86"/>
    </x:row>
    <x:row r="7851">
      <x:c r="A7851" s="85"/>
      <x:c r="B7851" s="86"/>
    </x:row>
    <x:row r="7852">
      <x:c r="A7852" s="85"/>
      <x:c r="B7852" s="86"/>
    </x:row>
    <x:row r="7853">
      <x:c r="A7853" s="85"/>
      <x:c r="B7853" s="86"/>
    </x:row>
    <x:row r="7854">
      <x:c r="A7854" s="85"/>
      <x:c r="B7854" s="86"/>
    </x:row>
    <x:row r="7855">
      <x:c r="A7855" s="85"/>
      <x:c r="B7855" s="86"/>
    </x:row>
    <x:row r="7856">
      <x:c r="A7856" s="85"/>
      <x:c r="B7856" s="86"/>
    </x:row>
    <x:row r="7857">
      <x:c r="A7857" s="85"/>
      <x:c r="B7857" s="86"/>
    </x:row>
    <x:row r="7858">
      <x:c r="A7858" s="85"/>
      <x:c r="B7858" s="86"/>
    </x:row>
    <x:row r="7859">
      <x:c r="A7859" s="85"/>
      <x:c r="B7859" s="86"/>
    </x:row>
    <x:row r="7860">
      <x:c r="A7860" s="85"/>
      <x:c r="B7860" s="86"/>
    </x:row>
    <x:row r="7861">
      <x:c r="A7861" s="85"/>
      <x:c r="B7861" s="86"/>
    </x:row>
    <x:row r="7862">
      <x:c r="A7862" s="85"/>
      <x:c r="B7862" s="86"/>
    </x:row>
    <x:row r="7863">
      <x:c r="A7863" s="85"/>
      <x:c r="B7863" s="86"/>
    </x:row>
    <x:row r="7864">
      <x:c r="A7864" s="85"/>
      <x:c r="B7864" s="86"/>
    </x:row>
    <x:row r="7865">
      <x:c r="A7865" s="85"/>
      <x:c r="B7865" s="86"/>
    </x:row>
    <x:row r="7866">
      <x:c r="A7866" s="85"/>
      <x:c r="B7866" s="86"/>
    </x:row>
    <x:row r="7867">
      <x:c r="A7867" s="85"/>
      <x:c r="B7867" s="86"/>
    </x:row>
    <x:row r="7868">
      <x:c r="A7868" s="85"/>
      <x:c r="B7868" s="86"/>
    </x:row>
    <x:row r="7869">
      <x:c r="A7869" s="85"/>
      <x:c r="B7869" s="86"/>
    </x:row>
    <x:row r="7870">
      <x:c r="A7870" s="85"/>
      <x:c r="B7870" s="86"/>
    </x:row>
    <x:row r="7871">
      <x:c r="A7871" s="85"/>
      <x:c r="B7871" s="86"/>
    </x:row>
    <x:row r="7872">
      <x:c r="A7872" s="85"/>
      <x:c r="B7872" s="86"/>
    </x:row>
    <x:row r="7873">
      <x:c r="A7873" s="85"/>
      <x:c r="B7873" s="86"/>
    </x:row>
    <x:row r="7874">
      <x:c r="A7874" s="85"/>
      <x:c r="B7874" s="86"/>
    </x:row>
    <x:row r="7875">
      <x:c r="A7875" s="85"/>
      <x:c r="B7875" s="86"/>
    </x:row>
    <x:row r="7876">
      <x:c r="A7876" s="85"/>
      <x:c r="B7876" s="86"/>
    </x:row>
    <x:row r="7877">
      <x:c r="A7877" s="85"/>
      <x:c r="B7877" s="86"/>
    </x:row>
    <x:row r="7878">
      <x:c r="A7878" s="85"/>
      <x:c r="B7878" s="86"/>
    </x:row>
    <x:row r="7879">
      <x:c r="A7879" s="85"/>
      <x:c r="B7879" s="86"/>
    </x:row>
    <x:row r="7880">
      <x:c r="A7880" s="85"/>
      <x:c r="B7880" s="86"/>
    </x:row>
    <x:row r="7881">
      <x:c r="A7881" s="85"/>
      <x:c r="B7881" s="86"/>
    </x:row>
    <x:row r="7882">
      <x:c r="A7882" s="85"/>
      <x:c r="B7882" s="86"/>
    </x:row>
    <x:row r="7883">
      <x:c r="A7883" s="85"/>
      <x:c r="B7883" s="86"/>
    </x:row>
    <x:row r="7884">
      <x:c r="A7884" s="85"/>
      <x:c r="B7884" s="86"/>
    </x:row>
    <x:row r="7885">
      <x:c r="A7885" s="85"/>
      <x:c r="B7885" s="86"/>
    </x:row>
    <x:row r="7886">
      <x:c r="A7886" s="85"/>
      <x:c r="B7886" s="86"/>
    </x:row>
    <x:row r="7887">
      <x:c r="A7887" s="85"/>
      <x:c r="B7887" s="86"/>
    </x:row>
    <x:row r="7888">
      <x:c r="A7888" s="85"/>
      <x:c r="B7888" s="86"/>
    </x:row>
    <x:row r="7889">
      <x:c r="A7889" s="85"/>
      <x:c r="B7889" s="86"/>
    </x:row>
    <x:row r="7890">
      <x:c r="A7890" s="85"/>
      <x:c r="B7890" s="86"/>
    </x:row>
    <x:row r="7891">
      <x:c r="A7891" s="85"/>
      <x:c r="B7891" s="86"/>
    </x:row>
    <x:row r="7892">
      <x:c r="A7892" s="85"/>
      <x:c r="B7892" s="86"/>
    </x:row>
    <x:row r="7893">
      <x:c r="A7893" s="85"/>
      <x:c r="B7893" s="86"/>
    </x:row>
    <x:row r="7894">
      <x:c r="A7894" s="85"/>
      <x:c r="B7894" s="86"/>
    </x:row>
    <x:row r="7895">
      <x:c r="A7895" s="85"/>
      <x:c r="B7895" s="86"/>
    </x:row>
    <x:row r="7896">
      <x:c r="A7896" s="85"/>
      <x:c r="B7896" s="86"/>
    </x:row>
    <x:row r="7897">
      <x:c r="A7897" s="85"/>
      <x:c r="B7897" s="86"/>
    </x:row>
    <x:row r="7898">
      <x:c r="A7898" s="85"/>
      <x:c r="B7898" s="86"/>
    </x:row>
    <x:row r="7899">
      <x:c r="A7899" s="85"/>
      <x:c r="B7899" s="86"/>
    </x:row>
    <x:row r="7900">
      <x:c r="A7900" s="85"/>
      <x:c r="B7900" s="86"/>
    </x:row>
    <x:row r="7901">
      <x:c r="A7901" s="85"/>
      <x:c r="B7901" s="86"/>
    </x:row>
    <x:row r="7902">
      <x:c r="A7902" s="85"/>
      <x:c r="B7902" s="86"/>
    </x:row>
    <x:row r="7903">
      <x:c r="A7903" s="85"/>
      <x:c r="B7903" s="86"/>
    </x:row>
    <x:row r="7904">
      <x:c r="A7904" s="85"/>
      <x:c r="B7904" s="86"/>
    </x:row>
    <x:row r="7905">
      <x:c r="A7905" s="85"/>
      <x:c r="B7905" s="86"/>
    </x:row>
    <x:row r="7906">
      <x:c r="A7906" s="85"/>
      <x:c r="B7906" s="86"/>
    </x:row>
    <x:row r="7907">
      <x:c r="A7907" s="85"/>
      <x:c r="B7907" s="86"/>
    </x:row>
    <x:row r="7908">
      <x:c r="A7908" s="85"/>
      <x:c r="B7908" s="86"/>
    </x:row>
    <x:row r="7909">
      <x:c r="A7909" s="85"/>
      <x:c r="B7909" s="86"/>
    </x:row>
    <x:row r="7910">
      <x:c r="A7910" s="85"/>
      <x:c r="B7910" s="86"/>
    </x:row>
    <x:row r="7911">
      <x:c r="A7911" s="85"/>
      <x:c r="B7911" s="86"/>
    </x:row>
    <x:row r="7912">
      <x:c r="A7912" s="85"/>
      <x:c r="B7912" s="86"/>
    </x:row>
    <x:row r="7913">
      <x:c r="A7913" s="85"/>
      <x:c r="B7913" s="86"/>
    </x:row>
    <x:row r="7914">
      <x:c r="A7914" s="85"/>
      <x:c r="B7914" s="86"/>
    </x:row>
    <x:row r="7915">
      <x:c r="A7915" s="85"/>
      <x:c r="B7915" s="86"/>
    </x:row>
    <x:row r="7916">
      <x:c r="A7916" s="85"/>
      <x:c r="B7916" s="86"/>
    </x:row>
    <x:row r="7917">
      <x:c r="A7917" s="85"/>
      <x:c r="B7917" s="86"/>
    </x:row>
    <x:row r="7918">
      <x:c r="A7918" s="85"/>
      <x:c r="B7918" s="86"/>
    </x:row>
    <x:row r="7919">
      <x:c r="A7919" s="85"/>
      <x:c r="B7919" s="86"/>
    </x:row>
    <x:row r="7920">
      <x:c r="A7920" s="85"/>
      <x:c r="B7920" s="86"/>
    </x:row>
    <x:row r="7921">
      <x:c r="A7921" s="85"/>
      <x:c r="B7921" s="86"/>
    </x:row>
    <x:row r="7922">
      <x:c r="A7922" s="85"/>
      <x:c r="B7922" s="86"/>
    </x:row>
    <x:row r="7923">
      <x:c r="A7923" s="85"/>
      <x:c r="B7923" s="86"/>
    </x:row>
    <x:row r="7924">
      <x:c r="A7924" s="85"/>
      <x:c r="B7924" s="86"/>
    </x:row>
    <x:row r="7925">
      <x:c r="A7925" s="85"/>
      <x:c r="B7925" s="86"/>
    </x:row>
    <x:row r="7926">
      <x:c r="A7926" s="85"/>
      <x:c r="B7926" s="86"/>
    </x:row>
    <x:row r="7927">
      <x:c r="A7927" s="85"/>
      <x:c r="B7927" s="86"/>
    </x:row>
    <x:row r="7928">
      <x:c r="A7928" s="85"/>
      <x:c r="B7928" s="86"/>
    </x:row>
    <x:row r="7929">
      <x:c r="A7929" s="85"/>
      <x:c r="B7929" s="86"/>
    </x:row>
    <x:row r="7930">
      <x:c r="A7930" s="85"/>
      <x:c r="B7930" s="86"/>
    </x:row>
    <x:row r="7931">
      <x:c r="A7931" s="85"/>
      <x:c r="B7931" s="86"/>
    </x:row>
    <x:row r="7932">
      <x:c r="A7932" s="85"/>
      <x:c r="B7932" s="86"/>
    </x:row>
    <x:row r="7933">
      <x:c r="A7933" s="85"/>
      <x:c r="B7933" s="86"/>
    </x:row>
    <x:row r="7934">
      <x:c r="A7934" s="85"/>
      <x:c r="B7934" s="86"/>
    </x:row>
    <x:row r="7935">
      <x:c r="A7935" s="85"/>
      <x:c r="B7935" s="86"/>
    </x:row>
    <x:row r="7936">
      <x:c r="A7936" s="85"/>
      <x:c r="B7936" s="86"/>
    </x:row>
    <x:row r="7937">
      <x:c r="A7937" s="85"/>
      <x:c r="B7937" s="86"/>
    </x:row>
    <x:row r="7938">
      <x:c r="A7938" s="85"/>
      <x:c r="B7938" s="86"/>
    </x:row>
    <x:row r="7939">
      <x:c r="A7939" s="85"/>
      <x:c r="B7939" s="86"/>
    </x:row>
    <x:row r="7940">
      <x:c r="A7940" s="85"/>
      <x:c r="B7940" s="86"/>
    </x:row>
    <x:row r="7941">
      <x:c r="A7941" s="85"/>
      <x:c r="B7941" s="86"/>
    </x:row>
    <x:row r="7942">
      <x:c r="A7942" s="85"/>
      <x:c r="B7942" s="86"/>
    </x:row>
    <x:row r="7943">
      <x:c r="A7943" s="85"/>
      <x:c r="B7943" s="86"/>
    </x:row>
    <x:row r="7944">
      <x:c r="A7944" s="85"/>
      <x:c r="B7944" s="86"/>
    </x:row>
    <x:row r="7945">
      <x:c r="A7945" s="85"/>
      <x:c r="B7945" s="86"/>
    </x:row>
    <x:row r="7946">
      <x:c r="A7946" s="85"/>
      <x:c r="B7946" s="86"/>
    </x:row>
    <x:row r="7947">
      <x:c r="A7947" s="85"/>
      <x:c r="B7947" s="86"/>
    </x:row>
    <x:row r="7948">
      <x:c r="A7948" s="85"/>
      <x:c r="B7948" s="86"/>
    </x:row>
    <x:row r="7949">
      <x:c r="A7949" s="85"/>
      <x:c r="B7949" s="86"/>
    </x:row>
    <x:row r="7950">
      <x:c r="A7950" s="85"/>
      <x:c r="B7950" s="86"/>
    </x:row>
    <x:row r="7951">
      <x:c r="A7951" s="85"/>
      <x:c r="B7951" s="86"/>
    </x:row>
    <x:row r="7952">
      <x:c r="A7952" s="85"/>
      <x:c r="B7952" s="86"/>
    </x:row>
    <x:row r="7953">
      <x:c r="A7953" s="85"/>
      <x:c r="B7953" s="86"/>
    </x:row>
    <x:row r="7954">
      <x:c r="A7954" s="85"/>
      <x:c r="B7954" s="86"/>
    </x:row>
    <x:row r="7955">
      <x:c r="A7955" s="85"/>
      <x:c r="B7955" s="86"/>
    </x:row>
    <x:row r="7956">
      <x:c r="A7956" s="85"/>
      <x:c r="B7956" s="86"/>
    </x:row>
    <x:row r="7957">
      <x:c r="A7957" s="85"/>
      <x:c r="B7957" s="86"/>
    </x:row>
    <x:row r="7958">
      <x:c r="A7958" s="85"/>
      <x:c r="B7958" s="86"/>
    </x:row>
    <x:row r="7959">
      <x:c r="A7959" s="85"/>
      <x:c r="B7959" s="86"/>
    </x:row>
    <x:row r="7960">
      <x:c r="A7960" s="85"/>
      <x:c r="B7960" s="86"/>
    </x:row>
    <x:row r="7961">
      <x:c r="A7961" s="85"/>
      <x:c r="B7961" s="86"/>
    </x:row>
    <x:row r="7962">
      <x:c r="A7962" s="85"/>
      <x:c r="B7962" s="86"/>
    </x:row>
    <x:row r="7963">
      <x:c r="A7963" s="85"/>
      <x:c r="B7963" s="86"/>
    </x:row>
    <x:row r="7964">
      <x:c r="A7964" s="85"/>
      <x:c r="B7964" s="86"/>
    </x:row>
    <x:row r="7965">
      <x:c r="A7965" s="85"/>
      <x:c r="B7965" s="86"/>
    </x:row>
    <x:row r="7966">
      <x:c r="A7966" s="85"/>
      <x:c r="B7966" s="86"/>
    </x:row>
    <x:row r="7967">
      <x:c r="A7967" s="85"/>
      <x:c r="B7967" s="86"/>
    </x:row>
    <x:row r="7968">
      <x:c r="A7968" s="85"/>
      <x:c r="B7968" s="86"/>
    </x:row>
    <x:row r="7969">
      <x:c r="A7969" s="85"/>
      <x:c r="B7969" s="86"/>
    </x:row>
    <x:row r="7970">
      <x:c r="A7970" s="85"/>
      <x:c r="B7970" s="86"/>
    </x:row>
    <x:row r="7971">
      <x:c r="A7971" s="85"/>
      <x:c r="B7971" s="86"/>
    </x:row>
    <x:row r="7972">
      <x:c r="A7972" s="85"/>
      <x:c r="B7972" s="86"/>
    </x:row>
    <x:row r="7973">
      <x:c r="A7973" s="85"/>
      <x:c r="B7973" s="86"/>
    </x:row>
    <x:row r="7974">
      <x:c r="A7974" s="85"/>
      <x:c r="B7974" s="86"/>
    </x:row>
    <x:row r="7975">
      <x:c r="A7975" s="85"/>
      <x:c r="B7975" s="86"/>
    </x:row>
    <x:row r="7976">
      <x:c r="A7976" s="85"/>
      <x:c r="B7976" s="86"/>
    </x:row>
    <x:row r="7977">
      <x:c r="A7977" s="85"/>
      <x:c r="B7977" s="86"/>
    </x:row>
    <x:row r="7978">
      <x:c r="A7978" s="85"/>
      <x:c r="B7978" s="86"/>
    </x:row>
    <x:row r="7979">
      <x:c r="A7979" s="85"/>
      <x:c r="B7979" s="86"/>
    </x:row>
    <x:row r="7980">
      <x:c r="A7980" s="85"/>
      <x:c r="B7980" s="86"/>
    </x:row>
    <x:row r="7981">
      <x:c r="A7981" s="85"/>
      <x:c r="B7981" s="86"/>
    </x:row>
    <x:row r="7982">
      <x:c r="A7982" s="85"/>
      <x:c r="B7982" s="86"/>
    </x:row>
    <x:row r="7983">
      <x:c r="A7983" s="85"/>
      <x:c r="B7983" s="86"/>
    </x:row>
    <x:row r="7984">
      <x:c r="A7984" s="85"/>
      <x:c r="B7984" s="86"/>
    </x:row>
    <x:row r="7985">
      <x:c r="A7985" s="85"/>
      <x:c r="B7985" s="86"/>
    </x:row>
    <x:row r="7986">
      <x:c r="A7986" s="85"/>
      <x:c r="B7986" s="86"/>
    </x:row>
    <x:row r="7987">
      <x:c r="A7987" s="85"/>
      <x:c r="B7987" s="86"/>
    </x:row>
    <x:row r="7988">
      <x:c r="A7988" s="85"/>
      <x:c r="B7988" s="86"/>
    </x:row>
    <x:row r="7989">
      <x:c r="A7989" s="85"/>
      <x:c r="B7989" s="86"/>
    </x:row>
    <x:row r="7990">
      <x:c r="A7990" s="85"/>
      <x:c r="B7990" s="86"/>
    </x:row>
    <x:row r="7991">
      <x:c r="A7991" s="85"/>
      <x:c r="B7991" s="86"/>
    </x:row>
    <x:row r="7992">
      <x:c r="A7992" s="85"/>
      <x:c r="B7992" s="86"/>
    </x:row>
    <x:row r="7993">
      <x:c r="A7993" s="85"/>
      <x:c r="B7993" s="86"/>
    </x:row>
    <x:row r="7994">
      <x:c r="A7994" s="85"/>
      <x:c r="B7994" s="86"/>
    </x:row>
    <x:row r="7995">
      <x:c r="A7995" s="85"/>
      <x:c r="B7995" s="86"/>
    </x:row>
    <x:row r="7996">
      <x:c r="A7996" s="85"/>
      <x:c r="B7996" s="86"/>
    </x:row>
    <x:row r="7997">
      <x:c r="A7997" s="85"/>
      <x:c r="B7997" s="86"/>
    </x:row>
    <x:row r="7998">
      <x:c r="A7998" s="85"/>
      <x:c r="B7998" s="86"/>
    </x:row>
    <x:row r="7999">
      <x:c r="A7999" s="85"/>
      <x:c r="B7999" s="86"/>
    </x:row>
    <x:row r="8000">
      <x:c r="A8000" s="85"/>
      <x:c r="B8000" s="86"/>
    </x:row>
    <x:row r="8001">
      <x:c r="A8001" s="85"/>
      <x:c r="B8001" s="86"/>
    </x:row>
    <x:row r="8002">
      <x:c r="A8002" s="85"/>
      <x:c r="B8002" s="86"/>
    </x:row>
    <x:row r="8003">
      <x:c r="A8003" s="85"/>
      <x:c r="B8003" s="86"/>
    </x:row>
    <x:row r="8004">
      <x:c r="A8004" s="85"/>
      <x:c r="B8004" s="86"/>
    </x:row>
    <x:row r="8005">
      <x:c r="A8005" s="85"/>
      <x:c r="B8005" s="86"/>
    </x:row>
    <x:row r="8006">
      <x:c r="A8006" s="85"/>
      <x:c r="B8006" s="86"/>
    </x:row>
    <x:row r="8007">
      <x:c r="A8007" s="85"/>
      <x:c r="B8007" s="86"/>
    </x:row>
    <x:row r="8008">
      <x:c r="A8008" s="85"/>
      <x:c r="B8008" s="86"/>
    </x:row>
    <x:row r="8009">
      <x:c r="A8009" s="85"/>
      <x:c r="B8009" s="86"/>
    </x:row>
    <x:row r="8010">
      <x:c r="A8010" s="85"/>
      <x:c r="B8010" s="86"/>
    </x:row>
    <x:row r="8011">
      <x:c r="A8011" s="85"/>
      <x:c r="B8011" s="86"/>
    </x:row>
    <x:row r="8012">
      <x:c r="A8012" s="85"/>
      <x:c r="B8012" s="86"/>
    </x:row>
    <x:row r="8013">
      <x:c r="A8013" s="85"/>
      <x:c r="B8013" s="86"/>
    </x:row>
    <x:row r="8014">
      <x:c r="A8014" s="85"/>
      <x:c r="B8014" s="86"/>
    </x:row>
    <x:row r="8015">
      <x:c r="A8015" s="85"/>
      <x:c r="B8015" s="86"/>
    </x:row>
    <x:row r="8016">
      <x:c r="A8016" s="85"/>
      <x:c r="B8016" s="86"/>
    </x:row>
    <x:row r="8017">
      <x:c r="A8017" s="85"/>
      <x:c r="B8017" s="86"/>
    </x:row>
    <x:row r="8018">
      <x:c r="A8018" s="85"/>
      <x:c r="B8018" s="86"/>
    </x:row>
    <x:row r="8019">
      <x:c r="A8019" s="85"/>
      <x:c r="B8019" s="86"/>
    </x:row>
    <x:row r="8020">
      <x:c r="A8020" s="85"/>
      <x:c r="B8020" s="86"/>
    </x:row>
    <x:row r="8021">
      <x:c r="A8021" s="85"/>
      <x:c r="B8021" s="86"/>
    </x:row>
    <x:row r="8022">
      <x:c r="A8022" s="85"/>
      <x:c r="B8022" s="86"/>
    </x:row>
    <x:row r="8023">
      <x:c r="A8023" s="85"/>
      <x:c r="B8023" s="86"/>
    </x:row>
    <x:row r="8024">
      <x:c r="A8024" s="85"/>
      <x:c r="B8024" s="86"/>
    </x:row>
    <x:row r="8025">
      <x:c r="A8025" s="85"/>
      <x:c r="B8025" s="86"/>
    </x:row>
    <x:row r="8026">
      <x:c r="A8026" s="85"/>
      <x:c r="B8026" s="86"/>
    </x:row>
    <x:row r="8027">
      <x:c r="A8027" s="85"/>
      <x:c r="B8027" s="86"/>
    </x:row>
    <x:row r="8028">
      <x:c r="A8028" s="85"/>
      <x:c r="B8028" s="86"/>
    </x:row>
    <x:row r="8029">
      <x:c r="A8029" s="85"/>
      <x:c r="B8029" s="86"/>
    </x:row>
    <x:row r="8030">
      <x:c r="A8030" s="85"/>
      <x:c r="B8030" s="86"/>
    </x:row>
    <x:row r="8031">
      <x:c r="A8031" s="85"/>
      <x:c r="B8031" s="86"/>
    </x:row>
    <x:row r="8032">
      <x:c r="A8032" s="85"/>
      <x:c r="B8032" s="86"/>
    </x:row>
    <x:row r="8033">
      <x:c r="A8033" s="85"/>
      <x:c r="B8033" s="86"/>
    </x:row>
    <x:row r="8034">
      <x:c r="A8034" s="85"/>
      <x:c r="B8034" s="86"/>
    </x:row>
    <x:row r="8035">
      <x:c r="A8035" s="85"/>
      <x:c r="B8035" s="86"/>
    </x:row>
    <x:row r="8036">
      <x:c r="A8036" s="85"/>
      <x:c r="B8036" s="86"/>
    </x:row>
    <x:row r="8037">
      <x:c r="A8037" s="85"/>
      <x:c r="B8037" s="86"/>
    </x:row>
    <x:row r="8038">
      <x:c r="A8038" s="85"/>
      <x:c r="B8038" s="86"/>
    </x:row>
    <x:row r="8039">
      <x:c r="A8039" s="85"/>
      <x:c r="B8039" s="86"/>
    </x:row>
    <x:row r="8040">
      <x:c r="A8040" s="85"/>
      <x:c r="B8040" s="86"/>
    </x:row>
    <x:row r="8041">
      <x:c r="A8041" s="85"/>
      <x:c r="B8041" s="86"/>
    </x:row>
    <x:row r="8042">
      <x:c r="A8042" s="85"/>
      <x:c r="B8042" s="86"/>
    </x:row>
    <x:row r="8043">
      <x:c r="A8043" s="85"/>
      <x:c r="B8043" s="86"/>
    </x:row>
    <x:row r="8044">
      <x:c r="A8044" s="85"/>
      <x:c r="B8044" s="86"/>
    </x:row>
    <x:row r="8045">
      <x:c r="A8045" s="85"/>
      <x:c r="B8045" s="86"/>
    </x:row>
    <x:row r="8046">
      <x:c r="A8046" s="85"/>
      <x:c r="B8046" s="86"/>
    </x:row>
    <x:row r="8047">
      <x:c r="A8047" s="85"/>
      <x:c r="B8047" s="86"/>
    </x:row>
    <x:row r="8048">
      <x:c r="A8048" s="85"/>
      <x:c r="B8048" s="86"/>
    </x:row>
    <x:row r="8049">
      <x:c r="A8049" s="85"/>
      <x:c r="B8049" s="86"/>
    </x:row>
    <x:row r="8050">
      <x:c r="A8050" s="85"/>
      <x:c r="B8050" s="86"/>
    </x:row>
    <x:row r="8051">
      <x:c r="A8051" s="85"/>
      <x:c r="B8051" s="86"/>
    </x:row>
    <x:row r="8052">
      <x:c r="A8052" s="85"/>
      <x:c r="B8052" s="86"/>
    </x:row>
    <x:row r="8053">
      <x:c r="A8053" s="85"/>
      <x:c r="B8053" s="86"/>
    </x:row>
    <x:row r="8054">
      <x:c r="A8054" s="85"/>
      <x:c r="B8054" s="86"/>
    </x:row>
    <x:row r="8055">
      <x:c r="A8055" s="85"/>
      <x:c r="B8055" s="86"/>
    </x:row>
    <x:row r="8056">
      <x:c r="A8056" s="85"/>
      <x:c r="B8056" s="86"/>
    </x:row>
    <x:row r="8057">
      <x:c r="A8057" s="85"/>
      <x:c r="B8057" s="86"/>
    </x:row>
    <x:row r="8058">
      <x:c r="A8058" s="85"/>
      <x:c r="B8058" s="86"/>
    </x:row>
    <x:row r="8059">
      <x:c r="A8059" s="85"/>
      <x:c r="B8059" s="86"/>
    </x:row>
    <x:row r="8060">
      <x:c r="A8060" s="85"/>
      <x:c r="B8060" s="86"/>
    </x:row>
    <x:row r="8061">
      <x:c r="A8061" s="85"/>
      <x:c r="B8061" s="86"/>
    </x:row>
    <x:row r="8062">
      <x:c r="A8062" s="85"/>
      <x:c r="B8062" s="86"/>
    </x:row>
    <x:row r="8063">
      <x:c r="A8063" s="85"/>
      <x:c r="B8063" s="86"/>
    </x:row>
    <x:row r="8064">
      <x:c r="A8064" s="85"/>
      <x:c r="B8064" s="86"/>
    </x:row>
    <x:row r="8065">
      <x:c r="A8065" s="85"/>
      <x:c r="B8065" s="86"/>
    </x:row>
    <x:row r="8066">
      <x:c r="A8066" s="85"/>
      <x:c r="B8066" s="86"/>
    </x:row>
    <x:row r="8067">
      <x:c r="A8067" s="85"/>
      <x:c r="B8067" s="86"/>
    </x:row>
    <x:row r="8068">
      <x:c r="A8068" s="85"/>
      <x:c r="B8068" s="86"/>
    </x:row>
    <x:row r="8069">
      <x:c r="A8069" s="85"/>
      <x:c r="B8069" s="86"/>
    </x:row>
    <x:row r="8070">
      <x:c r="A8070" s="85"/>
      <x:c r="B8070" s="86"/>
    </x:row>
    <x:row r="8071">
      <x:c r="A8071" s="85"/>
      <x:c r="B8071" s="86"/>
    </x:row>
    <x:row r="8072">
      <x:c r="A8072" s="85"/>
      <x:c r="B8072" s="86"/>
    </x:row>
    <x:row r="8073">
      <x:c r="A8073" s="85"/>
      <x:c r="B8073" s="86"/>
    </x:row>
    <x:row r="8074">
      <x:c r="A8074" s="85"/>
      <x:c r="B8074" s="86"/>
    </x:row>
    <x:row r="8075">
      <x:c r="A8075" s="85"/>
      <x:c r="B8075" s="86"/>
    </x:row>
    <x:row r="8076">
      <x:c r="A8076" s="85"/>
      <x:c r="B8076" s="86"/>
    </x:row>
    <x:row r="8077">
      <x:c r="A8077" s="85"/>
      <x:c r="B8077" s="86"/>
    </x:row>
    <x:row r="8078">
      <x:c r="A8078" s="85"/>
      <x:c r="B8078" s="86"/>
    </x:row>
    <x:row r="8079">
      <x:c r="A8079" s="85"/>
      <x:c r="B8079" s="86"/>
    </x:row>
    <x:row r="8080">
      <x:c r="A8080" s="85"/>
      <x:c r="B8080" s="86"/>
    </x:row>
    <x:row r="8081">
      <x:c r="A8081" s="85"/>
      <x:c r="B8081" s="86"/>
    </x:row>
    <x:row r="8082">
      <x:c r="A8082" s="85"/>
      <x:c r="B8082" s="86"/>
    </x:row>
    <x:row r="8083">
      <x:c r="A8083" s="85"/>
      <x:c r="B8083" s="86"/>
    </x:row>
    <x:row r="8084">
      <x:c r="A8084" s="85"/>
      <x:c r="B8084" s="86"/>
    </x:row>
    <x:row r="8085">
      <x:c r="A8085" s="85"/>
      <x:c r="B8085" s="86"/>
    </x:row>
    <x:row r="8086">
      <x:c r="A8086" s="85"/>
      <x:c r="B8086" s="86"/>
    </x:row>
    <x:row r="8087">
      <x:c r="A8087" s="85"/>
      <x:c r="B8087" s="86"/>
    </x:row>
    <x:row r="8088">
      <x:c r="A8088" s="85"/>
      <x:c r="B8088" s="86"/>
    </x:row>
    <x:row r="8089">
      <x:c r="A8089" s="85"/>
      <x:c r="B8089" s="86"/>
    </x:row>
    <x:row r="8090">
      <x:c r="A8090" s="85"/>
      <x:c r="B8090" s="86"/>
    </x:row>
    <x:row r="8091">
      <x:c r="A8091" s="85"/>
      <x:c r="B8091" s="86"/>
    </x:row>
    <x:row r="8092">
      <x:c r="A8092" s="85"/>
      <x:c r="B8092" s="86"/>
    </x:row>
    <x:row r="8093">
      <x:c r="A8093" s="85"/>
      <x:c r="B8093" s="86"/>
    </x:row>
    <x:row r="8094">
      <x:c r="A8094" s="85"/>
      <x:c r="B8094" s="86"/>
    </x:row>
    <x:row r="8095">
      <x:c r="A8095" s="85"/>
      <x:c r="B8095" s="86"/>
    </x:row>
    <x:row r="8096">
      <x:c r="A8096" s="85"/>
      <x:c r="B8096" s="86"/>
    </x:row>
    <x:row r="8097">
      <x:c r="A8097" s="85"/>
      <x:c r="B8097" s="86"/>
    </x:row>
    <x:row r="8098">
      <x:c r="A8098" s="85"/>
      <x:c r="B8098" s="86"/>
    </x:row>
    <x:row r="8099">
      <x:c r="A8099" s="85"/>
      <x:c r="B8099" s="86"/>
    </x:row>
    <x:row r="8100">
      <x:c r="A8100" s="85"/>
      <x:c r="B8100" s="86"/>
    </x:row>
    <x:row r="8101">
      <x:c r="A8101" s="85"/>
      <x:c r="B8101" s="86"/>
    </x:row>
    <x:row r="8102">
      <x:c r="A8102" s="85"/>
      <x:c r="B8102" s="86"/>
    </x:row>
    <x:row r="8103">
      <x:c r="A8103" s="85"/>
      <x:c r="B8103" s="86"/>
    </x:row>
    <x:row r="8104">
      <x:c r="A8104" s="85"/>
      <x:c r="B8104" s="86"/>
    </x:row>
    <x:row r="8105">
      <x:c r="A8105" s="85"/>
      <x:c r="B8105" s="86"/>
    </x:row>
    <x:row r="8106">
      <x:c r="A8106" s="85"/>
      <x:c r="B8106" s="86"/>
    </x:row>
    <x:row r="8107">
      <x:c r="A8107" s="85"/>
      <x:c r="B8107" s="86"/>
    </x:row>
    <x:row r="8108">
      <x:c r="A8108" s="85"/>
      <x:c r="B8108" s="86"/>
    </x:row>
    <x:row r="8109">
      <x:c r="A8109" s="85"/>
      <x:c r="B8109" s="86"/>
    </x:row>
    <x:row r="8110">
      <x:c r="A8110" s="85"/>
      <x:c r="B8110" s="86"/>
    </x:row>
    <x:row r="8111">
      <x:c r="A8111" s="85"/>
      <x:c r="B8111" s="86"/>
    </x:row>
    <x:row r="8112">
      <x:c r="A8112" s="85"/>
      <x:c r="B8112" s="86"/>
    </x:row>
    <x:row r="8113">
      <x:c r="A8113" s="85"/>
      <x:c r="B8113" s="86"/>
    </x:row>
    <x:row r="8114">
      <x:c r="A8114" s="85"/>
      <x:c r="B8114" s="86"/>
    </x:row>
    <x:row r="8115">
      <x:c r="A8115" s="85"/>
      <x:c r="B8115" s="86"/>
    </x:row>
    <x:row r="8116">
      <x:c r="A8116" s="85"/>
      <x:c r="B8116" s="86"/>
    </x:row>
    <x:row r="8117">
      <x:c r="A8117" s="85"/>
      <x:c r="B8117" s="86"/>
    </x:row>
    <x:row r="8118">
      <x:c r="A8118" s="85"/>
      <x:c r="B8118" s="86"/>
    </x:row>
    <x:row r="8119">
      <x:c r="A8119" s="85"/>
      <x:c r="B8119" s="86"/>
    </x:row>
    <x:row r="8120">
      <x:c r="A8120" s="85"/>
      <x:c r="B8120" s="86"/>
    </x:row>
    <x:row r="8121">
      <x:c r="A8121" s="85"/>
      <x:c r="B8121" s="86"/>
    </x:row>
    <x:row r="8122">
      <x:c r="A8122" s="85"/>
      <x:c r="B8122" s="86"/>
    </x:row>
    <x:row r="8123">
      <x:c r="A8123" s="85"/>
      <x:c r="B8123" s="86"/>
    </x:row>
    <x:row r="8124">
      <x:c r="A8124" s="85"/>
      <x:c r="B8124" s="86"/>
    </x:row>
    <x:row r="8125">
      <x:c r="A8125" s="85"/>
      <x:c r="B8125" s="86"/>
    </x:row>
    <x:row r="8126">
      <x:c r="A8126" s="85"/>
      <x:c r="B8126" s="86"/>
    </x:row>
    <x:row r="8127">
      <x:c r="A8127" s="85"/>
      <x:c r="B8127" s="86"/>
    </x:row>
    <x:row r="8128">
      <x:c r="A8128" s="85"/>
      <x:c r="B8128" s="86"/>
    </x:row>
    <x:row r="8129">
      <x:c r="A8129" s="85"/>
      <x:c r="B8129" s="86"/>
    </x:row>
    <x:row r="8130">
      <x:c r="A8130" s="85"/>
      <x:c r="B8130" s="86"/>
    </x:row>
    <x:row r="8131">
      <x:c r="A8131" s="85"/>
      <x:c r="B8131" s="86"/>
    </x:row>
    <x:row r="8132">
      <x:c r="A8132" s="85"/>
      <x:c r="B8132" s="86"/>
    </x:row>
    <x:row r="8133">
      <x:c r="A8133" s="85"/>
      <x:c r="B8133" s="86"/>
    </x:row>
    <x:row r="8134">
      <x:c r="A8134" s="85"/>
      <x:c r="B8134" s="86"/>
    </x:row>
    <x:row r="8135">
      <x:c r="A8135" s="85"/>
      <x:c r="B8135" s="86"/>
    </x:row>
    <x:row r="8136">
      <x:c r="A8136" s="85"/>
      <x:c r="B8136" s="86"/>
    </x:row>
    <x:row r="8137">
      <x:c r="A8137" s="85"/>
      <x:c r="B8137" s="86"/>
    </x:row>
    <x:row r="8138">
      <x:c r="A8138" s="85"/>
      <x:c r="B8138" s="86"/>
    </x:row>
    <x:row r="8139">
      <x:c r="A8139" s="85"/>
      <x:c r="B8139" s="86"/>
    </x:row>
    <x:row r="8140">
      <x:c r="A8140" s="85"/>
      <x:c r="B8140" s="86"/>
    </x:row>
    <x:row r="8141">
      <x:c r="A8141" s="85"/>
      <x:c r="B8141" s="86"/>
    </x:row>
    <x:row r="8142">
      <x:c r="A8142" s="85"/>
      <x:c r="B8142" s="86"/>
    </x:row>
    <x:row r="8143">
      <x:c r="A8143" s="85"/>
      <x:c r="B8143" s="86"/>
    </x:row>
    <x:row r="8144">
      <x:c r="A8144" s="85"/>
      <x:c r="B8144" s="86"/>
    </x:row>
    <x:row r="8145">
      <x:c r="A8145" s="85"/>
      <x:c r="B8145" s="86"/>
    </x:row>
    <x:row r="8146">
      <x:c r="A8146" s="85"/>
      <x:c r="B8146" s="86"/>
    </x:row>
    <x:row r="8147">
      <x:c r="A8147" s="85"/>
      <x:c r="B8147" s="86"/>
    </x:row>
    <x:row r="8148">
      <x:c r="A8148" s="85"/>
      <x:c r="B8148" s="86"/>
    </x:row>
    <x:row r="8149">
      <x:c r="A8149" s="85"/>
      <x:c r="B8149" s="86"/>
    </x:row>
    <x:row r="8150">
      <x:c r="A8150" s="85"/>
      <x:c r="B8150" s="86"/>
    </x:row>
    <x:row r="8151">
      <x:c r="A8151" s="85"/>
      <x:c r="B8151" s="86"/>
    </x:row>
    <x:row r="8152">
      <x:c r="A8152" s="85"/>
      <x:c r="B8152" s="86"/>
    </x:row>
    <x:row r="8153">
      <x:c r="A8153" s="85"/>
      <x:c r="B8153" s="86"/>
    </x:row>
    <x:row r="8154">
      <x:c r="A8154" s="85"/>
      <x:c r="B8154" s="86"/>
    </x:row>
    <x:row r="8155">
      <x:c r="A8155" s="85"/>
      <x:c r="B8155" s="86"/>
    </x:row>
    <x:row r="8156">
      <x:c r="A8156" s="85"/>
      <x:c r="B8156" s="86"/>
    </x:row>
    <x:row r="8157">
      <x:c r="A8157" s="85"/>
      <x:c r="B8157" s="86"/>
    </x:row>
    <x:row r="8158">
      <x:c r="A8158" s="85"/>
      <x:c r="B8158" s="86"/>
    </x:row>
    <x:row r="8159">
      <x:c r="A8159" s="85"/>
      <x:c r="B8159" s="86"/>
    </x:row>
    <x:row r="8160">
      <x:c r="A8160" s="85"/>
      <x:c r="B8160" s="86"/>
    </x:row>
    <x:row r="8161">
      <x:c r="A8161" s="85"/>
      <x:c r="B8161" s="86"/>
    </x:row>
    <x:row r="8162">
      <x:c r="A8162" s="85"/>
      <x:c r="B8162" s="86"/>
    </x:row>
    <x:row r="8163">
      <x:c r="A8163" s="85"/>
      <x:c r="B8163" s="86"/>
    </x:row>
    <x:row r="8164">
      <x:c r="A8164" s="85"/>
      <x:c r="B8164" s="86"/>
    </x:row>
    <x:row r="8165">
      <x:c r="A8165" s="85"/>
      <x:c r="B8165" s="86"/>
    </x:row>
    <x:row r="8166">
      <x:c r="A8166" s="85"/>
      <x:c r="B8166" s="86"/>
    </x:row>
    <x:row r="8167">
      <x:c r="A8167" s="85"/>
      <x:c r="B8167" s="86"/>
    </x:row>
    <x:row r="8168">
      <x:c r="A8168" s="85"/>
      <x:c r="B8168" s="86"/>
    </x:row>
    <x:row r="8169">
      <x:c r="A8169" s="85"/>
      <x:c r="B8169" s="86"/>
    </x:row>
    <x:row r="8170">
      <x:c r="A8170" s="85"/>
      <x:c r="B8170" s="86"/>
    </x:row>
    <x:row r="8171">
      <x:c r="A8171" s="85"/>
      <x:c r="B8171" s="86"/>
    </x:row>
    <x:row r="8172">
      <x:c r="A8172" s="85"/>
      <x:c r="B8172" s="86"/>
    </x:row>
    <x:row r="8173">
      <x:c r="A8173" s="85"/>
      <x:c r="B8173" s="86"/>
    </x:row>
    <x:row r="8174">
      <x:c r="A8174" s="85"/>
      <x:c r="B8174" s="86"/>
    </x:row>
    <x:row r="8175">
      <x:c r="A8175" s="85"/>
      <x:c r="B8175" s="86"/>
    </x:row>
    <x:row r="8176">
      <x:c r="A8176" s="85"/>
      <x:c r="B8176" s="86"/>
    </x:row>
    <x:row r="8177">
      <x:c r="A8177" s="85"/>
      <x:c r="B8177" s="86"/>
    </x:row>
    <x:row r="8178">
      <x:c r="A8178" s="85"/>
      <x:c r="B8178" s="86"/>
    </x:row>
    <x:row r="8179">
      <x:c r="A8179" s="85"/>
      <x:c r="B8179" s="86"/>
    </x:row>
    <x:row r="8180">
      <x:c r="A8180" s="85"/>
      <x:c r="B8180" s="86"/>
    </x:row>
    <x:row r="8181">
      <x:c r="A8181" s="85"/>
      <x:c r="B8181" s="86"/>
    </x:row>
    <x:row r="8182">
      <x:c r="A8182" s="85"/>
      <x:c r="B8182" s="86"/>
    </x:row>
    <x:row r="8183">
      <x:c r="A8183" s="85"/>
      <x:c r="B8183" s="86"/>
    </x:row>
    <x:row r="8184">
      <x:c r="A8184" s="85"/>
      <x:c r="B8184" s="86"/>
    </x:row>
    <x:row r="8185">
      <x:c r="A8185" s="85"/>
      <x:c r="B8185" s="86"/>
    </x:row>
    <x:row r="8186">
      <x:c r="A8186" s="85"/>
      <x:c r="B8186" s="86"/>
    </x:row>
    <x:row r="8187">
      <x:c r="A8187" s="85"/>
      <x:c r="B8187" s="86"/>
    </x:row>
    <x:row r="8188">
      <x:c r="A8188" s="85"/>
      <x:c r="B8188" s="86"/>
    </x:row>
    <x:row r="8189">
      <x:c r="A8189" s="85"/>
      <x:c r="B8189" s="86"/>
    </x:row>
    <x:row r="8190">
      <x:c r="A8190" s="85"/>
      <x:c r="B8190" s="86"/>
    </x:row>
    <x:row r="8191">
      <x:c r="A8191" s="85"/>
      <x:c r="B8191" s="86"/>
    </x:row>
    <x:row r="8192">
      <x:c r="A8192" s="85"/>
      <x:c r="B8192" s="86"/>
    </x:row>
    <x:row r="8193">
      <x:c r="A8193" s="85"/>
      <x:c r="B8193" s="86"/>
    </x:row>
    <x:row r="8194">
      <x:c r="A8194" s="85"/>
      <x:c r="B8194" s="86"/>
    </x:row>
    <x:row r="8195">
      <x:c r="A8195" s="85"/>
      <x:c r="B8195" s="86"/>
    </x:row>
    <x:row r="8196">
      <x:c r="A8196" s="85"/>
      <x:c r="B8196" s="86"/>
    </x:row>
    <x:row r="8197">
      <x:c r="A8197" s="85"/>
      <x:c r="B8197" s="86"/>
    </x:row>
    <x:row r="8198">
      <x:c r="A8198" s="85"/>
      <x:c r="B8198" s="86"/>
    </x:row>
    <x:row r="8199">
      <x:c r="A8199" s="85"/>
      <x:c r="B8199" s="86"/>
    </x:row>
    <x:row r="8200">
      <x:c r="A8200" s="85"/>
      <x:c r="B8200" s="86"/>
    </x:row>
    <x:row r="8201">
      <x:c r="A8201" s="85"/>
      <x:c r="B8201" s="86"/>
    </x:row>
    <x:row r="8202">
      <x:c r="A8202" s="85"/>
      <x:c r="B8202" s="86"/>
    </x:row>
    <x:row r="8203">
      <x:c r="A8203" s="85"/>
      <x:c r="B8203" s="86"/>
    </x:row>
    <x:row r="8204">
      <x:c r="A8204" s="85"/>
      <x:c r="B8204" s="86"/>
    </x:row>
    <x:row r="8205">
      <x:c r="A8205" s="85"/>
      <x:c r="B8205" s="86"/>
    </x:row>
    <x:row r="8206">
      <x:c r="A8206" s="85"/>
      <x:c r="B8206" s="86"/>
    </x:row>
    <x:row r="8207">
      <x:c r="A8207" s="85"/>
      <x:c r="B8207" s="86"/>
    </x:row>
    <x:row r="8208">
      <x:c r="A8208" s="85"/>
      <x:c r="B8208" s="86"/>
    </x:row>
    <x:row r="8209">
      <x:c r="A8209" s="85"/>
      <x:c r="B8209" s="86"/>
    </x:row>
    <x:row r="8210">
      <x:c r="A8210" s="85"/>
      <x:c r="B8210" s="86"/>
    </x:row>
    <x:row r="8211">
      <x:c r="A8211" s="85"/>
      <x:c r="B8211" s="86"/>
    </x:row>
    <x:row r="8212">
      <x:c r="A8212" s="85"/>
      <x:c r="B8212" s="86"/>
    </x:row>
    <x:row r="8213">
      <x:c r="A8213" s="85"/>
      <x:c r="B8213" s="86"/>
    </x:row>
    <x:row r="8214">
      <x:c r="A8214" s="85"/>
      <x:c r="B8214" s="86"/>
    </x:row>
    <x:row r="8215">
      <x:c r="A8215" s="85"/>
      <x:c r="B8215" s="86"/>
    </x:row>
    <x:row r="8216">
      <x:c r="A8216" s="85"/>
      <x:c r="B8216" s="86"/>
    </x:row>
    <x:row r="8217">
      <x:c r="A8217" s="85"/>
      <x:c r="B8217" s="86"/>
    </x:row>
    <x:row r="8218">
      <x:c r="A8218" s="85"/>
      <x:c r="B8218" s="86"/>
    </x:row>
    <x:row r="8219">
      <x:c r="A8219" s="85"/>
      <x:c r="B8219" s="86"/>
    </x:row>
    <x:row r="8220">
      <x:c r="A8220" s="85"/>
      <x:c r="B8220" s="86"/>
    </x:row>
    <x:row r="8221">
      <x:c r="A8221" s="85"/>
      <x:c r="B8221" s="86"/>
    </x:row>
    <x:row r="8222">
      <x:c r="A8222" s="85"/>
      <x:c r="B8222" s="86"/>
    </x:row>
    <x:row r="8223">
      <x:c r="A8223" s="85"/>
      <x:c r="B8223" s="86"/>
    </x:row>
    <x:row r="8224">
      <x:c r="A8224" s="85"/>
      <x:c r="B8224" s="86"/>
    </x:row>
    <x:row r="8225">
      <x:c r="A8225" s="85"/>
      <x:c r="B8225" s="86"/>
    </x:row>
    <x:row r="8226">
      <x:c r="A8226" s="85"/>
      <x:c r="B8226" s="86"/>
    </x:row>
    <x:row r="8227">
      <x:c r="A8227" s="85"/>
      <x:c r="B8227" s="86"/>
    </x:row>
    <x:row r="8228">
      <x:c r="A8228" s="85"/>
      <x:c r="B8228" s="86"/>
    </x:row>
    <x:row r="8229">
      <x:c r="A8229" s="85"/>
      <x:c r="B8229" s="86"/>
    </x:row>
    <x:row r="8230">
      <x:c r="A8230" s="85"/>
      <x:c r="B8230" s="86"/>
    </x:row>
    <x:row r="8231">
      <x:c r="A8231" s="85"/>
      <x:c r="B8231" s="86"/>
    </x:row>
    <x:row r="8232">
      <x:c r="A8232" s="85"/>
      <x:c r="B8232" s="86"/>
    </x:row>
    <x:row r="8233">
      <x:c r="A8233" s="85"/>
      <x:c r="B8233" s="86"/>
    </x:row>
    <x:row r="8234">
      <x:c r="A8234" s="85"/>
      <x:c r="B8234" s="86"/>
    </x:row>
    <x:row r="8235">
      <x:c r="A8235" s="85"/>
      <x:c r="B8235" s="86"/>
    </x:row>
    <x:row r="8236">
      <x:c r="A8236" s="85"/>
      <x:c r="B8236" s="86"/>
    </x:row>
    <x:row r="8237">
      <x:c r="A8237" s="85"/>
      <x:c r="B8237" s="86"/>
    </x:row>
    <x:row r="8238">
      <x:c r="A8238" s="85"/>
      <x:c r="B8238" s="86"/>
    </x:row>
    <x:row r="8239">
      <x:c r="A8239" s="85"/>
      <x:c r="B8239" s="86"/>
    </x:row>
    <x:row r="8240">
      <x:c r="A8240" s="85"/>
      <x:c r="B8240" s="86"/>
    </x:row>
    <x:row r="8241">
      <x:c r="A8241" s="85"/>
      <x:c r="B8241" s="86"/>
    </x:row>
    <x:row r="8242">
      <x:c r="A8242" s="85"/>
      <x:c r="B8242" s="86"/>
    </x:row>
    <x:row r="8243">
      <x:c r="A8243" s="85"/>
      <x:c r="B8243" s="86"/>
    </x:row>
    <x:row r="8244">
      <x:c r="A8244" s="85"/>
      <x:c r="B8244" s="86"/>
    </x:row>
    <x:row r="8245">
      <x:c r="A8245" s="85"/>
      <x:c r="B8245" s="86"/>
    </x:row>
    <x:row r="8246">
      <x:c r="A8246" s="85"/>
      <x:c r="B8246" s="86"/>
    </x:row>
    <x:row r="8247">
      <x:c r="A8247" s="85"/>
      <x:c r="B8247" s="86"/>
    </x:row>
    <x:row r="8248">
      <x:c r="A8248" s="85"/>
      <x:c r="B8248" s="86"/>
    </x:row>
    <x:row r="8249">
      <x:c r="A8249" s="85"/>
      <x:c r="B8249" s="86"/>
    </x:row>
    <x:row r="8250">
      <x:c r="A8250" s="85"/>
      <x:c r="B8250" s="86"/>
    </x:row>
    <x:row r="8251">
      <x:c r="A8251" s="85"/>
      <x:c r="B8251" s="86"/>
    </x:row>
    <x:row r="8252">
      <x:c r="A8252" s="85"/>
      <x:c r="B8252" s="86"/>
    </x:row>
    <x:row r="8253">
      <x:c r="A8253" s="85"/>
      <x:c r="B8253" s="86"/>
    </x:row>
    <x:row r="8254">
      <x:c r="A8254" s="85"/>
      <x:c r="B8254" s="86"/>
    </x:row>
    <x:row r="8255">
      <x:c r="A8255" s="85"/>
      <x:c r="B8255" s="86"/>
    </x:row>
    <x:row r="8256">
      <x:c r="A8256" s="85"/>
      <x:c r="B8256" s="86"/>
    </x:row>
    <x:row r="8257">
      <x:c r="A8257" s="85"/>
      <x:c r="B8257" s="86"/>
    </x:row>
    <x:row r="8258">
      <x:c r="A8258" s="85"/>
      <x:c r="B8258" s="86"/>
    </x:row>
    <x:row r="8259">
      <x:c r="A8259" s="85"/>
      <x:c r="B8259" s="86"/>
    </x:row>
    <x:row r="8260">
      <x:c r="A8260" s="85"/>
      <x:c r="B8260" s="86"/>
    </x:row>
    <x:row r="8261">
      <x:c r="A8261" s="85"/>
      <x:c r="B8261" s="86"/>
    </x:row>
    <x:row r="8262">
      <x:c r="A8262" s="85"/>
      <x:c r="B8262" s="86"/>
    </x:row>
    <x:row r="8263">
      <x:c r="A8263" s="85"/>
      <x:c r="B8263" s="86"/>
    </x:row>
    <x:row r="8264">
      <x:c r="A8264" s="85"/>
      <x:c r="B8264" s="86"/>
    </x:row>
    <x:row r="8265">
      <x:c r="A8265" s="85"/>
      <x:c r="B8265" s="86"/>
    </x:row>
    <x:row r="8266">
      <x:c r="A8266" s="85"/>
      <x:c r="B8266" s="86"/>
    </x:row>
    <x:row r="8267">
      <x:c r="A8267" s="85"/>
      <x:c r="B8267" s="86"/>
    </x:row>
    <x:row r="8268">
      <x:c r="A8268" s="85"/>
      <x:c r="B8268" s="86"/>
    </x:row>
    <x:row r="8269">
      <x:c r="A8269" s="85"/>
      <x:c r="B8269" s="86"/>
    </x:row>
    <x:row r="8270">
      <x:c r="A8270" s="85"/>
      <x:c r="B8270" s="86"/>
    </x:row>
    <x:row r="8271">
      <x:c r="A8271" s="85"/>
      <x:c r="B8271" s="86"/>
    </x:row>
    <x:row r="8272">
      <x:c r="A8272" s="85"/>
      <x:c r="B8272" s="86"/>
    </x:row>
    <x:row r="8273">
      <x:c r="A8273" s="85"/>
      <x:c r="B8273" s="86"/>
    </x:row>
    <x:row r="8274">
      <x:c r="A8274" s="85"/>
      <x:c r="B8274" s="86"/>
    </x:row>
    <x:row r="8275">
      <x:c r="A8275" s="85"/>
      <x:c r="B8275" s="86"/>
    </x:row>
    <x:row r="8276">
      <x:c r="A8276" s="85"/>
      <x:c r="B8276" s="86"/>
    </x:row>
    <x:row r="8277">
      <x:c r="A8277" s="85"/>
      <x:c r="B8277" s="86"/>
    </x:row>
    <x:row r="8278">
      <x:c r="A8278" s="85"/>
      <x:c r="B8278" s="86"/>
    </x:row>
    <x:row r="8279">
      <x:c r="A8279" s="85"/>
      <x:c r="B8279" s="86"/>
    </x:row>
    <x:row r="8280">
      <x:c r="A8280" s="85"/>
      <x:c r="B8280" s="86"/>
    </x:row>
    <x:row r="8281">
      <x:c r="A8281" s="85"/>
      <x:c r="B8281" s="86"/>
    </x:row>
    <x:row r="8282">
      <x:c r="A8282" s="85"/>
      <x:c r="B8282" s="86"/>
    </x:row>
    <x:row r="8283">
      <x:c r="A8283" s="85"/>
      <x:c r="B8283" s="86"/>
    </x:row>
    <x:row r="8284">
      <x:c r="A8284" s="85"/>
      <x:c r="B8284" s="86"/>
    </x:row>
    <x:row r="8285">
      <x:c r="A8285" s="85"/>
      <x:c r="B8285" s="86"/>
    </x:row>
    <x:row r="8286">
      <x:c r="A8286" s="85"/>
      <x:c r="B8286" s="86"/>
    </x:row>
    <x:row r="8287">
      <x:c r="A8287" s="85"/>
      <x:c r="B8287" s="86"/>
    </x:row>
    <x:row r="8288">
      <x:c r="A8288" s="85"/>
      <x:c r="B8288" s="86"/>
    </x:row>
    <x:row r="8289">
      <x:c r="A8289" s="85"/>
      <x:c r="B8289" s="86"/>
    </x:row>
    <x:row r="8290">
      <x:c r="A8290" s="85"/>
      <x:c r="B8290" s="86"/>
    </x:row>
    <x:row r="8291">
      <x:c r="A8291" s="85"/>
      <x:c r="B8291" s="86"/>
    </x:row>
    <x:row r="8292">
      <x:c r="A8292" s="85"/>
      <x:c r="B8292" s="86"/>
    </x:row>
    <x:row r="8293">
      <x:c r="A8293" s="85"/>
      <x:c r="B8293" s="86"/>
    </x:row>
    <x:row r="8294">
      <x:c r="A8294" s="85"/>
      <x:c r="B8294" s="86"/>
    </x:row>
    <x:row r="8295">
      <x:c r="A8295" s="85"/>
      <x:c r="B8295" s="86"/>
    </x:row>
    <x:row r="8296">
      <x:c r="A8296" s="85"/>
      <x:c r="B8296" s="86"/>
    </x:row>
    <x:row r="8297">
      <x:c r="A8297" s="85"/>
      <x:c r="B8297" s="86"/>
    </x:row>
    <x:row r="8298">
      <x:c r="A8298" s="85"/>
      <x:c r="B8298" s="86"/>
    </x:row>
    <x:row r="8299">
      <x:c r="A8299" s="85"/>
      <x:c r="B8299" s="86"/>
    </x:row>
    <x:row r="8300">
      <x:c r="A8300" s="85"/>
      <x:c r="B8300" s="86"/>
    </x:row>
    <x:row r="8301">
      <x:c r="A8301" s="85"/>
      <x:c r="B8301" s="86"/>
    </x:row>
    <x:row r="8302">
      <x:c r="A8302" s="85"/>
      <x:c r="B8302" s="86"/>
    </x:row>
    <x:row r="8303">
      <x:c r="A8303" s="85"/>
      <x:c r="B8303" s="86"/>
    </x:row>
    <x:row r="8304">
      <x:c r="A8304" s="85"/>
      <x:c r="B8304" s="86"/>
    </x:row>
    <x:row r="8305">
      <x:c r="A8305" s="85"/>
      <x:c r="B8305" s="86"/>
    </x:row>
    <x:row r="8306">
      <x:c r="A8306" s="85"/>
      <x:c r="B8306" s="86"/>
    </x:row>
    <x:row r="8307">
      <x:c r="A8307" s="85"/>
      <x:c r="B8307" s="86"/>
    </x:row>
    <x:row r="8308">
      <x:c r="A8308" s="85"/>
      <x:c r="B8308" s="86"/>
    </x:row>
    <x:row r="8309">
      <x:c r="A8309" s="85"/>
      <x:c r="B8309" s="86"/>
    </x:row>
    <x:row r="8310">
      <x:c r="A8310" s="85"/>
      <x:c r="B8310" s="86"/>
    </x:row>
    <x:row r="8311">
      <x:c r="A8311" s="85"/>
      <x:c r="B8311" s="86"/>
    </x:row>
    <x:row r="8312">
      <x:c r="A8312" s="85"/>
      <x:c r="B8312" s="86"/>
    </x:row>
    <x:row r="8313">
      <x:c r="A8313" s="85"/>
      <x:c r="B8313" s="86"/>
    </x:row>
    <x:row r="8314">
      <x:c r="A8314" s="85"/>
      <x:c r="B8314" s="86"/>
    </x:row>
    <x:row r="8315">
      <x:c r="A8315" s="85"/>
      <x:c r="B8315" s="86"/>
    </x:row>
    <x:row r="8316">
      <x:c r="A8316" s="85"/>
      <x:c r="B8316" s="86"/>
    </x:row>
    <x:row r="8317">
      <x:c r="A8317" s="85"/>
      <x:c r="B8317" s="86"/>
    </x:row>
    <x:row r="8318">
      <x:c r="A8318" s="85"/>
      <x:c r="B8318" s="86"/>
    </x:row>
    <x:row r="8319">
      <x:c r="A8319" s="85"/>
      <x:c r="B8319" s="86"/>
    </x:row>
    <x:row r="8320">
      <x:c r="A8320" s="85"/>
      <x:c r="B8320" s="86"/>
    </x:row>
    <x:row r="8321">
      <x:c r="A8321" s="85"/>
      <x:c r="B8321" s="86"/>
    </x:row>
    <x:row r="8322">
      <x:c r="A8322" s="85"/>
      <x:c r="B8322" s="86"/>
    </x:row>
    <x:row r="8323">
      <x:c r="A8323" s="85"/>
      <x:c r="B8323" s="86"/>
    </x:row>
    <x:row r="8324">
      <x:c r="A8324" s="85"/>
      <x:c r="B8324" s="86"/>
    </x:row>
    <x:row r="8325">
      <x:c r="A8325" s="85"/>
      <x:c r="B8325" s="86"/>
    </x:row>
    <x:row r="8326">
      <x:c r="A8326" s="85"/>
      <x:c r="B8326" s="86"/>
    </x:row>
    <x:row r="8327">
      <x:c r="A8327" s="85"/>
      <x:c r="B8327" s="86"/>
    </x:row>
    <x:row r="8328">
      <x:c r="A8328" s="85"/>
      <x:c r="B8328" s="86"/>
    </x:row>
    <x:row r="8329">
      <x:c r="A8329" s="85"/>
      <x:c r="B8329" s="86"/>
    </x:row>
    <x:row r="8330">
      <x:c r="A8330" s="85"/>
      <x:c r="B8330" s="86"/>
    </x:row>
    <x:row r="8331">
      <x:c r="A8331" s="85"/>
      <x:c r="B8331" s="86"/>
    </x:row>
    <x:row r="8332">
      <x:c r="A8332" s="85"/>
      <x:c r="B8332" s="86"/>
    </x:row>
    <x:row r="8333">
      <x:c r="A8333" s="85"/>
      <x:c r="B8333" s="86"/>
    </x:row>
    <x:row r="8334">
      <x:c r="A8334" s="85"/>
      <x:c r="B8334" s="86"/>
    </x:row>
    <x:row r="8335">
      <x:c r="A8335" s="85"/>
      <x:c r="B8335" s="86"/>
    </x:row>
    <x:row r="8336">
      <x:c r="A8336" s="85"/>
      <x:c r="B8336" s="86"/>
    </x:row>
    <x:row r="8337">
      <x:c r="A8337" s="85"/>
      <x:c r="B8337" s="86"/>
    </x:row>
    <x:row r="8338">
      <x:c r="A8338" s="85"/>
      <x:c r="B8338" s="86"/>
    </x:row>
    <x:row r="8339">
      <x:c r="A8339" s="85"/>
      <x:c r="B8339" s="86"/>
    </x:row>
    <x:row r="8340">
      <x:c r="A8340" s="85"/>
      <x:c r="B8340" s="86"/>
    </x:row>
    <x:row r="8341">
      <x:c r="A8341" s="85"/>
      <x:c r="B8341" s="86"/>
    </x:row>
    <x:row r="8342">
      <x:c r="A8342" s="85"/>
      <x:c r="B8342" s="86"/>
    </x:row>
    <x:row r="8343">
      <x:c r="A8343" s="85"/>
      <x:c r="B8343" s="86"/>
    </x:row>
    <x:row r="8344">
      <x:c r="A8344" s="85"/>
      <x:c r="B8344" s="86"/>
    </x:row>
    <x:row r="8345">
      <x:c r="A8345" s="85"/>
      <x:c r="B8345" s="86"/>
    </x:row>
    <x:row r="8346">
      <x:c r="A8346" s="85"/>
      <x:c r="B8346" s="86"/>
    </x:row>
    <x:row r="8347">
      <x:c r="A8347" s="85"/>
      <x:c r="B8347" s="86"/>
    </x:row>
    <x:row r="8348">
      <x:c r="A8348" s="85"/>
      <x:c r="B8348" s="86"/>
    </x:row>
    <x:row r="8349">
      <x:c r="A8349" s="85"/>
      <x:c r="B8349" s="86"/>
    </x:row>
    <x:row r="8350">
      <x:c r="A8350" s="85"/>
      <x:c r="B8350" s="86"/>
    </x:row>
    <x:row r="8351">
      <x:c r="A8351" s="85"/>
      <x:c r="B8351" s="86"/>
    </x:row>
    <x:row r="8352">
      <x:c r="A8352" s="85"/>
      <x:c r="B8352" s="86"/>
    </x:row>
    <x:row r="8353">
      <x:c r="A8353" s="85"/>
      <x:c r="B8353" s="86"/>
    </x:row>
    <x:row r="8354">
      <x:c r="A8354" s="85"/>
      <x:c r="B8354" s="86"/>
    </x:row>
    <x:row r="8355">
      <x:c r="A8355" s="85"/>
      <x:c r="B8355" s="86"/>
    </x:row>
    <x:row r="8356">
      <x:c r="A8356" s="85"/>
      <x:c r="B8356" s="86"/>
    </x:row>
    <x:row r="8357">
      <x:c r="A8357" s="85"/>
      <x:c r="B8357" s="86"/>
    </x:row>
    <x:row r="8358">
      <x:c r="A8358" s="85"/>
      <x:c r="B8358" s="86"/>
    </x:row>
    <x:row r="8359">
      <x:c r="A8359" s="85"/>
      <x:c r="B8359" s="86"/>
    </x:row>
    <x:row r="8360">
      <x:c r="A8360" s="85"/>
      <x:c r="B8360" s="86"/>
    </x:row>
    <x:row r="8361">
      <x:c r="A8361" s="85"/>
      <x:c r="B8361" s="86"/>
    </x:row>
    <x:row r="8362">
      <x:c r="A8362" s="85"/>
      <x:c r="B8362" s="86"/>
    </x:row>
    <x:row r="8363">
      <x:c r="A8363" s="85"/>
      <x:c r="B8363" s="86"/>
    </x:row>
    <x:row r="8364">
      <x:c r="A8364" s="85"/>
      <x:c r="B8364" s="86"/>
    </x:row>
    <x:row r="8365">
      <x:c r="A8365" s="85"/>
      <x:c r="B8365" s="86"/>
    </x:row>
    <x:row r="8366">
      <x:c r="A8366" s="85"/>
      <x:c r="B8366" s="86"/>
    </x:row>
    <x:row r="8367">
      <x:c r="A8367" s="85"/>
      <x:c r="B8367" s="86"/>
    </x:row>
    <x:row r="8368">
      <x:c r="A8368" s="85"/>
      <x:c r="B8368" s="86"/>
    </x:row>
    <x:row r="8369">
      <x:c r="A8369" s="85"/>
      <x:c r="B8369" s="86"/>
    </x:row>
    <x:row r="8370">
      <x:c r="A8370" s="85"/>
      <x:c r="B8370" s="86"/>
    </x:row>
    <x:row r="8371">
      <x:c r="A8371" s="85"/>
      <x:c r="B8371" s="86"/>
    </x:row>
    <x:row r="8372">
      <x:c r="A8372" s="85"/>
      <x:c r="B8372" s="86"/>
    </x:row>
    <x:row r="8373">
      <x:c r="A8373" s="85"/>
      <x:c r="B8373" s="86"/>
    </x:row>
    <x:row r="8374">
      <x:c r="A8374" s="85"/>
      <x:c r="B8374" s="86"/>
    </x:row>
    <x:row r="8375">
      <x:c r="A8375" s="85"/>
      <x:c r="B8375" s="86"/>
    </x:row>
    <x:row r="8376">
      <x:c r="A8376" s="85"/>
      <x:c r="B8376" s="86"/>
    </x:row>
    <x:row r="8377">
      <x:c r="A8377" s="85"/>
      <x:c r="B8377" s="86"/>
    </x:row>
    <x:row r="8378">
      <x:c r="A8378" s="85"/>
      <x:c r="B8378" s="86"/>
    </x:row>
    <x:row r="8379">
      <x:c r="A8379" s="85"/>
      <x:c r="B8379" s="86"/>
    </x:row>
    <x:row r="8380">
      <x:c r="A8380" s="85"/>
      <x:c r="B8380" s="86"/>
    </x:row>
    <x:row r="8381">
      <x:c r="A8381" s="85"/>
      <x:c r="B8381" s="86"/>
    </x:row>
    <x:row r="8382">
      <x:c r="A8382" s="85"/>
      <x:c r="B8382" s="86"/>
    </x:row>
    <x:row r="8383">
      <x:c r="A8383" s="85"/>
      <x:c r="B8383" s="86"/>
    </x:row>
    <x:row r="8384">
      <x:c r="A8384" s="85"/>
      <x:c r="B8384" s="86"/>
    </x:row>
    <x:row r="8385">
      <x:c r="A8385" s="85"/>
      <x:c r="B8385" s="86"/>
    </x:row>
    <x:row r="8386">
      <x:c r="A8386" s="85"/>
      <x:c r="B8386" s="86"/>
    </x:row>
    <x:row r="8387">
      <x:c r="A8387" s="85"/>
      <x:c r="B8387" s="86"/>
    </x:row>
    <x:row r="8388">
      <x:c r="A8388" s="85"/>
      <x:c r="B8388" s="86"/>
    </x:row>
    <x:row r="8389">
      <x:c r="A8389" s="85"/>
      <x:c r="B8389" s="86"/>
    </x:row>
    <x:row r="8390">
      <x:c r="A8390" s="85"/>
      <x:c r="B8390" s="86"/>
    </x:row>
    <x:row r="8391">
      <x:c r="A8391" s="85"/>
      <x:c r="B8391" s="86"/>
    </x:row>
    <x:row r="8392">
      <x:c r="A8392" s="85"/>
      <x:c r="B8392" s="86"/>
    </x:row>
    <x:row r="8393">
      <x:c r="A8393" s="85"/>
      <x:c r="B8393" s="86"/>
    </x:row>
    <x:row r="8394">
      <x:c r="A8394" s="85"/>
      <x:c r="B8394" s="86"/>
    </x:row>
    <x:row r="8395">
      <x:c r="A8395" s="85"/>
      <x:c r="B8395" s="86"/>
    </x:row>
    <x:row r="8396">
      <x:c r="A8396" s="85"/>
      <x:c r="B8396" s="86"/>
    </x:row>
    <x:row r="8397">
      <x:c r="A8397" s="85"/>
      <x:c r="B8397" s="86"/>
    </x:row>
    <x:row r="8398">
      <x:c r="A8398" s="85"/>
      <x:c r="B8398" s="86"/>
    </x:row>
    <x:row r="8399">
      <x:c r="A8399" s="85"/>
      <x:c r="B8399" s="86"/>
    </x:row>
    <x:row r="8400">
      <x:c r="A8400" s="85"/>
      <x:c r="B8400" s="86"/>
    </x:row>
    <x:row r="8401">
      <x:c r="A8401" s="85"/>
      <x:c r="B8401" s="86"/>
    </x:row>
    <x:row r="8402">
      <x:c r="A8402" s="85"/>
      <x:c r="B8402" s="86"/>
    </x:row>
    <x:row r="8403">
      <x:c r="A8403" s="85"/>
      <x:c r="B8403" s="86"/>
    </x:row>
    <x:row r="8404">
      <x:c r="A8404" s="85"/>
      <x:c r="B8404" s="86"/>
    </x:row>
    <x:row r="8405">
      <x:c r="A8405" s="85"/>
      <x:c r="B8405" s="86"/>
    </x:row>
    <x:row r="8406">
      <x:c r="A8406" s="85"/>
      <x:c r="B8406" s="86"/>
    </x:row>
    <x:row r="8407">
      <x:c r="A8407" s="85"/>
      <x:c r="B8407" s="86"/>
    </x:row>
    <x:row r="8408">
      <x:c r="A8408" s="85"/>
      <x:c r="B8408" s="86"/>
    </x:row>
    <x:row r="8409">
      <x:c r="A8409" s="85"/>
      <x:c r="B8409" s="86"/>
    </x:row>
    <x:row r="8410">
      <x:c r="A8410" s="85"/>
      <x:c r="B8410" s="86"/>
    </x:row>
    <x:row r="8411">
      <x:c r="A8411" s="85"/>
      <x:c r="B8411" s="86"/>
    </x:row>
    <x:row r="8412">
      <x:c r="A8412" s="85"/>
      <x:c r="B8412" s="86"/>
    </x:row>
    <x:row r="8413">
      <x:c r="A8413" s="85"/>
      <x:c r="B8413" s="86"/>
    </x:row>
    <x:row r="8414">
      <x:c r="A8414" s="85"/>
      <x:c r="B8414" s="86"/>
    </x:row>
    <x:row r="8415">
      <x:c r="A8415" s="85"/>
      <x:c r="B8415" s="86"/>
    </x:row>
    <x:row r="8416">
      <x:c r="A8416" s="85"/>
      <x:c r="B8416" s="86"/>
    </x:row>
    <x:row r="8417">
      <x:c r="A8417" s="85"/>
      <x:c r="B8417" s="86"/>
    </x:row>
    <x:row r="8418">
      <x:c r="A8418" s="85"/>
      <x:c r="B8418" s="86"/>
    </x:row>
    <x:row r="8419">
      <x:c r="A8419" s="85"/>
      <x:c r="B8419" s="86"/>
    </x:row>
    <x:row r="8420">
      <x:c r="A8420" s="85"/>
      <x:c r="B8420" s="86"/>
    </x:row>
    <x:row r="8421">
      <x:c r="A8421" s="85"/>
      <x:c r="B8421" s="86"/>
    </x:row>
    <x:row r="8422">
      <x:c r="A8422" s="85"/>
      <x:c r="B8422" s="86"/>
    </x:row>
    <x:row r="8423">
      <x:c r="A8423" s="85"/>
      <x:c r="B8423" s="86"/>
    </x:row>
    <x:row r="8424">
      <x:c r="A8424" s="85"/>
      <x:c r="B8424" s="86"/>
    </x:row>
    <x:row r="8425">
      <x:c r="A8425" s="85"/>
      <x:c r="B8425" s="86"/>
    </x:row>
    <x:row r="8426">
      <x:c r="A8426" s="85"/>
      <x:c r="B8426" s="86"/>
    </x:row>
    <x:row r="8427">
      <x:c r="A8427" s="85"/>
      <x:c r="B8427" s="86"/>
    </x:row>
    <x:row r="8428">
      <x:c r="A8428" s="85"/>
      <x:c r="B8428" s="86"/>
    </x:row>
    <x:row r="8429">
      <x:c r="A8429" s="85"/>
      <x:c r="B8429" s="86"/>
    </x:row>
    <x:row r="8430">
      <x:c r="A8430" s="85"/>
      <x:c r="B8430" s="86"/>
    </x:row>
    <x:row r="8431">
      <x:c r="A8431" s="85"/>
      <x:c r="B8431" s="86"/>
    </x:row>
    <x:row r="8432">
      <x:c r="A8432" s="85"/>
      <x:c r="B8432" s="86"/>
    </x:row>
    <x:row r="8433">
      <x:c r="A8433" s="85"/>
      <x:c r="B8433" s="86"/>
    </x:row>
    <x:row r="8434">
      <x:c r="A8434" s="85"/>
      <x:c r="B8434" s="86"/>
    </x:row>
    <x:row r="8435">
      <x:c r="A8435" s="85"/>
      <x:c r="B8435" s="86"/>
    </x:row>
    <x:row r="8436">
      <x:c r="A8436" s="85"/>
      <x:c r="B8436" s="86"/>
    </x:row>
    <x:row r="8437">
      <x:c r="A8437" s="85"/>
      <x:c r="B8437" s="86"/>
    </x:row>
    <x:row r="8438">
      <x:c r="A8438" s="85"/>
      <x:c r="B8438" s="86"/>
    </x:row>
    <x:row r="8439">
      <x:c r="A8439" s="85"/>
      <x:c r="B8439" s="86"/>
    </x:row>
    <x:row r="8440">
      <x:c r="A8440" s="85"/>
      <x:c r="B8440" s="86"/>
    </x:row>
    <x:row r="8441">
      <x:c r="A8441" s="85"/>
      <x:c r="B8441" s="86"/>
    </x:row>
    <x:row r="8442">
      <x:c r="A8442" s="85"/>
      <x:c r="B8442" s="86"/>
    </x:row>
    <x:row r="8443">
      <x:c r="A8443" s="85"/>
      <x:c r="B8443" s="86"/>
    </x:row>
    <x:row r="8444">
      <x:c r="A8444" s="85"/>
      <x:c r="B8444" s="86"/>
    </x:row>
    <x:row r="8445">
      <x:c r="A8445" s="85"/>
      <x:c r="B8445" s="86"/>
    </x:row>
    <x:row r="8446">
      <x:c r="A8446" s="85"/>
      <x:c r="B8446" s="86"/>
    </x:row>
    <x:row r="8447">
      <x:c r="A8447" s="85"/>
      <x:c r="B8447" s="86"/>
    </x:row>
    <x:row r="8448">
      <x:c r="A8448" s="85"/>
      <x:c r="B8448" s="86"/>
    </x:row>
    <x:row r="8449">
      <x:c r="A8449" s="85"/>
      <x:c r="B8449" s="86"/>
    </x:row>
    <x:row r="8450">
      <x:c r="A8450" s="85"/>
      <x:c r="B8450" s="86"/>
    </x:row>
    <x:row r="8451">
      <x:c r="A8451" s="85"/>
      <x:c r="B8451" s="86"/>
    </x:row>
    <x:row r="8452">
      <x:c r="A8452" s="85"/>
      <x:c r="B8452" s="86"/>
    </x:row>
    <x:row r="8453">
      <x:c r="A8453" s="85"/>
      <x:c r="B8453" s="86"/>
    </x:row>
    <x:row r="8454">
      <x:c r="A8454" s="85"/>
      <x:c r="B8454" s="86"/>
    </x:row>
    <x:row r="8455">
      <x:c r="A8455" s="85"/>
      <x:c r="B8455" s="86"/>
    </x:row>
    <x:row r="8456">
      <x:c r="A8456" s="85"/>
      <x:c r="B8456" s="86"/>
    </x:row>
    <x:row r="8457">
      <x:c r="A8457" s="85"/>
      <x:c r="B8457" s="86"/>
    </x:row>
    <x:row r="8458">
      <x:c r="A8458" s="85"/>
      <x:c r="B8458" s="86"/>
    </x:row>
    <x:row r="8459">
      <x:c r="A8459" s="85"/>
      <x:c r="B8459" s="86"/>
    </x:row>
    <x:row r="8460">
      <x:c r="A8460" s="85"/>
      <x:c r="B8460" s="86"/>
    </x:row>
    <x:row r="8461">
      <x:c r="A8461" s="85"/>
      <x:c r="B8461" s="86"/>
    </x:row>
    <x:row r="8462">
      <x:c r="A8462" s="85"/>
      <x:c r="B8462" s="86"/>
    </x:row>
    <x:row r="8463">
      <x:c r="A8463" s="85"/>
      <x:c r="B8463" s="86"/>
    </x:row>
    <x:row r="8464">
      <x:c r="A8464" s="85"/>
      <x:c r="B8464" s="86"/>
    </x:row>
    <x:row r="8465">
      <x:c r="A8465" s="85"/>
      <x:c r="B8465" s="86"/>
    </x:row>
    <x:row r="8466">
      <x:c r="A8466" s="85"/>
      <x:c r="B8466" s="86"/>
    </x:row>
    <x:row r="8467">
      <x:c r="A8467" s="85"/>
      <x:c r="B8467" s="86"/>
    </x:row>
    <x:row r="8468">
      <x:c r="A8468" s="85"/>
      <x:c r="B8468" s="86"/>
    </x:row>
    <x:row r="8469">
      <x:c r="A8469" s="85"/>
      <x:c r="B8469" s="86"/>
    </x:row>
    <x:row r="8470">
      <x:c r="A8470" s="85"/>
      <x:c r="B8470" s="86"/>
    </x:row>
    <x:row r="8471">
      <x:c r="A8471" s="85"/>
      <x:c r="B8471" s="86"/>
    </x:row>
    <x:row r="8472">
      <x:c r="A8472" s="85"/>
      <x:c r="B8472" s="86"/>
    </x:row>
    <x:row r="8473">
      <x:c r="A8473" s="85"/>
      <x:c r="B8473" s="86"/>
    </x:row>
    <x:row r="8474">
      <x:c r="A8474" s="85"/>
      <x:c r="B8474" s="86"/>
    </x:row>
    <x:row r="8475">
      <x:c r="A8475" s="85"/>
      <x:c r="B8475" s="86"/>
    </x:row>
    <x:row r="8476">
      <x:c r="A8476" s="85"/>
      <x:c r="B8476" s="86"/>
    </x:row>
    <x:row r="8477">
      <x:c r="A8477" s="85"/>
      <x:c r="B8477" s="86"/>
    </x:row>
    <x:row r="8478">
      <x:c r="A8478" s="85"/>
      <x:c r="B8478" s="86"/>
    </x:row>
    <x:row r="8479">
      <x:c r="A8479" s="85"/>
      <x:c r="B8479" s="86"/>
    </x:row>
    <x:row r="8480">
      <x:c r="A8480" s="85"/>
      <x:c r="B8480" s="86"/>
    </x:row>
    <x:row r="8481">
      <x:c r="A8481" s="85"/>
      <x:c r="B8481" s="86"/>
    </x:row>
    <x:row r="8482">
      <x:c r="A8482" s="85"/>
      <x:c r="B8482" s="86"/>
    </x:row>
    <x:row r="8483">
      <x:c r="A8483" s="85"/>
      <x:c r="B8483" s="86"/>
    </x:row>
    <x:row r="8484">
      <x:c r="A8484" s="85"/>
      <x:c r="B8484" s="86"/>
    </x:row>
    <x:row r="8485">
      <x:c r="A8485" s="85"/>
      <x:c r="B8485" s="86"/>
    </x:row>
    <x:row r="8486">
      <x:c r="A8486" s="85"/>
      <x:c r="B8486" s="86"/>
    </x:row>
    <x:row r="8487">
      <x:c r="A8487" s="85"/>
      <x:c r="B8487" s="86"/>
    </x:row>
    <x:row r="8488">
      <x:c r="A8488" s="85"/>
      <x:c r="B8488" s="86"/>
    </x:row>
    <x:row r="8489">
      <x:c r="A8489" s="85"/>
      <x:c r="B8489" s="86"/>
    </x:row>
    <x:row r="8490">
      <x:c r="A8490" s="85"/>
      <x:c r="B8490" s="86"/>
    </x:row>
    <x:row r="8491">
      <x:c r="A8491" s="85"/>
      <x:c r="B8491" s="86"/>
    </x:row>
    <x:row r="8492">
      <x:c r="A8492" s="85"/>
      <x:c r="B8492" s="86"/>
    </x:row>
    <x:row r="8493">
      <x:c r="A8493" s="85"/>
      <x:c r="B8493" s="86"/>
    </x:row>
    <x:row r="8494">
      <x:c r="A8494" s="85"/>
      <x:c r="B8494" s="86"/>
    </x:row>
    <x:row r="8495">
      <x:c r="A8495" s="85"/>
      <x:c r="B8495" s="86"/>
    </x:row>
    <x:row r="8496">
      <x:c r="A8496" s="85"/>
      <x:c r="B8496" s="86"/>
    </x:row>
    <x:row r="8497">
      <x:c r="A8497" s="85"/>
      <x:c r="B8497" s="86"/>
    </x:row>
    <x:row r="8498">
      <x:c r="A8498" s="85"/>
      <x:c r="B8498" s="86"/>
    </x:row>
    <x:row r="8499">
      <x:c r="A8499" s="85"/>
      <x:c r="B8499" s="86"/>
    </x:row>
    <x:row r="8500">
      <x:c r="A8500" s="85"/>
      <x:c r="B8500" s="86"/>
    </x:row>
    <x:row r="8501">
      <x:c r="A8501" s="85"/>
      <x:c r="B8501" s="86"/>
    </x:row>
    <x:row r="8502">
      <x:c r="A8502" s="85"/>
      <x:c r="B8502" s="86"/>
    </x:row>
    <x:row r="8503">
      <x:c r="A8503" s="85"/>
      <x:c r="B8503" s="86"/>
    </x:row>
    <x:row r="8504">
      <x:c r="A8504" s="85"/>
      <x:c r="B8504" s="86"/>
    </x:row>
    <x:row r="8505">
      <x:c r="A8505" s="85"/>
      <x:c r="B8505" s="86"/>
    </x:row>
    <x:row r="8506">
      <x:c r="A8506" s="85"/>
      <x:c r="B8506" s="86"/>
    </x:row>
    <x:row r="8507">
      <x:c r="A8507" s="85"/>
      <x:c r="B8507" s="86"/>
    </x:row>
    <x:row r="8508">
      <x:c r="A8508" s="85"/>
      <x:c r="B8508" s="86"/>
    </x:row>
    <x:row r="8509">
      <x:c r="A8509" s="85"/>
      <x:c r="B8509" s="86"/>
    </x:row>
    <x:row r="8510">
      <x:c r="A8510" s="85"/>
      <x:c r="B8510" s="86"/>
    </x:row>
    <x:row r="8511">
      <x:c r="A8511" s="85"/>
      <x:c r="B8511" s="86"/>
    </x:row>
    <x:row r="8512">
      <x:c r="A8512" s="85"/>
      <x:c r="B8512" s="86"/>
    </x:row>
    <x:row r="8513">
      <x:c r="A8513" s="85"/>
      <x:c r="B8513" s="86"/>
    </x:row>
    <x:row r="8514">
      <x:c r="A8514" s="85"/>
      <x:c r="B8514" s="86"/>
    </x:row>
    <x:row r="8515">
      <x:c r="A8515" s="85"/>
      <x:c r="B8515" s="86"/>
    </x:row>
    <x:row r="8516">
      <x:c r="A8516" s="85"/>
      <x:c r="B8516" s="86"/>
    </x:row>
    <x:row r="8517">
      <x:c r="A8517" s="85"/>
      <x:c r="B8517" s="86"/>
    </x:row>
    <x:row r="8518">
      <x:c r="A8518" s="85"/>
      <x:c r="B8518" s="86"/>
    </x:row>
    <x:row r="8519">
      <x:c r="A8519" s="85"/>
      <x:c r="B8519" s="86"/>
    </x:row>
    <x:row r="8520">
      <x:c r="A8520" s="85"/>
      <x:c r="B8520" s="86"/>
    </x:row>
    <x:row r="8521">
      <x:c r="A8521" s="85"/>
      <x:c r="B8521" s="86"/>
    </x:row>
    <x:row r="8522">
      <x:c r="A8522" s="85"/>
      <x:c r="B8522" s="86"/>
    </x:row>
    <x:row r="8523">
      <x:c r="A8523" s="85"/>
      <x:c r="B8523" s="86"/>
    </x:row>
    <x:row r="8524">
      <x:c r="A8524" s="85"/>
      <x:c r="B8524" s="86"/>
    </x:row>
    <x:row r="8525">
      <x:c r="A8525" s="85"/>
      <x:c r="B8525" s="86"/>
    </x:row>
    <x:row r="8526">
      <x:c r="A8526" s="85"/>
      <x:c r="B8526" s="86"/>
    </x:row>
    <x:row r="8527">
      <x:c r="A8527" s="85"/>
      <x:c r="B8527" s="86"/>
    </x:row>
    <x:row r="8528">
      <x:c r="A8528" s="85"/>
      <x:c r="B8528" s="86"/>
    </x:row>
    <x:row r="8529">
      <x:c r="A8529" s="85"/>
      <x:c r="B8529" s="86"/>
    </x:row>
    <x:row r="8530">
      <x:c r="A8530" s="85"/>
      <x:c r="B8530" s="86"/>
    </x:row>
    <x:row r="8531">
      <x:c r="A8531" s="85"/>
      <x:c r="B8531" s="86"/>
    </x:row>
    <x:row r="8532">
      <x:c r="A8532" s="85"/>
      <x:c r="B8532" s="86"/>
    </x:row>
    <x:row r="8533">
      <x:c r="A8533" s="85"/>
      <x:c r="B8533" s="86"/>
    </x:row>
    <x:row r="8534">
      <x:c r="A8534" s="85"/>
      <x:c r="B8534" s="86"/>
    </x:row>
    <x:row r="8535">
      <x:c r="A8535" s="85"/>
      <x:c r="B8535" s="86"/>
    </x:row>
    <x:row r="8536">
      <x:c r="A8536" s="85"/>
      <x:c r="B8536" s="86"/>
    </x:row>
    <x:row r="8537">
      <x:c r="A8537" s="85"/>
      <x:c r="B8537" s="86"/>
    </x:row>
    <x:row r="8538">
      <x:c r="A8538" s="85"/>
      <x:c r="B8538" s="86"/>
    </x:row>
    <x:row r="8539">
      <x:c r="A8539" s="85"/>
      <x:c r="B8539" s="86"/>
    </x:row>
    <x:row r="8540">
      <x:c r="A8540" s="85"/>
      <x:c r="B8540" s="86"/>
    </x:row>
    <x:row r="8541">
      <x:c r="A8541" s="85"/>
      <x:c r="B8541" s="86"/>
    </x:row>
    <x:row r="8542">
      <x:c r="A8542" s="85"/>
      <x:c r="B8542" s="86"/>
    </x:row>
    <x:row r="8543">
      <x:c r="A8543" s="85"/>
      <x:c r="B8543" s="86"/>
    </x:row>
    <x:row r="8544">
      <x:c r="A8544" s="85"/>
      <x:c r="B8544" s="86"/>
    </x:row>
    <x:row r="8545">
      <x:c r="A8545" s="85"/>
      <x:c r="B8545" s="86"/>
    </x:row>
    <x:row r="8546">
      <x:c r="A8546" s="85"/>
      <x:c r="B8546" s="86"/>
    </x:row>
    <x:row r="8547">
      <x:c r="A8547" s="85"/>
      <x:c r="B8547" s="86"/>
    </x:row>
    <x:row r="8548">
      <x:c r="A8548" s="85"/>
      <x:c r="B8548" s="86"/>
    </x:row>
    <x:row r="8549">
      <x:c r="A8549" s="85"/>
      <x:c r="B8549" s="86"/>
    </x:row>
    <x:row r="8550">
      <x:c r="A8550" s="85"/>
      <x:c r="B8550" s="86"/>
    </x:row>
    <x:row r="8551">
      <x:c r="A8551" s="85"/>
      <x:c r="B8551" s="86"/>
    </x:row>
    <x:row r="8552">
      <x:c r="A8552" s="85"/>
      <x:c r="B8552" s="86"/>
    </x:row>
    <x:row r="8553">
      <x:c r="A8553" s="85"/>
      <x:c r="B8553" s="86"/>
    </x:row>
    <x:row r="8554">
      <x:c r="A8554" s="85"/>
      <x:c r="B8554" s="86"/>
    </x:row>
    <x:row r="8555">
      <x:c r="A8555" s="85"/>
      <x:c r="B8555" s="86"/>
    </x:row>
    <x:row r="8556">
      <x:c r="A8556" s="85"/>
      <x:c r="B8556" s="86"/>
    </x:row>
    <x:row r="8557">
      <x:c r="A8557" s="85"/>
      <x:c r="B8557" s="86"/>
    </x:row>
    <x:row r="8558">
      <x:c r="A8558" s="85"/>
      <x:c r="B8558" s="86"/>
    </x:row>
    <x:row r="8559">
      <x:c r="A8559" s="85"/>
      <x:c r="B8559" s="86"/>
    </x:row>
    <x:row r="8560">
      <x:c r="A8560" s="85"/>
      <x:c r="B8560" s="86"/>
    </x:row>
    <x:row r="8561">
      <x:c r="A8561" s="85"/>
      <x:c r="B8561" s="86"/>
    </x:row>
    <x:row r="8562">
      <x:c r="A8562" s="85"/>
      <x:c r="B8562" s="86"/>
    </x:row>
    <x:row r="8563">
      <x:c r="A8563" s="85"/>
      <x:c r="B8563" s="86"/>
    </x:row>
    <x:row r="8564">
      <x:c r="A8564" s="85"/>
      <x:c r="B8564" s="86"/>
    </x:row>
    <x:row r="8565">
      <x:c r="A8565" s="85"/>
      <x:c r="B8565" s="86"/>
    </x:row>
    <x:row r="8566">
      <x:c r="A8566" s="85"/>
      <x:c r="B8566" s="86"/>
    </x:row>
    <x:row r="8567">
      <x:c r="A8567" s="85"/>
      <x:c r="B8567" s="86"/>
    </x:row>
    <x:row r="8568">
      <x:c r="A8568" s="85"/>
      <x:c r="B8568" s="86"/>
    </x:row>
    <x:row r="8569">
      <x:c r="A8569" s="85"/>
      <x:c r="B8569" s="86"/>
    </x:row>
    <x:row r="8570">
      <x:c r="A8570" s="85"/>
      <x:c r="B8570" s="86"/>
    </x:row>
    <x:row r="8571">
      <x:c r="A8571" s="85"/>
      <x:c r="B8571" s="86"/>
    </x:row>
    <x:row r="8572">
      <x:c r="A8572" s="85"/>
      <x:c r="B8572" s="86"/>
    </x:row>
    <x:row r="8573">
      <x:c r="A8573" s="85"/>
      <x:c r="B8573" s="86"/>
    </x:row>
    <x:row r="8574">
      <x:c r="A8574" s="85"/>
      <x:c r="B8574" s="86"/>
    </x:row>
    <x:row r="8575">
      <x:c r="A8575" s="85"/>
      <x:c r="B8575" s="86"/>
    </x:row>
    <x:row r="8576">
      <x:c r="A8576" s="85"/>
      <x:c r="B8576" s="86"/>
    </x:row>
    <x:row r="8577">
      <x:c r="A8577" s="85"/>
      <x:c r="B8577" s="86"/>
    </x:row>
    <x:row r="8578">
      <x:c r="A8578" s="85"/>
      <x:c r="B8578" s="86"/>
    </x:row>
    <x:row r="8579">
      <x:c r="A8579" s="85"/>
      <x:c r="B8579" s="86"/>
    </x:row>
    <x:row r="8580">
      <x:c r="A8580" s="85"/>
      <x:c r="B8580" s="86"/>
    </x:row>
    <x:row r="8581">
      <x:c r="A8581" s="85"/>
      <x:c r="B8581" s="86"/>
    </x:row>
    <x:row r="8582">
      <x:c r="A8582" s="85"/>
      <x:c r="B8582" s="86"/>
    </x:row>
    <x:row r="8583">
      <x:c r="A8583" s="85"/>
      <x:c r="B8583" s="86"/>
    </x:row>
    <x:row r="8584">
      <x:c r="A8584" s="85"/>
      <x:c r="B8584" s="86"/>
    </x:row>
    <x:row r="8585">
      <x:c r="A8585" s="85"/>
      <x:c r="B8585" s="86"/>
    </x:row>
    <x:row r="8586">
      <x:c r="A8586" s="85"/>
      <x:c r="B8586" s="86"/>
    </x:row>
    <x:row r="8587">
      <x:c r="A8587" s="85"/>
      <x:c r="B8587" s="86"/>
    </x:row>
    <x:row r="8588">
      <x:c r="A8588" s="85"/>
      <x:c r="B8588" s="86"/>
    </x:row>
    <x:row r="8589">
      <x:c r="A8589" s="85"/>
      <x:c r="B8589" s="86"/>
    </x:row>
    <x:row r="8590">
      <x:c r="A8590" s="85"/>
      <x:c r="B8590" s="86"/>
    </x:row>
    <x:row r="8591">
      <x:c r="A8591" s="85"/>
      <x:c r="B8591" s="86"/>
    </x:row>
    <x:row r="8592">
      <x:c r="A8592" s="85"/>
      <x:c r="B8592" s="86"/>
    </x:row>
    <x:row r="8593">
      <x:c r="A8593" s="85"/>
      <x:c r="B8593" s="86"/>
    </x:row>
    <x:row r="8594">
      <x:c r="A8594" s="85"/>
      <x:c r="B8594" s="86"/>
    </x:row>
    <x:row r="8595">
      <x:c r="A8595" s="85"/>
      <x:c r="B8595" s="86"/>
    </x:row>
    <x:row r="8596">
      <x:c r="A8596" s="85"/>
      <x:c r="B8596" s="86"/>
    </x:row>
    <x:row r="8597">
      <x:c r="A8597" s="85"/>
      <x:c r="B8597" s="86"/>
    </x:row>
    <x:row r="8598">
      <x:c r="A8598" s="85"/>
      <x:c r="B8598" s="86"/>
    </x:row>
    <x:row r="8599">
      <x:c r="A8599" s="85"/>
      <x:c r="B8599" s="86"/>
    </x:row>
    <x:row r="8600">
      <x:c r="A8600" s="85"/>
      <x:c r="B8600" s="86"/>
    </x:row>
    <x:row r="8601">
      <x:c r="A8601" s="85"/>
      <x:c r="B8601" s="86"/>
    </x:row>
    <x:row r="8602">
      <x:c r="A8602" s="85"/>
      <x:c r="B8602" s="86"/>
    </x:row>
    <x:row r="8603">
      <x:c r="A8603" s="85"/>
      <x:c r="B8603" s="86"/>
    </x:row>
    <x:row r="8604">
      <x:c r="A8604" s="85"/>
      <x:c r="B8604" s="86"/>
    </x:row>
    <x:row r="8605">
      <x:c r="A8605" s="85"/>
      <x:c r="B8605" s="86"/>
    </x:row>
    <x:row r="8606">
      <x:c r="A8606" s="85"/>
      <x:c r="B8606" s="86"/>
    </x:row>
    <x:row r="8607">
      <x:c r="A8607" s="85"/>
      <x:c r="B8607" s="86"/>
    </x:row>
    <x:row r="8608">
      <x:c r="A8608" s="85"/>
      <x:c r="B8608" s="86"/>
    </x:row>
    <x:row r="8609">
      <x:c r="A8609" s="85"/>
      <x:c r="B8609" s="86"/>
    </x:row>
    <x:row r="8610">
      <x:c r="A8610" s="85"/>
      <x:c r="B8610" s="86"/>
    </x:row>
    <x:row r="8611">
      <x:c r="A8611" s="85"/>
      <x:c r="B8611" s="86"/>
    </x:row>
    <x:row r="8612">
      <x:c r="A8612" s="85"/>
      <x:c r="B8612" s="86"/>
    </x:row>
    <x:row r="8613">
      <x:c r="A8613" s="85"/>
      <x:c r="B8613" s="86"/>
    </x:row>
    <x:row r="8614">
      <x:c r="A8614" s="85"/>
      <x:c r="B8614" s="86"/>
    </x:row>
    <x:row r="8615">
      <x:c r="A8615" s="85"/>
      <x:c r="B8615" s="86"/>
    </x:row>
    <x:row r="8616">
      <x:c r="A8616" s="85"/>
      <x:c r="B8616" s="86"/>
    </x:row>
    <x:row r="8617">
      <x:c r="A8617" s="85"/>
      <x:c r="B8617" s="86"/>
    </x:row>
    <x:row r="8618">
      <x:c r="A8618" s="85"/>
      <x:c r="B8618" s="86"/>
    </x:row>
    <x:row r="8619">
      <x:c r="A8619" s="85"/>
      <x:c r="B8619" s="86"/>
    </x:row>
    <x:row r="8620">
      <x:c r="A8620" s="85"/>
      <x:c r="B8620" s="86"/>
    </x:row>
    <x:row r="8621">
      <x:c r="A8621" s="85"/>
      <x:c r="B8621" s="86"/>
    </x:row>
    <x:row r="8622">
      <x:c r="A8622" s="85"/>
      <x:c r="B8622" s="86"/>
    </x:row>
    <x:row r="8623">
      <x:c r="A8623" s="85"/>
      <x:c r="B8623" s="86"/>
    </x:row>
    <x:row r="8624">
      <x:c r="A8624" s="85"/>
      <x:c r="B8624" s="86"/>
    </x:row>
    <x:row r="8625">
      <x:c r="A8625" s="85"/>
      <x:c r="B8625" s="86"/>
    </x:row>
    <x:row r="8626">
      <x:c r="A8626" s="85"/>
      <x:c r="B8626" s="86"/>
    </x:row>
    <x:row r="8627">
      <x:c r="A8627" s="85"/>
      <x:c r="B8627" s="86"/>
    </x:row>
    <x:row r="8628">
      <x:c r="A8628" s="85"/>
      <x:c r="B8628" s="86"/>
    </x:row>
    <x:row r="8629">
      <x:c r="A8629" s="85"/>
      <x:c r="B8629" s="86"/>
    </x:row>
    <x:row r="8630">
      <x:c r="A8630" s="85"/>
      <x:c r="B8630" s="86"/>
    </x:row>
    <x:row r="8631">
      <x:c r="A8631" s="85"/>
      <x:c r="B8631" s="86"/>
    </x:row>
    <x:row r="8632">
      <x:c r="A8632" s="85"/>
      <x:c r="B8632" s="86"/>
    </x:row>
    <x:row r="8633">
      <x:c r="A8633" s="85"/>
      <x:c r="B8633" s="86"/>
    </x:row>
    <x:row r="8634">
      <x:c r="A8634" s="85"/>
      <x:c r="B8634" s="86"/>
    </x:row>
    <x:row r="8635">
      <x:c r="A8635" s="85"/>
      <x:c r="B8635" s="86"/>
    </x:row>
    <x:row r="8636">
      <x:c r="A8636" s="85"/>
      <x:c r="B8636" s="86"/>
    </x:row>
    <x:row r="8637">
      <x:c r="A8637" s="85"/>
      <x:c r="B8637" s="86"/>
    </x:row>
    <x:row r="8638">
      <x:c r="A8638" s="85"/>
      <x:c r="B8638" s="86"/>
    </x:row>
    <x:row r="8639">
      <x:c r="A8639" s="85"/>
      <x:c r="B8639" s="86"/>
    </x:row>
    <x:row r="8640">
      <x:c r="A8640" s="85"/>
      <x:c r="B8640" s="86"/>
    </x:row>
    <x:row r="8641">
      <x:c r="A8641" s="85"/>
      <x:c r="B8641" s="86"/>
    </x:row>
    <x:row r="8642">
      <x:c r="A8642" s="85"/>
      <x:c r="B8642" s="86"/>
    </x:row>
    <x:row r="8643">
      <x:c r="A8643" s="85"/>
      <x:c r="B8643" s="86"/>
    </x:row>
    <x:row r="8644">
      <x:c r="A8644" s="85"/>
      <x:c r="B8644" s="86"/>
    </x:row>
    <x:row r="8645">
      <x:c r="A8645" s="85"/>
      <x:c r="B8645" s="86"/>
    </x:row>
    <x:row r="8646">
      <x:c r="A8646" s="85"/>
      <x:c r="B8646" s="86"/>
    </x:row>
    <x:row r="8647">
      <x:c r="A8647" s="85"/>
      <x:c r="B8647" s="86"/>
    </x:row>
    <x:row r="8648">
      <x:c r="A8648" s="85"/>
      <x:c r="B8648" s="86"/>
    </x:row>
    <x:row r="8649">
      <x:c r="A8649" s="85"/>
      <x:c r="B8649" s="86"/>
    </x:row>
    <x:row r="8650">
      <x:c r="A8650" s="85"/>
      <x:c r="B8650" s="86"/>
    </x:row>
    <x:row r="8651">
      <x:c r="A8651" s="85"/>
      <x:c r="B8651" s="86"/>
    </x:row>
    <x:row r="8652">
      <x:c r="A8652" s="85"/>
      <x:c r="B8652" s="86"/>
    </x:row>
    <x:row r="8653">
      <x:c r="A8653" s="85"/>
      <x:c r="B8653" s="86"/>
    </x:row>
    <x:row r="8654">
      <x:c r="A8654" s="85"/>
      <x:c r="B8654" s="86"/>
    </x:row>
    <x:row r="8655">
      <x:c r="A8655" s="85"/>
      <x:c r="B8655" s="86"/>
    </x:row>
    <x:row r="8656">
      <x:c r="A8656" s="85"/>
      <x:c r="B8656" s="86"/>
    </x:row>
    <x:row r="8657">
      <x:c r="A8657" s="85"/>
      <x:c r="B8657" s="86"/>
    </x:row>
    <x:row r="8658">
      <x:c r="A8658" s="85"/>
      <x:c r="B8658" s="86"/>
    </x:row>
    <x:row r="8659">
      <x:c r="A8659" s="85"/>
      <x:c r="B8659" s="86"/>
    </x:row>
    <x:row r="8660">
      <x:c r="A8660" s="85"/>
      <x:c r="B8660" s="86"/>
    </x:row>
    <x:row r="8661">
      <x:c r="A8661" s="85"/>
      <x:c r="B8661" s="86"/>
    </x:row>
    <x:row r="8662">
      <x:c r="A8662" s="85"/>
      <x:c r="B8662" s="86"/>
    </x:row>
    <x:row r="8663">
      <x:c r="A8663" s="85"/>
      <x:c r="B8663" s="86"/>
    </x:row>
    <x:row r="8664">
      <x:c r="A8664" s="85"/>
      <x:c r="B8664" s="86"/>
    </x:row>
    <x:row r="8665">
      <x:c r="A8665" s="85"/>
      <x:c r="B8665" s="86"/>
    </x:row>
    <x:row r="8666">
      <x:c r="A8666" s="85"/>
      <x:c r="B8666" s="86"/>
    </x:row>
    <x:row r="8667">
      <x:c r="A8667" s="85"/>
      <x:c r="B8667" s="86"/>
    </x:row>
    <x:row r="8668">
      <x:c r="A8668" s="85"/>
      <x:c r="B8668" s="86"/>
    </x:row>
    <x:row r="8669">
      <x:c r="A8669" s="85"/>
      <x:c r="B8669" s="86"/>
    </x:row>
    <x:row r="8670">
      <x:c r="A8670" s="85"/>
      <x:c r="B8670" s="86"/>
    </x:row>
    <x:row r="8671">
      <x:c r="A8671" s="85"/>
      <x:c r="B8671" s="86"/>
    </x:row>
    <x:row r="8672">
      <x:c r="A8672" s="85"/>
      <x:c r="B8672" s="86"/>
    </x:row>
    <x:row r="8673">
      <x:c r="A8673" s="85"/>
      <x:c r="B8673" s="86"/>
    </x:row>
    <x:row r="8674">
      <x:c r="A8674" s="85"/>
      <x:c r="B8674" s="86"/>
    </x:row>
    <x:row r="8675">
      <x:c r="A8675" s="85"/>
      <x:c r="B8675" s="86"/>
    </x:row>
    <x:row r="8676">
      <x:c r="A8676" s="85"/>
      <x:c r="B8676" s="86"/>
    </x:row>
    <x:row r="8677">
      <x:c r="A8677" s="85"/>
      <x:c r="B8677" s="86"/>
    </x:row>
    <x:row r="8678">
      <x:c r="A8678" s="85"/>
      <x:c r="B8678" s="86"/>
    </x:row>
    <x:row r="8679">
      <x:c r="A8679" s="85"/>
      <x:c r="B8679" s="86"/>
    </x:row>
    <x:row r="8680">
      <x:c r="A8680" s="85"/>
      <x:c r="B8680" s="86"/>
    </x:row>
    <x:row r="8681">
      <x:c r="A8681" s="85"/>
      <x:c r="B8681" s="86"/>
    </x:row>
    <x:row r="8682">
      <x:c r="A8682" s="85"/>
      <x:c r="B8682" s="86"/>
    </x:row>
    <x:row r="8683">
      <x:c r="A8683" s="85"/>
      <x:c r="B8683" s="86"/>
    </x:row>
    <x:row r="8684">
      <x:c r="A8684" s="85"/>
      <x:c r="B8684" s="86"/>
    </x:row>
    <x:row r="8685">
      <x:c r="A8685" s="85"/>
      <x:c r="B8685" s="86"/>
    </x:row>
    <x:row r="8686">
      <x:c r="A8686" s="85"/>
      <x:c r="B8686" s="86"/>
    </x:row>
    <x:row r="8687">
      <x:c r="A8687" s="85"/>
      <x:c r="B8687" s="86"/>
    </x:row>
    <x:row r="8688">
      <x:c r="A8688" s="85"/>
      <x:c r="B8688" s="86"/>
    </x:row>
    <x:row r="8689">
      <x:c r="A8689" s="85"/>
      <x:c r="B8689" s="86"/>
    </x:row>
    <x:row r="8690">
      <x:c r="A8690" s="85"/>
      <x:c r="B8690" s="86"/>
    </x:row>
    <x:row r="8691">
      <x:c r="A8691" s="85"/>
      <x:c r="B8691" s="86"/>
    </x:row>
    <x:row r="8692">
      <x:c r="A8692" s="85"/>
      <x:c r="B8692" s="86"/>
    </x:row>
    <x:row r="8693">
      <x:c r="A8693" s="85"/>
      <x:c r="B8693" s="86"/>
    </x:row>
    <x:row r="8694">
      <x:c r="A8694" s="85"/>
      <x:c r="B8694" s="86"/>
    </x:row>
    <x:row r="8695">
      <x:c r="A8695" s="85"/>
      <x:c r="B8695" s="86"/>
    </x:row>
    <x:row r="8696">
      <x:c r="A8696" s="85"/>
      <x:c r="B8696" s="86"/>
    </x:row>
    <x:row r="8697">
      <x:c r="A8697" s="85"/>
      <x:c r="B8697" s="86"/>
    </x:row>
    <x:row r="8698">
      <x:c r="A8698" s="85"/>
      <x:c r="B8698" s="86"/>
    </x:row>
    <x:row r="8699">
      <x:c r="A8699" s="85"/>
      <x:c r="B8699" s="86"/>
    </x:row>
    <x:row r="8700">
      <x:c r="A8700" s="85"/>
      <x:c r="B8700" s="86"/>
    </x:row>
    <x:row r="8701">
      <x:c r="A8701" s="85"/>
      <x:c r="B8701" s="86"/>
    </x:row>
    <x:row r="8702">
      <x:c r="A8702" s="85"/>
      <x:c r="B8702" s="86"/>
    </x:row>
    <x:row r="8703">
      <x:c r="A8703" s="85"/>
      <x:c r="B8703" s="86"/>
    </x:row>
    <x:row r="8704">
      <x:c r="A8704" s="85"/>
      <x:c r="B8704" s="86"/>
    </x:row>
    <x:row r="8705">
      <x:c r="A8705" s="85"/>
      <x:c r="B8705" s="86"/>
    </x:row>
    <x:row r="8706">
      <x:c r="A8706" s="85"/>
      <x:c r="B8706" s="86"/>
    </x:row>
    <x:row r="8707">
      <x:c r="A8707" s="85"/>
      <x:c r="B8707" s="86"/>
    </x:row>
    <x:row r="8708">
      <x:c r="A8708" s="85"/>
      <x:c r="B8708" s="86"/>
    </x:row>
    <x:row r="8709">
      <x:c r="A8709" s="85"/>
      <x:c r="B8709" s="86"/>
    </x:row>
    <x:row r="8710">
      <x:c r="A8710" s="85"/>
      <x:c r="B8710" s="86"/>
    </x:row>
    <x:row r="8711">
      <x:c r="A8711" s="85"/>
      <x:c r="B8711" s="86"/>
    </x:row>
    <x:row r="8712">
      <x:c r="A8712" s="85"/>
      <x:c r="B8712" s="86"/>
    </x:row>
    <x:row r="8713">
      <x:c r="A8713" s="85"/>
      <x:c r="B8713" s="86"/>
    </x:row>
    <x:row r="8714">
      <x:c r="A8714" s="85"/>
      <x:c r="B8714" s="86"/>
    </x:row>
    <x:row r="8715">
      <x:c r="A8715" s="85"/>
      <x:c r="B8715" s="86"/>
    </x:row>
    <x:row r="8716">
      <x:c r="A8716" s="85"/>
      <x:c r="B8716" s="86"/>
    </x:row>
    <x:row r="8717">
      <x:c r="A8717" s="85"/>
      <x:c r="B8717" s="86"/>
    </x:row>
    <x:row r="8718">
      <x:c r="A8718" s="85"/>
      <x:c r="B8718" s="86"/>
    </x:row>
    <x:row r="8719">
      <x:c r="A8719" s="85"/>
      <x:c r="B8719" s="86"/>
    </x:row>
    <x:row r="8720">
      <x:c r="A8720" s="85"/>
      <x:c r="B8720" s="86"/>
    </x:row>
    <x:row r="8721">
      <x:c r="A8721" s="85"/>
      <x:c r="B8721" s="86"/>
    </x:row>
    <x:row r="8722">
      <x:c r="A8722" s="85"/>
      <x:c r="B8722" s="86"/>
    </x:row>
    <x:row r="8723">
      <x:c r="A8723" s="85"/>
      <x:c r="B8723" s="86"/>
    </x:row>
    <x:row r="8724">
      <x:c r="A8724" s="85"/>
      <x:c r="B8724" s="86"/>
    </x:row>
    <x:row r="8725">
      <x:c r="A8725" s="85"/>
      <x:c r="B8725" s="86"/>
    </x:row>
    <x:row r="8726">
      <x:c r="A8726" s="85"/>
      <x:c r="B8726" s="86"/>
    </x:row>
    <x:row r="8727">
      <x:c r="A8727" s="85"/>
      <x:c r="B8727" s="86"/>
    </x:row>
    <x:row r="8728">
      <x:c r="A8728" s="85"/>
      <x:c r="B8728" s="86"/>
    </x:row>
    <x:row r="8729">
      <x:c r="A8729" s="85"/>
      <x:c r="B8729" s="86"/>
    </x:row>
    <x:row r="8730">
      <x:c r="A8730" s="85"/>
      <x:c r="B8730" s="86"/>
    </x:row>
    <x:row r="8731">
      <x:c r="A8731" s="85"/>
      <x:c r="B8731" s="86"/>
    </x:row>
    <x:row r="8732">
      <x:c r="A8732" s="85"/>
      <x:c r="B8732" s="86"/>
    </x:row>
    <x:row r="8733">
      <x:c r="A8733" s="85"/>
      <x:c r="B8733" s="86"/>
    </x:row>
    <x:row r="8734">
      <x:c r="A8734" s="85"/>
      <x:c r="B8734" s="86"/>
    </x:row>
    <x:row r="8735">
      <x:c r="A8735" s="85"/>
      <x:c r="B8735" s="86"/>
    </x:row>
    <x:row r="8736">
      <x:c r="A8736" s="85"/>
      <x:c r="B8736" s="86"/>
    </x:row>
    <x:row r="8737">
      <x:c r="A8737" s="85"/>
      <x:c r="B8737" s="86"/>
    </x:row>
    <x:row r="8738">
      <x:c r="A8738" s="85"/>
      <x:c r="B8738" s="86"/>
    </x:row>
    <x:row r="8739">
      <x:c r="A8739" s="85"/>
      <x:c r="B8739" s="86"/>
    </x:row>
    <x:row r="8740">
      <x:c r="A8740" s="85"/>
      <x:c r="B8740" s="86"/>
    </x:row>
    <x:row r="8741">
      <x:c r="A8741" s="85"/>
      <x:c r="B8741" s="86"/>
    </x:row>
    <x:row r="8742">
      <x:c r="A8742" s="85"/>
      <x:c r="B8742" s="86"/>
    </x:row>
    <x:row r="8743">
      <x:c r="A8743" s="85"/>
      <x:c r="B8743" s="86"/>
    </x:row>
    <x:row r="8744">
      <x:c r="A8744" s="85"/>
      <x:c r="B8744" s="86"/>
    </x:row>
    <x:row r="8745">
      <x:c r="A8745" s="85"/>
      <x:c r="B8745" s="86"/>
    </x:row>
    <x:row r="8746">
      <x:c r="A8746" s="85"/>
      <x:c r="B8746" s="86"/>
    </x:row>
    <x:row r="8747">
      <x:c r="A8747" s="85"/>
      <x:c r="B8747" s="86"/>
    </x:row>
    <x:row r="8748">
      <x:c r="A8748" s="85"/>
      <x:c r="B8748" s="86"/>
    </x:row>
    <x:row r="8749">
      <x:c r="A8749" s="85"/>
      <x:c r="B8749" s="86"/>
    </x:row>
    <x:row r="8750">
      <x:c r="A8750" s="85"/>
      <x:c r="B8750" s="86"/>
    </x:row>
    <x:row r="8751">
      <x:c r="A8751" s="85"/>
      <x:c r="B8751" s="86"/>
    </x:row>
    <x:row r="8752">
      <x:c r="A8752" s="85"/>
      <x:c r="B8752" s="86"/>
    </x:row>
    <x:row r="8753">
      <x:c r="A8753" s="85"/>
      <x:c r="B8753" s="86"/>
    </x:row>
    <x:row r="8754">
      <x:c r="A8754" s="85"/>
      <x:c r="B8754" s="86"/>
    </x:row>
    <x:row r="8755">
      <x:c r="A8755" s="85"/>
      <x:c r="B8755" s="86"/>
    </x:row>
    <x:row r="8756">
      <x:c r="A8756" s="85"/>
      <x:c r="B8756" s="86"/>
    </x:row>
    <x:row r="8757">
      <x:c r="A8757" s="85"/>
      <x:c r="B8757" s="86"/>
    </x:row>
    <x:row r="8758">
      <x:c r="A8758" s="85"/>
      <x:c r="B8758" s="86"/>
    </x:row>
    <x:row r="8759">
      <x:c r="A8759" s="85"/>
      <x:c r="B8759" s="86"/>
    </x:row>
    <x:row r="8760">
      <x:c r="A8760" s="85"/>
      <x:c r="B8760" s="86"/>
    </x:row>
    <x:row r="8761">
      <x:c r="A8761" s="85"/>
      <x:c r="B8761" s="86"/>
    </x:row>
    <x:row r="8762">
      <x:c r="A8762" s="85"/>
      <x:c r="B8762" s="86"/>
    </x:row>
    <x:row r="8763">
      <x:c r="A8763" s="85"/>
      <x:c r="B8763" s="86"/>
    </x:row>
    <x:row r="8764">
      <x:c r="A8764" s="85"/>
      <x:c r="B8764" s="86"/>
    </x:row>
    <x:row r="8765">
      <x:c r="A8765" s="85"/>
      <x:c r="B8765" s="86"/>
    </x:row>
    <x:row r="8766">
      <x:c r="A8766" s="85"/>
      <x:c r="B8766" s="86"/>
    </x:row>
    <x:row r="8767">
      <x:c r="A8767" s="85"/>
      <x:c r="B8767" s="86"/>
    </x:row>
    <x:row r="8768">
      <x:c r="A8768" s="85"/>
      <x:c r="B8768" s="86"/>
    </x:row>
    <x:row r="8769">
      <x:c r="A8769" s="85"/>
      <x:c r="B8769" s="86"/>
    </x:row>
    <x:row r="8770">
      <x:c r="A8770" s="85"/>
      <x:c r="B8770" s="86"/>
    </x:row>
    <x:row r="8771">
      <x:c r="A8771" s="85"/>
      <x:c r="B8771" s="86"/>
    </x:row>
    <x:row r="8772">
      <x:c r="A8772" s="85"/>
      <x:c r="B8772" s="86"/>
    </x:row>
    <x:row r="8773">
      <x:c r="A8773" s="85"/>
      <x:c r="B8773" s="86"/>
    </x:row>
    <x:row r="8774">
      <x:c r="A8774" s="85"/>
      <x:c r="B8774" s="86"/>
    </x:row>
    <x:row r="8775">
      <x:c r="A8775" s="85"/>
      <x:c r="B8775" s="86"/>
    </x:row>
    <x:row r="8776">
      <x:c r="A8776" s="85"/>
      <x:c r="B8776" s="86"/>
    </x:row>
    <x:row r="8777">
      <x:c r="A8777" s="85"/>
      <x:c r="B8777" s="86"/>
    </x:row>
    <x:row r="8778">
      <x:c r="A8778" s="85"/>
      <x:c r="B8778" s="86"/>
    </x:row>
    <x:row r="8779">
      <x:c r="A8779" s="85"/>
      <x:c r="B8779" s="86"/>
    </x:row>
    <x:row r="8780">
      <x:c r="A8780" s="85"/>
      <x:c r="B8780" s="86"/>
    </x:row>
    <x:row r="8781">
      <x:c r="A8781" s="85"/>
      <x:c r="B8781" s="86"/>
    </x:row>
    <x:row r="8782">
      <x:c r="A8782" s="85"/>
      <x:c r="B8782" s="86"/>
    </x:row>
    <x:row r="8783">
      <x:c r="A8783" s="85"/>
      <x:c r="B8783" s="86"/>
    </x:row>
    <x:row r="8784">
      <x:c r="A8784" s="85"/>
      <x:c r="B8784" s="86"/>
    </x:row>
    <x:row r="8785">
      <x:c r="A8785" s="85"/>
      <x:c r="B8785" s="86"/>
    </x:row>
    <x:row r="8786">
      <x:c r="A8786" s="85"/>
      <x:c r="B8786" s="86"/>
    </x:row>
    <x:row r="8787">
      <x:c r="A8787" s="85"/>
      <x:c r="B8787" s="86"/>
    </x:row>
    <x:row r="8788">
      <x:c r="A8788" s="85"/>
      <x:c r="B8788" s="86"/>
    </x:row>
    <x:row r="8789">
      <x:c r="A8789" s="85"/>
      <x:c r="B8789" s="86"/>
    </x:row>
    <x:row r="8790">
      <x:c r="A8790" s="85"/>
      <x:c r="B8790" s="86"/>
    </x:row>
    <x:row r="8791">
      <x:c r="A8791" s="85"/>
      <x:c r="B8791" s="86"/>
    </x:row>
    <x:row r="8792">
      <x:c r="A8792" s="85"/>
      <x:c r="B8792" s="86"/>
    </x:row>
    <x:row r="8793">
      <x:c r="A8793" s="85"/>
      <x:c r="B8793" s="86"/>
    </x:row>
    <x:row r="8794">
      <x:c r="A8794" s="85"/>
      <x:c r="B8794" s="86"/>
    </x:row>
    <x:row r="8795">
      <x:c r="A8795" s="85"/>
      <x:c r="B8795" s="86"/>
    </x:row>
    <x:row r="8796">
      <x:c r="A8796" s="85"/>
      <x:c r="B8796" s="86"/>
    </x:row>
    <x:row r="8797">
      <x:c r="A8797" s="85"/>
      <x:c r="B8797" s="86"/>
    </x:row>
    <x:row r="8798">
      <x:c r="A8798" s="85"/>
      <x:c r="B8798" s="86"/>
    </x:row>
    <x:row r="8799">
      <x:c r="A8799" s="85"/>
      <x:c r="B8799" s="86"/>
    </x:row>
    <x:row r="8800">
      <x:c r="A8800" s="85"/>
      <x:c r="B8800" s="86"/>
    </x:row>
    <x:row r="8801">
      <x:c r="A8801" s="85"/>
      <x:c r="B8801" s="86"/>
    </x:row>
    <x:row r="8802">
      <x:c r="A8802" s="85"/>
      <x:c r="B8802" s="86"/>
    </x:row>
    <x:row r="8803">
      <x:c r="A8803" s="85"/>
      <x:c r="B8803" s="86"/>
    </x:row>
    <x:row r="8804">
      <x:c r="A8804" s="85"/>
      <x:c r="B8804" s="86"/>
    </x:row>
    <x:row r="8805">
      <x:c r="A8805" s="85"/>
      <x:c r="B8805" s="86"/>
    </x:row>
    <x:row r="8806">
      <x:c r="A8806" s="85"/>
      <x:c r="B8806" s="86"/>
    </x:row>
    <x:row r="8807">
      <x:c r="A8807" s="85"/>
      <x:c r="B8807" s="86"/>
    </x:row>
    <x:row r="8808">
      <x:c r="A8808" s="85"/>
      <x:c r="B8808" s="86"/>
    </x:row>
    <x:row r="8809">
      <x:c r="A8809" s="85"/>
      <x:c r="B8809" s="86"/>
    </x:row>
    <x:row r="8810">
      <x:c r="A8810" s="85"/>
      <x:c r="B8810" s="86"/>
    </x:row>
    <x:row r="8811">
      <x:c r="A8811" s="85"/>
      <x:c r="B8811" s="86"/>
    </x:row>
    <x:row r="8812">
      <x:c r="A8812" s="85"/>
      <x:c r="B8812" s="86"/>
    </x:row>
    <x:row r="8813">
      <x:c r="A8813" s="85"/>
      <x:c r="B8813" s="86"/>
    </x:row>
    <x:row r="8814">
      <x:c r="A8814" s="85"/>
      <x:c r="B8814" s="86"/>
    </x:row>
    <x:row r="8815">
      <x:c r="A8815" s="85"/>
      <x:c r="B8815" s="86"/>
    </x:row>
    <x:row r="8816">
      <x:c r="A8816" s="85"/>
      <x:c r="B8816" s="86"/>
    </x:row>
    <x:row r="8817">
      <x:c r="A8817" s="85"/>
      <x:c r="B8817" s="86"/>
    </x:row>
    <x:row r="8818">
      <x:c r="A8818" s="85"/>
      <x:c r="B8818" s="86"/>
    </x:row>
    <x:row r="8819">
      <x:c r="A8819" s="85"/>
      <x:c r="B8819" s="86"/>
    </x:row>
    <x:row r="8820">
      <x:c r="A8820" s="85"/>
      <x:c r="B8820" s="86"/>
    </x:row>
    <x:row r="8821">
      <x:c r="A8821" s="85"/>
      <x:c r="B8821" s="86"/>
    </x:row>
    <x:row r="8822">
      <x:c r="A8822" s="85"/>
      <x:c r="B8822" s="86"/>
    </x:row>
    <x:row r="8823">
      <x:c r="A8823" s="85"/>
      <x:c r="B8823" s="86"/>
    </x:row>
    <x:row r="8824">
      <x:c r="A8824" s="85"/>
      <x:c r="B8824" s="86"/>
    </x:row>
    <x:row r="8825">
      <x:c r="A8825" s="85"/>
      <x:c r="B8825" s="86"/>
    </x:row>
    <x:row r="8826">
      <x:c r="A8826" s="85"/>
      <x:c r="B8826" s="86"/>
    </x:row>
    <x:row r="8827">
      <x:c r="A8827" s="85"/>
      <x:c r="B8827" s="86"/>
    </x:row>
    <x:row r="8828">
      <x:c r="A8828" s="85"/>
      <x:c r="B8828" s="86"/>
    </x:row>
    <x:row r="8829">
      <x:c r="A8829" s="85"/>
      <x:c r="B8829" s="86"/>
    </x:row>
    <x:row r="8830">
      <x:c r="A8830" s="85"/>
      <x:c r="B8830" s="86"/>
    </x:row>
    <x:row r="8831">
      <x:c r="A8831" s="85"/>
      <x:c r="B8831" s="86"/>
    </x:row>
    <x:row r="8832">
      <x:c r="A8832" s="85"/>
      <x:c r="B8832" s="86"/>
    </x:row>
    <x:row r="8833">
      <x:c r="A8833" s="85"/>
      <x:c r="B8833" s="86"/>
    </x:row>
    <x:row r="8834">
      <x:c r="A8834" s="85"/>
      <x:c r="B8834" s="86"/>
    </x:row>
    <x:row r="8835">
      <x:c r="A8835" s="85"/>
      <x:c r="B8835" s="86"/>
    </x:row>
    <x:row r="8836">
      <x:c r="A8836" s="85"/>
      <x:c r="B8836" s="86"/>
    </x:row>
    <x:row r="8837">
      <x:c r="A8837" s="85"/>
      <x:c r="B8837" s="86"/>
    </x:row>
    <x:row r="8838">
      <x:c r="A8838" s="85"/>
      <x:c r="B8838" s="86"/>
    </x:row>
    <x:row r="8839">
      <x:c r="A8839" s="85"/>
      <x:c r="B8839" s="86"/>
    </x:row>
    <x:row r="8840">
      <x:c r="A8840" s="85"/>
      <x:c r="B8840" s="86"/>
    </x:row>
    <x:row r="8841">
      <x:c r="A8841" s="85"/>
      <x:c r="B8841" s="86"/>
    </x:row>
    <x:row r="8842">
      <x:c r="A8842" s="85"/>
      <x:c r="B8842" s="86"/>
    </x:row>
    <x:row r="8843">
      <x:c r="A8843" s="85"/>
      <x:c r="B8843" s="86"/>
    </x:row>
    <x:row r="8844">
      <x:c r="A8844" s="85"/>
      <x:c r="B8844" s="86"/>
    </x:row>
    <x:row r="8845">
      <x:c r="A8845" s="85"/>
      <x:c r="B8845" s="86"/>
    </x:row>
    <x:row r="8846">
      <x:c r="A8846" s="85"/>
      <x:c r="B8846" s="86"/>
    </x:row>
    <x:row r="8847">
      <x:c r="A8847" s="85"/>
      <x:c r="B8847" s="86"/>
    </x:row>
    <x:row r="8848">
      <x:c r="A8848" s="85"/>
      <x:c r="B8848" s="86"/>
    </x:row>
    <x:row r="8849">
      <x:c r="A8849" s="85"/>
      <x:c r="B8849" s="86"/>
    </x:row>
    <x:row r="8850">
      <x:c r="A8850" s="85"/>
      <x:c r="B8850" s="86"/>
    </x:row>
    <x:row r="8851">
      <x:c r="A8851" s="85"/>
      <x:c r="B8851" s="86"/>
    </x:row>
    <x:row r="8852">
      <x:c r="A8852" s="85"/>
      <x:c r="B8852" s="86"/>
    </x:row>
    <x:row r="8853">
      <x:c r="A8853" s="85"/>
      <x:c r="B8853" s="86"/>
    </x:row>
    <x:row r="8854">
      <x:c r="A8854" s="85"/>
      <x:c r="B8854" s="86"/>
    </x:row>
    <x:row r="8855">
      <x:c r="A8855" s="85"/>
      <x:c r="B8855" s="86"/>
    </x:row>
    <x:row r="8856">
      <x:c r="A8856" s="85"/>
      <x:c r="B8856" s="86"/>
    </x:row>
    <x:row r="8857">
      <x:c r="A8857" s="85"/>
      <x:c r="B8857" s="86"/>
    </x:row>
    <x:row r="8858">
      <x:c r="A8858" s="85"/>
      <x:c r="B8858" s="86"/>
    </x:row>
    <x:row r="8859">
      <x:c r="A8859" s="85"/>
      <x:c r="B8859" s="86"/>
    </x:row>
    <x:row r="8860">
      <x:c r="A8860" s="85"/>
      <x:c r="B8860" s="86"/>
    </x:row>
    <x:row r="8861">
      <x:c r="A8861" s="85"/>
      <x:c r="B8861" s="86"/>
    </x:row>
    <x:row r="8862">
      <x:c r="A8862" s="85"/>
      <x:c r="B8862" s="86"/>
    </x:row>
    <x:row r="8863">
      <x:c r="A8863" s="85"/>
      <x:c r="B8863" s="86"/>
    </x:row>
    <x:row r="8864">
      <x:c r="A8864" s="85"/>
      <x:c r="B8864" s="86"/>
    </x:row>
    <x:row r="8865">
      <x:c r="A8865" s="85"/>
      <x:c r="B8865" s="86"/>
    </x:row>
    <x:row r="8866">
      <x:c r="A8866" s="85"/>
      <x:c r="B8866" s="86"/>
    </x:row>
    <x:row r="8867">
      <x:c r="A8867" s="85"/>
      <x:c r="B8867" s="86"/>
    </x:row>
    <x:row r="8868">
      <x:c r="A8868" s="85"/>
      <x:c r="B8868" s="86"/>
    </x:row>
    <x:row r="8869">
      <x:c r="A8869" s="85"/>
      <x:c r="B8869" s="86"/>
    </x:row>
    <x:row r="8870">
      <x:c r="A8870" s="85"/>
      <x:c r="B8870" s="86"/>
    </x:row>
    <x:row r="8871">
      <x:c r="A8871" s="85"/>
      <x:c r="B8871" s="86"/>
    </x:row>
    <x:row r="8872">
      <x:c r="A8872" s="85"/>
      <x:c r="B8872" s="86"/>
    </x:row>
    <x:row r="8873">
      <x:c r="A8873" s="85"/>
      <x:c r="B8873" s="86"/>
    </x:row>
    <x:row r="8874">
      <x:c r="A8874" s="85"/>
      <x:c r="B8874" s="86"/>
    </x:row>
    <x:row r="8875">
      <x:c r="A8875" s="85"/>
      <x:c r="B8875" s="86"/>
    </x:row>
    <x:row r="8876">
      <x:c r="A8876" s="85"/>
      <x:c r="B8876" s="86"/>
    </x:row>
    <x:row r="8877">
      <x:c r="A8877" s="85"/>
      <x:c r="B8877" s="86"/>
    </x:row>
    <x:row r="8878">
      <x:c r="A8878" s="85"/>
      <x:c r="B8878" s="86"/>
    </x:row>
    <x:row r="8879">
      <x:c r="A8879" s="85"/>
      <x:c r="B8879" s="86"/>
    </x:row>
    <x:row r="8880">
      <x:c r="A8880" s="85"/>
      <x:c r="B8880" s="86"/>
    </x:row>
    <x:row r="8881">
      <x:c r="A8881" s="85"/>
      <x:c r="B8881" s="86"/>
    </x:row>
    <x:row r="8882">
      <x:c r="A8882" s="85"/>
      <x:c r="B8882" s="86"/>
    </x:row>
    <x:row r="8883">
      <x:c r="A8883" s="85"/>
      <x:c r="B8883" s="86"/>
    </x:row>
    <x:row r="8884">
      <x:c r="A8884" s="85"/>
      <x:c r="B8884" s="86"/>
    </x:row>
    <x:row r="8885">
      <x:c r="A8885" s="85"/>
      <x:c r="B8885" s="86"/>
    </x:row>
    <x:row r="8886">
      <x:c r="A8886" s="85"/>
      <x:c r="B8886" s="86"/>
    </x:row>
    <x:row r="8887">
      <x:c r="A8887" s="85"/>
      <x:c r="B8887" s="86"/>
    </x:row>
    <x:row r="8888">
      <x:c r="A8888" s="85"/>
      <x:c r="B8888" s="86"/>
    </x:row>
    <x:row r="8889">
      <x:c r="A8889" s="85"/>
      <x:c r="B8889" s="86"/>
    </x:row>
    <x:row r="8890">
      <x:c r="A8890" s="85"/>
      <x:c r="B8890" s="86"/>
    </x:row>
    <x:row r="8891">
      <x:c r="A8891" s="85"/>
      <x:c r="B8891" s="86"/>
    </x:row>
    <x:row r="8892">
      <x:c r="A8892" s="85"/>
      <x:c r="B8892" s="86"/>
    </x:row>
    <x:row r="8893">
      <x:c r="A8893" s="85"/>
      <x:c r="B8893" s="86"/>
    </x:row>
    <x:row r="8894">
      <x:c r="A8894" s="85"/>
      <x:c r="B8894" s="86"/>
    </x:row>
    <x:row r="8895">
      <x:c r="A8895" s="85"/>
      <x:c r="B8895" s="86"/>
    </x:row>
    <x:row r="8896">
      <x:c r="A8896" s="85"/>
      <x:c r="B8896" s="86"/>
    </x:row>
    <x:row r="8897">
      <x:c r="A8897" s="85"/>
      <x:c r="B8897" s="86"/>
    </x:row>
    <x:row r="8898">
      <x:c r="A8898" s="85"/>
      <x:c r="B8898" s="86"/>
    </x:row>
    <x:row r="8899">
      <x:c r="A8899" s="85"/>
      <x:c r="B8899" s="86"/>
    </x:row>
    <x:row r="8900">
      <x:c r="A8900" s="85"/>
      <x:c r="B8900" s="86"/>
    </x:row>
    <x:row r="8901">
      <x:c r="A8901" s="85"/>
      <x:c r="B8901" s="86"/>
    </x:row>
    <x:row r="8902">
      <x:c r="A8902" s="85"/>
      <x:c r="B8902" s="86"/>
    </x:row>
    <x:row r="8903">
      <x:c r="A8903" s="85"/>
      <x:c r="B8903" s="86"/>
    </x:row>
    <x:row r="8904">
      <x:c r="A8904" s="85"/>
      <x:c r="B8904" s="86"/>
    </x:row>
    <x:row r="8905">
      <x:c r="A8905" s="85"/>
      <x:c r="B8905" s="86"/>
    </x:row>
    <x:row r="8906">
      <x:c r="A8906" s="85"/>
      <x:c r="B8906" s="86"/>
    </x:row>
    <x:row r="8907">
      <x:c r="A8907" s="85"/>
      <x:c r="B8907" s="86"/>
    </x:row>
    <x:row r="8908">
      <x:c r="A8908" s="85"/>
      <x:c r="B8908" s="86"/>
    </x:row>
    <x:row r="8909">
      <x:c r="A8909" s="85"/>
      <x:c r="B8909" s="86"/>
    </x:row>
    <x:row r="8910">
      <x:c r="A8910" s="85"/>
      <x:c r="B8910" s="86"/>
    </x:row>
    <x:row r="8911">
      <x:c r="A8911" s="85"/>
      <x:c r="B8911" s="86"/>
    </x:row>
    <x:row r="8912">
      <x:c r="A8912" s="85"/>
      <x:c r="B8912" s="86"/>
    </x:row>
    <x:row r="8913">
      <x:c r="A8913" s="85"/>
      <x:c r="B8913" s="86"/>
    </x:row>
    <x:row r="8914">
      <x:c r="A8914" s="85"/>
      <x:c r="B8914" s="86"/>
    </x:row>
    <x:row r="8915">
      <x:c r="A8915" s="85"/>
      <x:c r="B8915" s="86"/>
    </x:row>
    <x:row r="8916">
      <x:c r="A8916" s="85"/>
      <x:c r="B8916" s="86"/>
    </x:row>
    <x:row r="8917">
      <x:c r="A8917" s="85"/>
      <x:c r="B8917" s="86"/>
    </x:row>
    <x:row r="8918">
      <x:c r="A8918" s="85"/>
      <x:c r="B8918" s="86"/>
    </x:row>
    <x:row r="8919">
      <x:c r="A8919" s="85"/>
      <x:c r="B8919" s="86"/>
    </x:row>
    <x:row r="8920">
      <x:c r="A8920" s="85"/>
      <x:c r="B8920" s="86"/>
    </x:row>
    <x:row r="8921">
      <x:c r="A8921" s="85"/>
      <x:c r="B8921" s="86"/>
    </x:row>
    <x:row r="8922">
      <x:c r="A8922" s="85"/>
      <x:c r="B8922" s="86"/>
    </x:row>
    <x:row r="8923">
      <x:c r="A8923" s="85"/>
      <x:c r="B8923" s="86"/>
    </x:row>
    <x:row r="8924">
      <x:c r="A8924" s="85"/>
      <x:c r="B8924" s="86"/>
    </x:row>
    <x:row r="8925">
      <x:c r="A8925" s="85"/>
      <x:c r="B8925" s="86"/>
    </x:row>
    <x:row r="8926">
      <x:c r="A8926" s="85"/>
      <x:c r="B8926" s="86"/>
    </x:row>
    <x:row r="8927">
      <x:c r="A8927" s="85"/>
      <x:c r="B8927" s="86"/>
    </x:row>
    <x:row r="8928">
      <x:c r="A8928" s="85"/>
      <x:c r="B8928" s="86"/>
    </x:row>
    <x:row r="8929">
      <x:c r="A8929" s="85"/>
      <x:c r="B8929" s="86"/>
    </x:row>
    <x:row r="8930">
      <x:c r="A8930" s="85"/>
      <x:c r="B8930" s="86"/>
    </x:row>
    <x:row r="8931">
      <x:c r="A8931" s="85"/>
      <x:c r="B8931" s="86"/>
    </x:row>
    <x:row r="8932">
      <x:c r="A8932" s="85"/>
      <x:c r="B8932" s="86"/>
    </x:row>
    <x:row r="8933">
      <x:c r="A8933" s="85"/>
      <x:c r="B8933" s="86"/>
    </x:row>
    <x:row r="8934">
      <x:c r="A8934" s="85"/>
      <x:c r="B8934" s="86"/>
    </x:row>
    <x:row r="8935">
      <x:c r="A8935" s="85"/>
      <x:c r="B8935" s="86"/>
    </x:row>
    <x:row r="8936">
      <x:c r="A8936" s="85"/>
      <x:c r="B8936" s="86"/>
    </x:row>
    <x:row r="8937">
      <x:c r="A8937" s="85"/>
      <x:c r="B8937" s="86"/>
    </x:row>
    <x:row r="8938">
      <x:c r="A8938" s="85"/>
      <x:c r="B8938" s="86"/>
    </x:row>
    <x:row r="8939">
      <x:c r="A8939" s="85"/>
      <x:c r="B8939" s="86"/>
    </x:row>
    <x:row r="8940">
      <x:c r="A8940" s="85"/>
      <x:c r="B8940" s="86"/>
    </x:row>
    <x:row r="8941">
      <x:c r="A8941" s="85"/>
      <x:c r="B8941" s="86"/>
    </x:row>
    <x:row r="8942">
      <x:c r="A8942" s="85"/>
      <x:c r="B8942" s="86"/>
    </x:row>
    <x:row r="8943">
      <x:c r="A8943" s="85"/>
      <x:c r="B8943" s="86"/>
    </x:row>
    <x:row r="8944">
      <x:c r="A8944" s="85"/>
      <x:c r="B8944" s="86"/>
    </x:row>
    <x:row r="8945">
      <x:c r="A8945" s="85"/>
      <x:c r="B8945" s="86"/>
    </x:row>
    <x:row r="8946">
      <x:c r="A8946" s="85"/>
      <x:c r="B8946" s="86"/>
    </x:row>
    <x:row r="8947">
      <x:c r="A8947" s="85"/>
      <x:c r="B8947" s="86"/>
    </x:row>
    <x:row r="8948">
      <x:c r="A8948" s="85"/>
      <x:c r="B8948" s="86"/>
    </x:row>
    <x:row r="8949">
      <x:c r="A8949" s="85"/>
      <x:c r="B8949" s="86"/>
    </x:row>
    <x:row r="8950">
      <x:c r="A8950" s="85"/>
      <x:c r="B8950" s="86"/>
    </x:row>
    <x:row r="8951">
      <x:c r="A8951" s="85"/>
      <x:c r="B8951" s="86"/>
    </x:row>
    <x:row r="8952">
      <x:c r="A8952" s="85"/>
      <x:c r="B8952" s="86"/>
    </x:row>
    <x:row r="8953">
      <x:c r="A8953" s="85"/>
      <x:c r="B8953" s="86"/>
    </x:row>
    <x:row r="8954">
      <x:c r="A8954" s="85"/>
      <x:c r="B8954" s="86"/>
    </x:row>
    <x:row r="8955">
      <x:c r="A8955" s="85"/>
      <x:c r="B8955" s="86"/>
    </x:row>
    <x:row r="8956">
      <x:c r="A8956" s="85"/>
      <x:c r="B8956" s="86"/>
    </x:row>
    <x:row r="8957">
      <x:c r="A8957" s="85"/>
      <x:c r="B8957" s="86"/>
    </x:row>
    <x:row r="8958">
      <x:c r="A8958" s="85"/>
      <x:c r="B8958" s="86"/>
    </x:row>
    <x:row r="8959">
      <x:c r="A8959" s="85"/>
      <x:c r="B8959" s="86"/>
    </x:row>
    <x:row r="8960">
      <x:c r="A8960" s="85"/>
      <x:c r="B8960" s="86"/>
    </x:row>
    <x:row r="8961">
      <x:c r="A8961" s="85"/>
      <x:c r="B8961" s="86"/>
    </x:row>
    <x:row r="8962">
      <x:c r="A8962" s="85"/>
      <x:c r="B8962" s="86"/>
    </x:row>
    <x:row r="8963">
      <x:c r="A8963" s="85"/>
      <x:c r="B8963" s="86"/>
    </x:row>
    <x:row r="8964">
      <x:c r="A8964" s="85"/>
      <x:c r="B8964" s="86"/>
    </x:row>
    <x:row r="8965">
      <x:c r="A8965" s="85"/>
      <x:c r="B8965" s="86"/>
    </x:row>
    <x:row r="8966">
      <x:c r="A8966" s="85"/>
      <x:c r="B8966" s="86"/>
    </x:row>
    <x:row r="8967">
      <x:c r="A8967" s="85"/>
      <x:c r="B8967" s="86"/>
    </x:row>
    <x:row r="8968">
      <x:c r="A8968" s="85"/>
      <x:c r="B8968" s="86"/>
    </x:row>
    <x:row r="8969">
      <x:c r="A8969" s="85"/>
      <x:c r="B8969" s="86"/>
    </x:row>
    <x:row r="8970">
      <x:c r="A8970" s="85"/>
      <x:c r="B8970" s="86"/>
    </x:row>
    <x:row r="8971">
      <x:c r="A8971" s="85"/>
      <x:c r="B8971" s="86"/>
    </x:row>
    <x:row r="8972">
      <x:c r="A8972" s="85"/>
      <x:c r="B8972" s="86"/>
    </x:row>
    <x:row r="8973">
      <x:c r="A8973" s="85"/>
      <x:c r="B8973" s="86"/>
    </x:row>
    <x:row r="8974">
      <x:c r="A8974" s="85"/>
      <x:c r="B8974" s="86"/>
    </x:row>
    <x:row r="8975">
      <x:c r="A8975" s="85"/>
      <x:c r="B8975" s="86"/>
    </x:row>
    <x:row r="8976">
      <x:c r="A8976" s="85"/>
      <x:c r="B8976" s="86"/>
    </x:row>
    <x:row r="8977">
      <x:c r="A8977" s="85"/>
      <x:c r="B8977" s="86"/>
    </x:row>
    <x:row r="8978">
      <x:c r="A8978" s="85"/>
      <x:c r="B8978" s="86"/>
    </x:row>
    <x:row r="8979">
      <x:c r="A8979" s="85"/>
      <x:c r="B8979" s="86"/>
    </x:row>
    <x:row r="8980">
      <x:c r="A8980" s="85"/>
      <x:c r="B8980" s="86"/>
    </x:row>
    <x:row r="8981">
      <x:c r="A8981" s="85"/>
      <x:c r="B8981" s="86"/>
    </x:row>
    <x:row r="8982">
      <x:c r="A8982" s="85"/>
      <x:c r="B8982" s="86"/>
    </x:row>
    <x:row r="8983">
      <x:c r="A8983" s="85"/>
      <x:c r="B8983" s="86"/>
    </x:row>
    <x:row r="8984">
      <x:c r="A8984" s="85"/>
      <x:c r="B8984" s="86"/>
    </x:row>
    <x:row r="8985">
      <x:c r="A8985" s="85"/>
      <x:c r="B8985" s="86"/>
    </x:row>
    <x:row r="8986">
      <x:c r="A8986" s="85"/>
      <x:c r="B8986" s="86"/>
    </x:row>
    <x:row r="8987">
      <x:c r="A8987" s="85"/>
      <x:c r="B8987" s="86"/>
    </x:row>
    <x:row r="8988">
      <x:c r="A8988" s="85"/>
      <x:c r="B8988" s="86"/>
    </x:row>
    <x:row r="8989">
      <x:c r="A8989" s="85"/>
      <x:c r="B8989" s="86"/>
    </x:row>
    <x:row r="8990">
      <x:c r="A8990" s="85"/>
      <x:c r="B8990" s="86"/>
    </x:row>
    <x:row r="8991">
      <x:c r="A8991" s="85"/>
      <x:c r="B8991" s="86"/>
    </x:row>
    <x:row r="8992">
      <x:c r="A8992" s="85"/>
      <x:c r="B8992" s="86"/>
    </x:row>
    <x:row r="8993">
      <x:c r="A8993" s="85"/>
      <x:c r="B8993" s="86"/>
    </x:row>
    <x:row r="8994">
      <x:c r="A8994" s="85"/>
      <x:c r="B8994" s="86"/>
    </x:row>
    <x:row r="8995">
      <x:c r="A8995" s="85"/>
      <x:c r="B8995" s="86"/>
    </x:row>
    <x:row r="8996">
      <x:c r="A8996" s="85"/>
      <x:c r="B8996" s="86"/>
    </x:row>
    <x:row r="8997">
      <x:c r="A8997" s="85"/>
      <x:c r="B8997" s="86"/>
    </x:row>
    <x:row r="8998">
      <x:c r="A8998" s="85"/>
      <x:c r="B8998" s="86"/>
    </x:row>
    <x:row r="8999">
      <x:c r="A8999" s="85"/>
      <x:c r="B8999" s="86"/>
    </x:row>
    <x:row r="9000">
      <x:c r="A9000" s="85"/>
      <x:c r="B9000" s="86"/>
    </x:row>
    <x:row r="9001">
      <x:c r="A9001" s="85"/>
      <x:c r="B9001" s="86"/>
    </x:row>
    <x:row r="9002">
      <x:c r="A9002" s="85"/>
      <x:c r="B9002" s="86"/>
    </x:row>
    <x:row r="9003">
      <x:c r="A9003" s="85"/>
      <x:c r="B9003" s="86"/>
    </x:row>
    <x:row r="9004">
      <x:c r="A9004" s="85"/>
      <x:c r="B9004" s="86"/>
    </x:row>
    <x:row r="9005">
      <x:c r="A9005" s="85"/>
      <x:c r="B9005" s="86"/>
    </x:row>
    <x:row r="9006">
      <x:c r="A9006" s="85"/>
      <x:c r="B9006" s="86"/>
    </x:row>
    <x:row r="9007">
      <x:c r="A9007" s="85"/>
      <x:c r="B9007" s="86"/>
    </x:row>
    <x:row r="9008">
      <x:c r="A9008" s="85"/>
      <x:c r="B9008" s="86"/>
    </x:row>
    <x:row r="9009">
      <x:c r="A9009" s="85"/>
      <x:c r="B9009" s="86"/>
    </x:row>
    <x:row r="9010">
      <x:c r="A9010" s="85"/>
      <x:c r="B9010" s="86"/>
    </x:row>
    <x:row r="9011">
      <x:c r="A9011" s="85"/>
      <x:c r="B9011" s="86"/>
    </x:row>
    <x:row r="9012">
      <x:c r="A9012" s="85"/>
      <x:c r="B9012" s="86"/>
    </x:row>
    <x:row r="9013">
      <x:c r="A9013" s="85"/>
      <x:c r="B9013" s="86"/>
    </x:row>
    <x:row r="9014">
      <x:c r="A9014" s="85"/>
      <x:c r="B9014" s="86"/>
    </x:row>
    <x:row r="9015">
      <x:c r="A9015" s="85"/>
      <x:c r="B9015" s="86"/>
    </x:row>
    <x:row r="9016">
      <x:c r="A9016" s="85"/>
      <x:c r="B9016" s="86"/>
    </x:row>
    <x:row r="9017">
      <x:c r="A9017" s="85"/>
      <x:c r="B9017" s="86"/>
    </x:row>
    <x:row r="9018">
      <x:c r="A9018" s="85"/>
      <x:c r="B9018" s="86"/>
    </x:row>
    <x:row r="9019">
      <x:c r="A9019" s="85"/>
      <x:c r="B9019" s="86"/>
    </x:row>
    <x:row r="9020">
      <x:c r="A9020" s="85"/>
      <x:c r="B9020" s="86"/>
    </x:row>
    <x:row r="9021">
      <x:c r="A9021" s="85"/>
      <x:c r="B9021" s="86"/>
    </x:row>
    <x:row r="9022">
      <x:c r="A9022" s="85"/>
      <x:c r="B9022" s="86"/>
    </x:row>
    <x:row r="9023">
      <x:c r="A9023" s="85"/>
      <x:c r="B9023" s="86"/>
    </x:row>
    <x:row r="9024">
      <x:c r="A9024" s="85"/>
      <x:c r="B9024" s="86"/>
    </x:row>
    <x:row r="9025">
      <x:c r="A9025" s="85"/>
      <x:c r="B9025" s="86"/>
    </x:row>
    <x:row r="9026">
      <x:c r="A9026" s="85"/>
      <x:c r="B9026" s="86"/>
    </x:row>
    <x:row r="9027">
      <x:c r="A9027" s="85"/>
      <x:c r="B9027" s="86"/>
    </x:row>
    <x:row r="9028">
      <x:c r="A9028" s="85"/>
      <x:c r="B9028" s="86"/>
    </x:row>
    <x:row r="9029">
      <x:c r="A9029" s="85"/>
      <x:c r="B9029" s="86"/>
    </x:row>
    <x:row r="9030">
      <x:c r="A9030" s="85"/>
      <x:c r="B9030" s="86"/>
    </x:row>
    <x:row r="9031">
      <x:c r="A9031" s="85"/>
      <x:c r="B9031" s="86"/>
    </x:row>
    <x:row r="9032">
      <x:c r="A9032" s="85"/>
      <x:c r="B9032" s="86"/>
    </x:row>
    <x:row r="9033">
      <x:c r="A9033" s="85"/>
      <x:c r="B9033" s="86"/>
    </x:row>
    <x:row r="9034">
      <x:c r="A9034" s="85"/>
      <x:c r="B9034" s="86"/>
    </x:row>
    <x:row r="9035">
      <x:c r="A9035" s="85"/>
      <x:c r="B9035" s="86"/>
    </x:row>
    <x:row r="9036">
      <x:c r="A9036" s="85"/>
      <x:c r="B9036" s="86"/>
    </x:row>
    <x:row r="9037">
      <x:c r="A9037" s="85"/>
      <x:c r="B9037" s="86"/>
    </x:row>
    <x:row r="9038">
      <x:c r="A9038" s="85"/>
      <x:c r="B9038" s="86"/>
    </x:row>
    <x:row r="9039">
      <x:c r="A9039" s="85"/>
      <x:c r="B9039" s="86"/>
    </x:row>
    <x:row r="9040">
      <x:c r="A9040" s="85"/>
      <x:c r="B9040" s="86"/>
    </x:row>
    <x:row r="9041">
      <x:c r="A9041" s="85"/>
      <x:c r="B9041" s="86"/>
    </x:row>
    <x:row r="9042">
      <x:c r="A9042" s="85"/>
      <x:c r="B9042" s="86"/>
    </x:row>
    <x:row r="9043">
      <x:c r="A9043" s="85"/>
      <x:c r="B9043" s="86"/>
    </x:row>
    <x:row r="9044">
      <x:c r="A9044" s="85"/>
      <x:c r="B9044" s="86"/>
    </x:row>
    <x:row r="9045">
      <x:c r="A9045" s="85"/>
      <x:c r="B9045" s="86"/>
    </x:row>
    <x:row r="9046">
      <x:c r="A9046" s="85"/>
      <x:c r="B9046" s="86"/>
    </x:row>
    <x:row r="9047">
      <x:c r="A9047" s="85"/>
      <x:c r="B9047" s="86"/>
    </x:row>
    <x:row r="9048">
      <x:c r="A9048" s="85"/>
      <x:c r="B9048" s="86"/>
    </x:row>
    <x:row r="9049">
      <x:c r="A9049" s="85"/>
      <x:c r="B9049" s="86"/>
    </x:row>
    <x:row r="9050">
      <x:c r="A9050" s="85"/>
      <x:c r="B9050" s="86"/>
    </x:row>
    <x:row r="9051">
      <x:c r="A9051" s="85"/>
      <x:c r="B9051" s="86"/>
    </x:row>
    <x:row r="9052">
      <x:c r="A9052" s="85"/>
      <x:c r="B9052" s="86"/>
    </x:row>
    <x:row r="9053">
      <x:c r="A9053" s="85"/>
      <x:c r="B9053" s="86"/>
    </x:row>
    <x:row r="9054">
      <x:c r="A9054" s="85"/>
      <x:c r="B9054" s="86"/>
    </x:row>
    <x:row r="9055">
      <x:c r="A9055" s="85"/>
      <x:c r="B9055" s="86"/>
    </x:row>
    <x:row r="9056">
      <x:c r="A9056" s="85"/>
      <x:c r="B9056" s="86"/>
    </x:row>
    <x:row r="9057">
      <x:c r="A9057" s="85"/>
      <x:c r="B9057" s="86"/>
    </x:row>
    <x:row r="9058">
      <x:c r="A9058" s="85"/>
      <x:c r="B9058" s="86"/>
    </x:row>
    <x:row r="9059">
      <x:c r="A9059" s="85"/>
      <x:c r="B9059" s="86"/>
    </x:row>
    <x:row r="9060">
      <x:c r="A9060" s="85"/>
      <x:c r="B9060" s="86"/>
    </x:row>
    <x:row r="9061">
      <x:c r="A9061" s="85"/>
      <x:c r="B9061" s="86"/>
    </x:row>
    <x:row r="9062">
      <x:c r="A9062" s="85"/>
      <x:c r="B9062" s="86"/>
    </x:row>
    <x:row r="9063">
      <x:c r="A9063" s="85"/>
      <x:c r="B9063" s="86"/>
    </x:row>
    <x:row r="9064">
      <x:c r="A9064" s="85"/>
      <x:c r="B9064" s="86"/>
    </x:row>
    <x:row r="9065">
      <x:c r="A9065" s="85"/>
      <x:c r="B9065" s="86"/>
    </x:row>
    <x:row r="9066">
      <x:c r="A9066" s="85"/>
      <x:c r="B9066" s="86"/>
    </x:row>
    <x:row r="9067">
      <x:c r="A9067" s="85"/>
      <x:c r="B9067" s="86"/>
    </x:row>
    <x:row r="9068">
      <x:c r="A9068" s="85"/>
      <x:c r="B9068" s="86"/>
    </x:row>
    <x:row r="9069">
      <x:c r="A9069" s="85"/>
      <x:c r="B9069" s="86"/>
    </x:row>
    <x:row r="9070">
      <x:c r="A9070" s="85"/>
      <x:c r="B9070" s="86"/>
    </x:row>
    <x:row r="9071">
      <x:c r="A9071" s="85"/>
      <x:c r="B9071" s="86"/>
    </x:row>
    <x:row r="9072">
      <x:c r="A9072" s="85"/>
      <x:c r="B9072" s="86"/>
    </x:row>
    <x:row r="9073">
      <x:c r="A9073" s="85"/>
      <x:c r="B9073" s="86"/>
    </x:row>
    <x:row r="9074">
      <x:c r="A9074" s="85"/>
      <x:c r="B9074" s="86"/>
    </x:row>
    <x:row r="9075">
      <x:c r="A9075" s="85"/>
      <x:c r="B9075" s="86"/>
    </x:row>
    <x:row r="9076">
      <x:c r="A9076" s="85"/>
      <x:c r="B9076" s="86"/>
    </x:row>
    <x:row r="9077">
      <x:c r="A9077" s="85"/>
      <x:c r="B9077" s="86"/>
    </x:row>
    <x:row r="9078">
      <x:c r="A9078" s="85"/>
      <x:c r="B9078" s="86"/>
    </x:row>
    <x:row r="9079">
      <x:c r="A9079" s="85"/>
      <x:c r="B9079" s="86"/>
    </x:row>
    <x:row r="9080">
      <x:c r="A9080" s="85"/>
      <x:c r="B9080" s="86"/>
    </x:row>
    <x:row r="9081">
      <x:c r="A9081" s="85"/>
      <x:c r="B9081" s="86"/>
    </x:row>
    <x:row r="9082">
      <x:c r="A9082" s="85"/>
      <x:c r="B9082" s="86"/>
    </x:row>
    <x:row r="9083">
      <x:c r="A9083" s="85"/>
      <x:c r="B9083" s="86"/>
    </x:row>
    <x:row r="9084">
      <x:c r="A9084" s="85"/>
      <x:c r="B9084" s="86"/>
    </x:row>
    <x:row r="9085">
      <x:c r="A9085" s="85"/>
      <x:c r="B9085" s="86"/>
    </x:row>
    <x:row r="9086">
      <x:c r="A9086" s="85"/>
      <x:c r="B9086" s="86"/>
    </x:row>
    <x:row r="9087">
      <x:c r="A9087" s="85"/>
      <x:c r="B9087" s="86"/>
    </x:row>
    <x:row r="9088">
      <x:c r="A9088" s="85"/>
      <x:c r="B9088" s="86"/>
    </x:row>
    <x:row r="9089">
      <x:c r="A9089" s="85"/>
      <x:c r="B9089" s="86"/>
    </x:row>
    <x:row r="9090">
      <x:c r="A9090" s="85"/>
      <x:c r="B9090" s="86"/>
    </x:row>
    <x:row r="9091">
      <x:c r="A9091" s="85"/>
      <x:c r="B9091" s="86"/>
    </x:row>
    <x:row r="9092">
      <x:c r="A9092" s="85"/>
      <x:c r="B9092" s="86"/>
    </x:row>
    <x:row r="9093">
      <x:c r="A9093" s="85"/>
      <x:c r="B9093" s="86"/>
    </x:row>
    <x:row r="9094">
      <x:c r="A9094" s="85"/>
      <x:c r="B9094" s="86"/>
    </x:row>
    <x:row r="9095">
      <x:c r="A9095" s="85"/>
      <x:c r="B9095" s="86"/>
    </x:row>
    <x:row r="9096">
      <x:c r="A9096" s="85"/>
      <x:c r="B9096" s="86"/>
    </x:row>
    <x:row r="9097">
      <x:c r="A9097" s="85"/>
      <x:c r="B9097" s="86"/>
    </x:row>
    <x:row r="9098">
      <x:c r="A9098" s="85"/>
      <x:c r="B9098" s="86"/>
    </x:row>
    <x:row r="9099">
      <x:c r="A9099" s="85"/>
      <x:c r="B9099" s="86"/>
    </x:row>
    <x:row r="9100">
      <x:c r="A9100" s="85"/>
      <x:c r="B9100" s="86"/>
    </x:row>
    <x:row r="9101">
      <x:c r="A9101" s="85"/>
      <x:c r="B9101" s="86"/>
    </x:row>
    <x:row r="9102">
      <x:c r="A9102" s="85"/>
      <x:c r="B9102" s="86"/>
    </x:row>
    <x:row r="9103">
      <x:c r="A9103" s="85"/>
      <x:c r="B9103" s="86"/>
    </x:row>
    <x:row r="9104">
      <x:c r="A9104" s="85"/>
      <x:c r="B9104" s="86"/>
    </x:row>
    <x:row r="9105">
      <x:c r="A9105" s="85"/>
      <x:c r="B9105" s="86"/>
    </x:row>
    <x:row r="9106">
      <x:c r="A9106" s="85"/>
      <x:c r="B9106" s="86"/>
    </x:row>
    <x:row r="9107">
      <x:c r="A9107" s="85"/>
      <x:c r="B9107" s="86"/>
    </x:row>
    <x:row r="9108">
      <x:c r="A9108" s="85"/>
      <x:c r="B9108" s="86"/>
    </x:row>
    <x:row r="9109">
      <x:c r="A9109" s="85"/>
      <x:c r="B9109" s="86"/>
    </x:row>
    <x:row r="9110">
      <x:c r="A9110" s="85"/>
      <x:c r="B9110" s="86"/>
    </x:row>
    <x:row r="9111">
      <x:c r="A9111" s="85"/>
      <x:c r="B9111" s="86"/>
    </x:row>
    <x:row r="9112">
      <x:c r="A9112" s="85"/>
      <x:c r="B9112" s="86"/>
    </x:row>
    <x:row r="9113">
      <x:c r="A9113" s="85"/>
      <x:c r="B9113" s="86"/>
    </x:row>
    <x:row r="9114">
      <x:c r="A9114" s="85"/>
      <x:c r="B9114" s="86"/>
    </x:row>
    <x:row r="9115">
      <x:c r="A9115" s="85"/>
      <x:c r="B9115" s="86"/>
    </x:row>
    <x:row r="9116">
      <x:c r="A9116" s="85"/>
      <x:c r="B9116" s="86"/>
    </x:row>
    <x:row r="9117">
      <x:c r="A9117" s="85"/>
      <x:c r="B9117" s="86"/>
    </x:row>
    <x:row r="9118">
      <x:c r="A9118" s="85"/>
      <x:c r="B9118" s="86"/>
    </x:row>
    <x:row r="9119">
      <x:c r="A9119" s="85"/>
      <x:c r="B9119" s="86"/>
    </x:row>
    <x:row r="9120">
      <x:c r="A9120" s="85"/>
      <x:c r="B9120" s="86"/>
    </x:row>
    <x:row r="9121">
      <x:c r="A9121" s="85"/>
      <x:c r="B9121" s="86"/>
    </x:row>
    <x:row r="9122">
      <x:c r="A9122" s="85"/>
      <x:c r="B9122" s="86"/>
    </x:row>
    <x:row r="9123">
      <x:c r="A9123" s="85"/>
      <x:c r="B9123" s="86"/>
    </x:row>
    <x:row r="9124">
      <x:c r="A9124" s="85"/>
      <x:c r="B9124" s="86"/>
    </x:row>
    <x:row r="9125">
      <x:c r="A9125" s="85"/>
      <x:c r="B9125" s="86"/>
    </x:row>
    <x:row r="9126">
      <x:c r="A9126" s="85"/>
      <x:c r="B9126" s="86"/>
    </x:row>
    <x:row r="9127">
      <x:c r="A9127" s="85"/>
      <x:c r="B9127" s="86"/>
    </x:row>
    <x:row r="9128">
      <x:c r="A9128" s="85"/>
      <x:c r="B9128" s="86"/>
    </x:row>
    <x:row r="9129">
      <x:c r="A9129" s="85"/>
      <x:c r="B9129" s="86"/>
    </x:row>
    <x:row r="9130">
      <x:c r="A9130" s="85"/>
      <x:c r="B9130" s="86"/>
    </x:row>
    <x:row r="9131">
      <x:c r="A9131" s="85"/>
      <x:c r="B9131" s="86"/>
    </x:row>
    <x:row r="9132">
      <x:c r="A9132" s="85"/>
      <x:c r="B9132" s="86"/>
    </x:row>
    <x:row r="9133">
      <x:c r="A9133" s="85"/>
      <x:c r="B9133" s="86"/>
    </x:row>
    <x:row r="9134">
      <x:c r="A9134" s="85"/>
      <x:c r="B9134" s="86"/>
    </x:row>
    <x:row r="9135">
      <x:c r="A9135" s="85"/>
      <x:c r="B9135" s="86"/>
    </x:row>
    <x:row r="9136">
      <x:c r="A9136" s="85"/>
      <x:c r="B9136" s="86"/>
    </x:row>
    <x:row r="9137">
      <x:c r="A9137" s="85"/>
      <x:c r="B9137" s="86"/>
    </x:row>
    <x:row r="9138">
      <x:c r="A9138" s="85"/>
      <x:c r="B9138" s="86"/>
    </x:row>
    <x:row r="9139">
      <x:c r="A9139" s="85"/>
      <x:c r="B9139" s="86"/>
    </x:row>
    <x:row r="9140">
      <x:c r="A9140" s="85"/>
      <x:c r="B9140" s="86"/>
    </x:row>
    <x:row r="9141">
      <x:c r="A9141" s="85"/>
      <x:c r="B9141" s="86"/>
    </x:row>
    <x:row r="9142">
      <x:c r="A9142" s="85"/>
      <x:c r="B9142" s="86"/>
    </x:row>
    <x:row r="9143">
      <x:c r="A9143" s="85"/>
      <x:c r="B9143" s="86"/>
    </x:row>
    <x:row r="9144">
      <x:c r="A9144" s="85"/>
      <x:c r="B9144" s="86"/>
    </x:row>
    <x:row r="9145">
      <x:c r="A9145" s="85"/>
      <x:c r="B9145" s="86"/>
    </x:row>
    <x:row r="9146">
      <x:c r="A9146" s="85"/>
      <x:c r="B9146" s="86"/>
    </x:row>
    <x:row r="9147">
      <x:c r="A9147" s="85"/>
      <x:c r="B9147" s="86"/>
    </x:row>
    <x:row r="9148">
      <x:c r="A9148" s="85"/>
      <x:c r="B9148" s="86"/>
    </x:row>
    <x:row r="9149">
      <x:c r="A9149" s="85"/>
      <x:c r="B9149" s="86"/>
    </x:row>
    <x:row r="9150">
      <x:c r="A9150" s="85"/>
      <x:c r="B9150" s="86"/>
    </x:row>
    <x:row r="9151">
      <x:c r="A9151" s="85"/>
      <x:c r="B9151" s="86"/>
    </x:row>
    <x:row r="9152">
      <x:c r="A9152" s="85"/>
      <x:c r="B9152" s="86"/>
    </x:row>
    <x:row r="9153">
      <x:c r="A9153" s="85"/>
      <x:c r="B9153" s="86"/>
    </x:row>
    <x:row r="9154">
      <x:c r="A9154" s="85"/>
      <x:c r="B9154" s="86"/>
    </x:row>
    <x:row r="9155">
      <x:c r="A9155" s="85"/>
      <x:c r="B9155" s="86"/>
    </x:row>
    <x:row r="9156">
      <x:c r="A9156" s="85"/>
      <x:c r="B9156" s="86"/>
    </x:row>
    <x:row r="9157">
      <x:c r="A9157" s="85"/>
      <x:c r="B9157" s="86"/>
    </x:row>
    <x:row r="9158">
      <x:c r="A9158" s="85"/>
      <x:c r="B9158" s="86"/>
    </x:row>
    <x:row r="9159">
      <x:c r="A9159" s="85"/>
      <x:c r="B9159" s="86"/>
    </x:row>
    <x:row r="9160">
      <x:c r="A9160" s="85"/>
      <x:c r="B9160" s="86"/>
    </x:row>
    <x:row r="9161">
      <x:c r="A9161" s="85"/>
      <x:c r="B9161" s="86"/>
    </x:row>
    <x:row r="9162">
      <x:c r="A9162" s="85"/>
      <x:c r="B9162" s="86"/>
    </x:row>
    <x:row r="9163">
      <x:c r="A9163" s="85"/>
      <x:c r="B9163" s="86"/>
    </x:row>
    <x:row r="9164">
      <x:c r="A9164" s="85"/>
      <x:c r="B9164" s="86"/>
    </x:row>
    <x:row r="9165">
      <x:c r="A9165" s="85"/>
      <x:c r="B9165" s="86"/>
    </x:row>
    <x:row r="9166">
      <x:c r="A9166" s="85"/>
      <x:c r="B9166" s="86"/>
    </x:row>
    <x:row r="9167">
      <x:c r="A9167" s="85"/>
      <x:c r="B9167" s="86"/>
    </x:row>
    <x:row r="9168">
      <x:c r="A9168" s="85"/>
      <x:c r="B9168" s="86"/>
    </x:row>
    <x:row r="9169">
      <x:c r="A9169" s="85"/>
      <x:c r="B9169" s="86"/>
    </x:row>
    <x:row r="9170">
      <x:c r="A9170" s="85"/>
      <x:c r="B9170" s="86"/>
    </x:row>
    <x:row r="9171">
      <x:c r="A9171" s="85"/>
      <x:c r="B9171" s="86"/>
    </x:row>
    <x:row r="9172">
      <x:c r="A9172" s="85"/>
      <x:c r="B9172" s="86"/>
    </x:row>
    <x:row r="9173">
      <x:c r="A9173" s="85"/>
      <x:c r="B9173" s="86"/>
    </x:row>
    <x:row r="9174">
      <x:c r="A9174" s="85"/>
      <x:c r="B9174" s="86"/>
    </x:row>
    <x:row r="9175">
      <x:c r="A9175" s="85"/>
      <x:c r="B9175" s="86"/>
    </x:row>
    <x:row r="9176">
      <x:c r="A9176" s="85"/>
      <x:c r="B9176" s="86"/>
    </x:row>
    <x:row r="9177">
      <x:c r="A9177" s="85"/>
      <x:c r="B9177" s="86"/>
    </x:row>
    <x:row r="9178">
      <x:c r="A9178" s="85"/>
      <x:c r="B9178" s="86"/>
    </x:row>
    <x:row r="9179">
      <x:c r="A9179" s="85"/>
      <x:c r="B9179" s="86"/>
    </x:row>
    <x:row r="9180">
      <x:c r="A9180" s="85"/>
      <x:c r="B9180" s="86"/>
    </x:row>
    <x:row r="9181">
      <x:c r="A9181" s="85"/>
      <x:c r="B9181" s="86"/>
    </x:row>
    <x:row r="9182">
      <x:c r="A9182" s="85"/>
      <x:c r="B9182" s="86"/>
    </x:row>
    <x:row r="9183">
      <x:c r="A9183" s="85"/>
      <x:c r="B9183" s="86"/>
    </x:row>
    <x:row r="9184">
      <x:c r="A9184" s="85"/>
      <x:c r="B9184" s="86"/>
    </x:row>
    <x:row r="9185">
      <x:c r="A9185" s="85"/>
      <x:c r="B9185" s="86"/>
    </x:row>
    <x:row r="9186">
      <x:c r="A9186" s="85"/>
      <x:c r="B9186" s="86"/>
    </x:row>
    <x:row r="9187">
      <x:c r="A9187" s="85"/>
      <x:c r="B9187" s="86"/>
    </x:row>
    <x:row r="9188">
      <x:c r="A9188" s="85"/>
      <x:c r="B9188" s="86"/>
    </x:row>
    <x:row r="9189">
      <x:c r="A9189" s="85"/>
      <x:c r="B9189" s="86"/>
    </x:row>
    <x:row r="9190">
      <x:c r="A9190" s="85"/>
      <x:c r="B9190" s="86"/>
    </x:row>
    <x:row r="9191">
      <x:c r="A9191" s="85"/>
      <x:c r="B9191" s="86"/>
    </x:row>
    <x:row r="9192">
      <x:c r="A9192" s="85"/>
      <x:c r="B9192" s="86"/>
    </x:row>
    <x:row r="9193">
      <x:c r="A9193" s="85"/>
      <x:c r="B9193" s="86"/>
    </x:row>
    <x:row r="9194">
      <x:c r="A9194" s="85"/>
      <x:c r="B9194" s="86"/>
    </x:row>
    <x:row r="9195">
      <x:c r="A9195" s="85"/>
      <x:c r="B9195" s="86"/>
    </x:row>
    <x:row r="9196">
      <x:c r="A9196" s="85"/>
      <x:c r="B9196" s="86"/>
    </x:row>
    <x:row r="9197">
      <x:c r="A9197" s="85"/>
      <x:c r="B9197" s="86"/>
    </x:row>
    <x:row r="9198">
      <x:c r="A9198" s="85"/>
      <x:c r="B9198" s="86"/>
    </x:row>
    <x:row r="9199">
      <x:c r="A9199" s="85"/>
      <x:c r="B9199" s="86"/>
    </x:row>
    <x:row r="9200">
      <x:c r="A9200" s="85"/>
      <x:c r="B9200" s="86"/>
    </x:row>
    <x:row r="9201">
      <x:c r="A9201" s="85"/>
      <x:c r="B9201" s="86"/>
    </x:row>
    <x:row r="9202">
      <x:c r="A9202" s="85"/>
      <x:c r="B9202" s="86"/>
    </x:row>
    <x:row r="9203">
      <x:c r="A9203" s="85"/>
      <x:c r="B9203" s="86"/>
    </x:row>
    <x:row r="9204">
      <x:c r="A9204" s="85"/>
      <x:c r="B9204" s="86"/>
    </x:row>
    <x:row r="9205">
      <x:c r="A9205" s="85"/>
      <x:c r="B9205" s="86"/>
    </x:row>
    <x:row r="9206">
      <x:c r="A9206" s="85"/>
      <x:c r="B9206" s="86"/>
    </x:row>
    <x:row r="9207">
      <x:c r="A9207" s="85"/>
      <x:c r="B9207" s="86"/>
    </x:row>
    <x:row r="9208">
      <x:c r="A9208" s="85"/>
      <x:c r="B9208" s="86"/>
    </x:row>
    <x:row r="9209">
      <x:c r="A9209" s="85"/>
      <x:c r="B9209" s="86"/>
    </x:row>
    <x:row r="9210">
      <x:c r="A9210" s="85"/>
      <x:c r="B9210" s="86"/>
    </x:row>
    <x:row r="9211">
      <x:c r="A9211" s="85"/>
      <x:c r="B9211" s="86"/>
    </x:row>
    <x:row r="9212">
      <x:c r="A9212" s="85"/>
      <x:c r="B9212" s="86"/>
    </x:row>
    <x:row r="9213">
      <x:c r="A9213" s="85"/>
      <x:c r="B9213" s="86"/>
    </x:row>
    <x:row r="9214">
      <x:c r="A9214" s="85"/>
      <x:c r="B9214" s="86"/>
    </x:row>
    <x:row r="9215">
      <x:c r="A9215" s="85"/>
      <x:c r="B9215" s="86"/>
    </x:row>
    <x:row r="9216">
      <x:c r="A9216" s="85"/>
      <x:c r="B9216" s="86"/>
    </x:row>
    <x:row r="9217">
      <x:c r="A9217" s="85"/>
      <x:c r="B9217" s="86"/>
    </x:row>
    <x:row r="9218">
      <x:c r="A9218" s="85"/>
      <x:c r="B9218" s="86"/>
    </x:row>
    <x:row r="9219">
      <x:c r="A9219" s="85"/>
      <x:c r="B9219" s="86"/>
    </x:row>
    <x:row r="9220">
      <x:c r="A9220" s="85"/>
      <x:c r="B9220" s="86"/>
    </x:row>
    <x:row r="9221">
      <x:c r="A9221" s="85"/>
      <x:c r="B9221" s="86"/>
    </x:row>
    <x:row r="9222">
      <x:c r="A9222" s="85"/>
      <x:c r="B9222" s="86"/>
    </x:row>
    <x:row r="9223">
      <x:c r="A9223" s="85"/>
      <x:c r="B9223" s="86"/>
    </x:row>
    <x:row r="9224">
      <x:c r="A9224" s="85"/>
      <x:c r="B9224" s="86"/>
    </x:row>
    <x:row r="9225">
      <x:c r="A9225" s="85"/>
      <x:c r="B9225" s="86"/>
    </x:row>
    <x:row r="9226">
      <x:c r="A9226" s="85"/>
      <x:c r="B9226" s="86"/>
    </x:row>
    <x:row r="9227">
      <x:c r="A9227" s="85"/>
      <x:c r="B9227" s="86"/>
    </x:row>
    <x:row r="9228">
      <x:c r="A9228" s="85"/>
      <x:c r="B9228" s="86"/>
    </x:row>
    <x:row r="9229">
      <x:c r="A9229" s="85"/>
      <x:c r="B9229" s="86"/>
    </x:row>
    <x:row r="9230">
      <x:c r="A9230" s="85"/>
      <x:c r="B9230" s="86"/>
    </x:row>
    <x:row r="9231">
      <x:c r="A9231" s="85"/>
      <x:c r="B9231" s="86"/>
    </x:row>
    <x:row r="9232">
      <x:c r="A9232" s="85"/>
      <x:c r="B9232" s="86"/>
    </x:row>
    <x:row r="9233">
      <x:c r="A9233" s="85"/>
      <x:c r="B9233" s="86"/>
    </x:row>
    <x:row r="9234">
      <x:c r="A9234" s="85"/>
      <x:c r="B9234" s="86"/>
    </x:row>
    <x:row r="9235">
      <x:c r="A9235" s="85"/>
      <x:c r="B9235" s="86"/>
    </x:row>
    <x:row r="9236">
      <x:c r="A9236" s="85"/>
      <x:c r="B9236" s="86"/>
    </x:row>
    <x:row r="9237">
      <x:c r="A9237" s="85"/>
      <x:c r="B9237" s="86"/>
    </x:row>
    <x:row r="9238">
      <x:c r="A9238" s="85"/>
      <x:c r="B9238" s="86"/>
    </x:row>
    <x:row r="9239">
      <x:c r="A9239" s="85"/>
      <x:c r="B9239" s="86"/>
    </x:row>
    <x:row r="9240">
      <x:c r="A9240" s="85"/>
      <x:c r="B9240" s="86"/>
    </x:row>
    <x:row r="9241">
      <x:c r="A9241" s="85"/>
      <x:c r="B9241" s="86"/>
    </x:row>
    <x:row r="9242">
      <x:c r="A9242" s="85"/>
      <x:c r="B9242" s="86"/>
    </x:row>
    <x:row r="9243">
      <x:c r="A9243" s="85"/>
      <x:c r="B9243" s="86"/>
    </x:row>
    <x:row r="9244">
      <x:c r="A9244" s="85"/>
      <x:c r="B9244" s="86"/>
    </x:row>
    <x:row r="9245">
      <x:c r="A9245" s="85"/>
      <x:c r="B9245" s="86"/>
    </x:row>
    <x:row r="9246">
      <x:c r="A9246" s="85"/>
      <x:c r="B9246" s="86"/>
    </x:row>
    <x:row r="9247">
      <x:c r="A9247" s="85"/>
      <x:c r="B9247" s="86"/>
    </x:row>
    <x:row r="9248">
      <x:c r="A9248" s="85"/>
      <x:c r="B9248" s="86"/>
    </x:row>
    <x:row r="9249">
      <x:c r="A9249" s="85"/>
      <x:c r="B9249" s="86"/>
    </x:row>
    <x:row r="9250">
      <x:c r="A9250" s="85"/>
      <x:c r="B9250" s="86"/>
    </x:row>
    <x:row r="9251">
      <x:c r="A9251" s="85"/>
      <x:c r="B9251" s="86"/>
    </x:row>
    <x:row r="9252">
      <x:c r="A9252" s="85"/>
      <x:c r="B9252" s="86"/>
    </x:row>
    <x:row r="9253">
      <x:c r="A9253" s="85"/>
      <x:c r="B9253" s="86"/>
    </x:row>
    <x:row r="9254">
      <x:c r="A9254" s="85"/>
      <x:c r="B9254" s="86"/>
    </x:row>
    <x:row r="9255">
      <x:c r="A9255" s="85"/>
      <x:c r="B9255" s="86"/>
    </x:row>
    <x:row r="9256">
      <x:c r="A9256" s="85"/>
      <x:c r="B9256" s="86"/>
    </x:row>
    <x:row r="9257">
      <x:c r="A9257" s="85"/>
      <x:c r="B9257" s="86"/>
    </x:row>
    <x:row r="9258">
      <x:c r="A9258" s="85"/>
      <x:c r="B9258" s="86"/>
    </x:row>
    <x:row r="9259">
      <x:c r="A9259" s="85"/>
      <x:c r="B9259" s="86"/>
    </x:row>
    <x:row r="9260">
      <x:c r="A9260" s="85"/>
      <x:c r="B9260" s="86"/>
    </x:row>
    <x:row r="9261">
      <x:c r="A9261" s="85"/>
      <x:c r="B9261" s="86"/>
    </x:row>
    <x:row r="9262">
      <x:c r="A9262" s="85"/>
      <x:c r="B9262" s="86"/>
    </x:row>
    <x:row r="9263">
      <x:c r="A9263" s="85"/>
      <x:c r="B9263" s="86"/>
    </x:row>
    <x:row r="9264">
      <x:c r="A9264" s="85"/>
      <x:c r="B9264" s="86"/>
    </x:row>
    <x:row r="9265">
      <x:c r="A9265" s="85"/>
      <x:c r="B9265" s="86"/>
    </x:row>
    <x:row r="9266">
      <x:c r="A9266" s="85"/>
      <x:c r="B9266" s="86"/>
    </x:row>
    <x:row r="9267">
      <x:c r="A9267" s="85"/>
      <x:c r="B9267" s="86"/>
    </x:row>
    <x:row r="9268">
      <x:c r="A9268" s="85"/>
      <x:c r="B9268" s="86"/>
    </x:row>
    <x:row r="9269">
      <x:c r="A9269" s="85"/>
      <x:c r="B9269" s="86"/>
    </x:row>
    <x:row r="9270">
      <x:c r="A9270" s="85"/>
      <x:c r="B9270" s="86"/>
    </x:row>
    <x:row r="9271">
      <x:c r="A9271" s="85"/>
      <x:c r="B9271" s="86"/>
    </x:row>
    <x:row r="9272">
      <x:c r="A9272" s="85"/>
      <x:c r="B9272" s="86"/>
    </x:row>
    <x:row r="9273">
      <x:c r="A9273" s="85"/>
      <x:c r="B9273" s="86"/>
    </x:row>
    <x:row r="9274">
      <x:c r="A9274" s="85"/>
      <x:c r="B9274" s="86"/>
    </x:row>
    <x:row r="9275">
      <x:c r="A9275" s="85"/>
      <x:c r="B9275" s="86"/>
    </x:row>
    <x:row r="9276">
      <x:c r="A9276" s="85"/>
      <x:c r="B9276" s="86"/>
    </x:row>
    <x:row r="9277">
      <x:c r="A9277" s="85"/>
      <x:c r="B9277" s="86"/>
    </x:row>
    <x:row r="9278">
      <x:c r="A9278" s="85"/>
      <x:c r="B9278" s="86"/>
    </x:row>
    <x:row r="9279">
      <x:c r="A9279" s="85"/>
      <x:c r="B9279" s="86"/>
    </x:row>
    <x:row r="9280">
      <x:c r="A9280" s="85"/>
      <x:c r="B9280" s="86"/>
    </x:row>
    <x:row r="9281">
      <x:c r="A9281" s="85"/>
      <x:c r="B9281" s="86"/>
    </x:row>
    <x:row r="9282">
      <x:c r="A9282" s="85"/>
      <x:c r="B9282" s="86"/>
    </x:row>
    <x:row r="9283">
      <x:c r="A9283" s="85"/>
      <x:c r="B9283" s="86"/>
    </x:row>
    <x:row r="9284">
      <x:c r="A9284" s="85"/>
      <x:c r="B9284" s="86"/>
    </x:row>
    <x:row r="9285">
      <x:c r="A9285" s="85"/>
      <x:c r="B9285" s="86"/>
    </x:row>
    <x:row r="9286">
      <x:c r="A9286" s="85"/>
      <x:c r="B9286" s="86"/>
    </x:row>
    <x:row r="9287">
      <x:c r="A9287" s="85"/>
      <x:c r="B9287" s="86"/>
    </x:row>
    <x:row r="9288">
      <x:c r="A9288" s="85"/>
      <x:c r="B9288" s="86"/>
    </x:row>
    <x:row r="9289">
      <x:c r="A9289" s="85"/>
      <x:c r="B9289" s="86"/>
    </x:row>
    <x:row r="9290">
      <x:c r="A9290" s="85"/>
      <x:c r="B9290" s="86"/>
    </x:row>
    <x:row r="9291">
      <x:c r="A9291" s="85"/>
      <x:c r="B9291" s="86"/>
    </x:row>
    <x:row r="9292">
      <x:c r="A9292" s="85"/>
      <x:c r="B9292" s="86"/>
    </x:row>
    <x:row r="9293">
      <x:c r="A9293" s="85"/>
      <x:c r="B9293" s="86"/>
    </x:row>
    <x:row r="9294">
      <x:c r="A9294" s="85"/>
      <x:c r="B9294" s="86"/>
    </x:row>
    <x:row r="9295">
      <x:c r="A9295" s="85"/>
      <x:c r="B9295" s="86"/>
    </x:row>
    <x:row r="9296">
      <x:c r="A9296" s="85"/>
      <x:c r="B9296" s="86"/>
    </x:row>
    <x:row r="9297">
      <x:c r="A9297" s="85"/>
      <x:c r="B9297" s="86"/>
    </x:row>
    <x:row r="9298">
      <x:c r="A9298" s="85"/>
      <x:c r="B9298" s="86"/>
    </x:row>
    <x:row r="9299">
      <x:c r="A9299" s="85"/>
      <x:c r="B9299" s="86"/>
    </x:row>
    <x:row r="9300">
      <x:c r="A9300" s="85"/>
      <x:c r="B9300" s="86"/>
    </x:row>
    <x:row r="9301">
      <x:c r="A9301" s="85"/>
      <x:c r="B9301" s="86"/>
    </x:row>
    <x:row r="9302">
      <x:c r="A9302" s="85"/>
      <x:c r="B9302" s="86"/>
    </x:row>
    <x:row r="9303">
      <x:c r="A9303" s="85"/>
      <x:c r="B9303" s="86"/>
    </x:row>
    <x:row r="9304">
      <x:c r="A9304" s="85"/>
      <x:c r="B9304" s="86"/>
    </x:row>
    <x:row r="9305">
      <x:c r="A9305" s="85"/>
      <x:c r="B9305" s="86"/>
    </x:row>
    <x:row r="9306">
      <x:c r="A9306" s="85"/>
      <x:c r="B9306" s="86"/>
    </x:row>
    <x:row r="9307">
      <x:c r="A9307" s="85"/>
      <x:c r="B9307" s="86"/>
    </x:row>
    <x:row r="9308">
      <x:c r="A9308" s="85"/>
      <x:c r="B9308" s="86"/>
    </x:row>
    <x:row r="9309">
      <x:c r="A9309" s="85"/>
      <x:c r="B9309" s="86"/>
    </x:row>
    <x:row r="9310">
      <x:c r="A9310" s="85"/>
      <x:c r="B9310" s="86"/>
    </x:row>
    <x:row r="9311">
      <x:c r="A9311" s="85"/>
      <x:c r="B9311" s="86"/>
    </x:row>
    <x:row r="9312">
      <x:c r="A9312" s="85"/>
      <x:c r="B9312" s="86"/>
    </x:row>
    <x:row r="9313">
      <x:c r="A9313" s="85"/>
      <x:c r="B9313" s="86"/>
    </x:row>
    <x:row r="9314">
      <x:c r="A9314" s="85"/>
      <x:c r="B9314" s="86"/>
    </x:row>
    <x:row r="9315">
      <x:c r="A9315" s="85"/>
      <x:c r="B9315" s="86"/>
    </x:row>
    <x:row r="9316">
      <x:c r="A9316" s="85"/>
      <x:c r="B9316" s="86"/>
    </x:row>
    <x:row r="9317">
      <x:c r="A9317" s="85"/>
      <x:c r="B9317" s="86"/>
    </x:row>
    <x:row r="9318">
      <x:c r="A9318" s="85"/>
      <x:c r="B9318" s="86"/>
    </x:row>
    <x:row r="9319">
      <x:c r="A9319" s="85"/>
      <x:c r="B9319" s="86"/>
    </x:row>
    <x:row r="9320">
      <x:c r="A9320" s="85"/>
      <x:c r="B9320" s="86"/>
    </x:row>
    <x:row r="9321">
      <x:c r="A9321" s="85"/>
      <x:c r="B9321" s="86"/>
    </x:row>
    <x:row r="9322">
      <x:c r="A9322" s="85"/>
      <x:c r="B9322" s="86"/>
    </x:row>
    <x:row r="9323">
      <x:c r="A9323" s="85"/>
      <x:c r="B9323" s="86"/>
    </x:row>
    <x:row r="9324">
      <x:c r="A9324" s="85"/>
      <x:c r="B9324" s="86"/>
    </x:row>
    <x:row r="9325">
      <x:c r="A9325" s="85"/>
      <x:c r="B9325" s="86"/>
    </x:row>
    <x:row r="9326">
      <x:c r="A9326" s="85"/>
      <x:c r="B9326" s="86"/>
    </x:row>
    <x:row r="9327">
      <x:c r="A9327" s="85"/>
      <x:c r="B9327" s="86"/>
    </x:row>
    <x:row r="9328">
      <x:c r="A9328" s="85"/>
      <x:c r="B9328" s="86"/>
    </x:row>
    <x:row r="9329">
      <x:c r="A9329" s="85"/>
      <x:c r="B9329" s="86"/>
    </x:row>
    <x:row r="9330">
      <x:c r="A9330" s="85"/>
      <x:c r="B9330" s="86"/>
    </x:row>
    <x:row r="9331">
      <x:c r="A9331" s="85"/>
      <x:c r="B9331" s="86"/>
    </x:row>
    <x:row r="9332">
      <x:c r="A9332" s="85"/>
      <x:c r="B9332" s="86"/>
    </x:row>
    <x:row r="9333">
      <x:c r="A9333" s="85"/>
      <x:c r="B9333" s="86"/>
    </x:row>
    <x:row r="9334">
      <x:c r="A9334" s="85"/>
      <x:c r="B9334" s="86"/>
    </x:row>
    <x:row r="9335">
      <x:c r="A9335" s="85"/>
      <x:c r="B9335" s="86"/>
    </x:row>
    <x:row r="9336">
      <x:c r="A9336" s="85"/>
      <x:c r="B9336" s="86"/>
    </x:row>
    <x:row r="9337">
      <x:c r="A9337" s="85"/>
      <x:c r="B9337" s="86"/>
    </x:row>
    <x:row r="9338">
      <x:c r="A9338" s="85"/>
      <x:c r="B9338" s="86"/>
    </x:row>
    <x:row r="9339">
      <x:c r="A9339" s="85"/>
      <x:c r="B9339" s="86"/>
    </x:row>
    <x:row r="9340">
      <x:c r="A9340" s="85"/>
      <x:c r="B9340" s="86"/>
    </x:row>
    <x:row r="9341">
      <x:c r="A9341" s="85"/>
      <x:c r="B9341" s="86"/>
    </x:row>
    <x:row r="9342">
      <x:c r="A9342" s="85"/>
      <x:c r="B9342" s="86"/>
    </x:row>
    <x:row r="9343">
      <x:c r="A9343" s="85"/>
      <x:c r="B9343" s="86"/>
    </x:row>
    <x:row r="9344">
      <x:c r="A9344" s="85"/>
      <x:c r="B9344" s="86"/>
    </x:row>
    <x:row r="9345">
      <x:c r="A9345" s="85"/>
      <x:c r="B9345" s="86"/>
    </x:row>
    <x:row r="9346">
      <x:c r="A9346" s="85"/>
      <x:c r="B9346" s="86"/>
    </x:row>
    <x:row r="9347">
      <x:c r="A9347" s="85"/>
      <x:c r="B9347" s="86"/>
    </x:row>
    <x:row r="9348">
      <x:c r="A9348" s="85"/>
      <x:c r="B9348" s="86"/>
    </x:row>
    <x:row r="9349">
      <x:c r="A9349" s="85"/>
      <x:c r="B9349" s="86"/>
    </x:row>
    <x:row r="9350">
      <x:c r="A9350" s="85"/>
      <x:c r="B9350" s="86"/>
    </x:row>
    <x:row r="9351">
      <x:c r="A9351" s="85"/>
      <x:c r="B9351" s="86"/>
    </x:row>
    <x:row r="9352">
      <x:c r="A9352" s="85"/>
      <x:c r="B9352" s="86"/>
    </x:row>
    <x:row r="9353">
      <x:c r="A9353" s="85"/>
      <x:c r="B9353" s="86"/>
    </x:row>
    <x:row r="9354">
      <x:c r="A9354" s="85"/>
      <x:c r="B9354" s="86"/>
    </x:row>
    <x:row r="9355">
      <x:c r="A9355" s="85"/>
      <x:c r="B9355" s="86"/>
    </x:row>
    <x:row r="9356">
      <x:c r="A9356" s="85"/>
      <x:c r="B9356" s="86"/>
    </x:row>
    <x:row r="9357">
      <x:c r="A9357" s="85"/>
      <x:c r="B9357" s="86"/>
    </x:row>
    <x:row r="9358">
      <x:c r="A9358" s="85"/>
      <x:c r="B9358" s="86"/>
    </x:row>
    <x:row r="9359">
      <x:c r="A9359" s="85"/>
      <x:c r="B9359" s="86"/>
    </x:row>
    <x:row r="9360">
      <x:c r="A9360" s="85"/>
      <x:c r="B9360" s="86"/>
    </x:row>
    <x:row r="9361">
      <x:c r="A9361" s="85"/>
      <x:c r="B9361" s="86"/>
    </x:row>
    <x:row r="9362">
      <x:c r="A9362" s="85"/>
      <x:c r="B9362" s="86"/>
    </x:row>
    <x:row r="9363">
      <x:c r="A9363" s="85"/>
      <x:c r="B9363" s="86"/>
    </x:row>
    <x:row r="9364">
      <x:c r="A9364" s="85"/>
      <x:c r="B9364" s="86"/>
    </x:row>
    <x:row r="9365">
      <x:c r="A9365" s="85"/>
      <x:c r="B9365" s="86"/>
    </x:row>
    <x:row r="9366">
      <x:c r="A9366" s="85"/>
      <x:c r="B9366" s="86"/>
    </x:row>
    <x:row r="9367">
      <x:c r="A9367" s="85"/>
      <x:c r="B9367" s="86"/>
    </x:row>
    <x:row r="9368">
      <x:c r="A9368" s="85"/>
      <x:c r="B9368" s="86"/>
    </x:row>
    <x:row r="9369">
      <x:c r="A9369" s="85"/>
      <x:c r="B9369" s="86"/>
    </x:row>
    <x:row r="9370">
      <x:c r="A9370" s="85"/>
      <x:c r="B9370" s="86"/>
    </x:row>
    <x:row r="9371">
      <x:c r="A9371" s="85"/>
      <x:c r="B9371" s="86"/>
    </x:row>
    <x:row r="9372">
      <x:c r="A9372" s="85"/>
      <x:c r="B9372" s="86"/>
    </x:row>
    <x:row r="9373">
      <x:c r="A9373" s="85"/>
      <x:c r="B9373" s="86"/>
    </x:row>
    <x:row r="9374">
      <x:c r="A9374" s="85"/>
      <x:c r="B9374" s="86"/>
    </x:row>
    <x:row r="9375">
      <x:c r="A9375" s="85"/>
      <x:c r="B9375" s="86"/>
    </x:row>
    <x:row r="9376">
      <x:c r="A9376" s="85"/>
      <x:c r="B9376" s="86"/>
    </x:row>
    <x:row r="9377">
      <x:c r="A9377" s="85"/>
      <x:c r="B9377" s="86"/>
    </x:row>
    <x:row r="9378">
      <x:c r="A9378" s="85"/>
      <x:c r="B9378" s="86"/>
    </x:row>
    <x:row r="9379">
      <x:c r="A9379" s="85"/>
      <x:c r="B9379" s="86"/>
    </x:row>
    <x:row r="9380">
      <x:c r="A9380" s="85"/>
      <x:c r="B9380" s="86"/>
    </x:row>
    <x:row r="9381">
      <x:c r="A9381" s="85"/>
      <x:c r="B9381" s="86"/>
    </x:row>
    <x:row r="9382">
      <x:c r="A9382" s="85"/>
      <x:c r="B9382" s="86"/>
    </x:row>
    <x:row r="9383">
      <x:c r="A9383" s="85"/>
      <x:c r="B9383" s="86"/>
    </x:row>
    <x:row r="9384">
      <x:c r="A9384" s="85"/>
      <x:c r="B9384" s="86"/>
    </x:row>
    <x:row r="9385">
      <x:c r="A9385" s="85"/>
      <x:c r="B9385" s="86"/>
    </x:row>
    <x:row r="9386">
      <x:c r="A9386" s="85"/>
      <x:c r="B9386" s="86"/>
    </x:row>
    <x:row r="9387">
      <x:c r="A9387" s="85"/>
      <x:c r="B9387" s="86"/>
    </x:row>
    <x:row r="9388">
      <x:c r="A9388" s="85"/>
      <x:c r="B9388" s="86"/>
    </x:row>
    <x:row r="9389">
      <x:c r="A9389" s="85"/>
      <x:c r="B9389" s="86"/>
    </x:row>
    <x:row r="9390">
      <x:c r="A9390" s="85"/>
      <x:c r="B9390" s="86"/>
    </x:row>
    <x:row r="9391">
      <x:c r="A9391" s="85"/>
      <x:c r="B9391" s="86"/>
    </x:row>
    <x:row r="9392">
      <x:c r="A9392" s="85"/>
      <x:c r="B9392" s="86"/>
    </x:row>
    <x:row r="9393">
      <x:c r="A9393" s="85"/>
      <x:c r="B9393" s="86"/>
    </x:row>
    <x:row r="9394">
      <x:c r="A9394" s="85"/>
      <x:c r="B9394" s="86"/>
    </x:row>
    <x:row r="9395">
      <x:c r="A9395" s="85"/>
      <x:c r="B9395" s="86"/>
    </x:row>
    <x:row r="9396">
      <x:c r="A9396" s="85"/>
      <x:c r="B9396" s="86"/>
    </x:row>
    <x:row r="9397">
      <x:c r="A9397" s="85"/>
      <x:c r="B9397" s="86"/>
    </x:row>
    <x:row r="9398">
      <x:c r="A9398" s="85"/>
      <x:c r="B9398" s="86"/>
    </x:row>
    <x:row r="9399">
      <x:c r="A9399" s="85"/>
      <x:c r="B9399" s="86"/>
    </x:row>
    <x:row r="9400">
      <x:c r="A9400" s="85"/>
      <x:c r="B9400" s="86"/>
    </x:row>
    <x:row r="9401">
      <x:c r="A9401" s="85"/>
      <x:c r="B9401" s="86"/>
    </x:row>
    <x:row r="9402">
      <x:c r="A9402" s="85"/>
      <x:c r="B9402" s="86"/>
    </x:row>
    <x:row r="9403">
      <x:c r="A9403" s="85"/>
      <x:c r="B9403" s="86"/>
    </x:row>
    <x:row r="9404">
      <x:c r="A9404" s="85"/>
      <x:c r="B9404" s="86"/>
    </x:row>
    <x:row r="9405">
      <x:c r="A9405" s="85"/>
      <x:c r="B9405" s="86"/>
    </x:row>
    <x:row r="9406">
      <x:c r="A9406" s="85"/>
      <x:c r="B9406" s="86"/>
    </x:row>
    <x:row r="9407">
      <x:c r="A9407" s="85"/>
      <x:c r="B9407" s="86"/>
    </x:row>
    <x:row r="9408">
      <x:c r="A9408" s="85"/>
      <x:c r="B9408" s="86"/>
    </x:row>
    <x:row r="9409">
      <x:c r="A9409" s="85"/>
      <x:c r="B9409" s="86"/>
    </x:row>
    <x:row r="9410">
      <x:c r="A9410" s="85"/>
      <x:c r="B9410" s="86"/>
    </x:row>
    <x:row r="9411">
      <x:c r="A9411" s="85"/>
      <x:c r="B9411" s="86"/>
    </x:row>
    <x:row r="9412">
      <x:c r="A9412" s="85"/>
      <x:c r="B9412" s="86"/>
    </x:row>
    <x:row r="9413">
      <x:c r="A9413" s="85"/>
      <x:c r="B9413" s="86"/>
    </x:row>
    <x:row r="9414">
      <x:c r="A9414" s="85"/>
      <x:c r="B9414" s="86"/>
    </x:row>
    <x:row r="9415">
      <x:c r="A9415" s="85"/>
      <x:c r="B9415" s="86"/>
    </x:row>
    <x:row r="9416">
      <x:c r="A9416" s="85"/>
      <x:c r="B9416" s="86"/>
    </x:row>
    <x:row r="9417">
      <x:c r="A9417" s="85"/>
      <x:c r="B9417" s="86"/>
    </x:row>
    <x:row r="9418">
      <x:c r="A9418" s="85"/>
      <x:c r="B9418" s="86"/>
    </x:row>
    <x:row r="9419">
      <x:c r="A9419" s="85"/>
      <x:c r="B9419" s="86"/>
    </x:row>
    <x:row r="9420">
      <x:c r="A9420" s="85"/>
      <x:c r="B9420" s="86"/>
    </x:row>
    <x:row r="9421">
      <x:c r="A9421" s="85"/>
      <x:c r="B9421" s="86"/>
    </x:row>
    <x:row r="9422">
      <x:c r="A9422" s="85"/>
      <x:c r="B9422" s="86"/>
    </x:row>
    <x:row r="9423">
      <x:c r="A9423" s="85"/>
      <x:c r="B9423" s="86"/>
    </x:row>
    <x:row r="9424">
      <x:c r="A9424" s="85"/>
      <x:c r="B9424" s="86"/>
    </x:row>
    <x:row r="9425">
      <x:c r="A9425" s="85"/>
      <x:c r="B9425" s="86"/>
    </x:row>
    <x:row r="9426">
      <x:c r="A9426" s="85"/>
      <x:c r="B9426" s="86"/>
    </x:row>
    <x:row r="9427">
      <x:c r="A9427" s="85"/>
      <x:c r="B9427" s="86"/>
    </x:row>
    <x:row r="9428">
      <x:c r="A9428" s="85"/>
      <x:c r="B9428" s="86"/>
    </x:row>
    <x:row r="9429">
      <x:c r="A9429" s="85"/>
      <x:c r="B9429" s="86"/>
    </x:row>
    <x:row r="9430">
      <x:c r="A9430" s="85"/>
      <x:c r="B9430" s="86"/>
    </x:row>
    <x:row r="9431">
      <x:c r="A9431" s="85"/>
      <x:c r="B9431" s="86"/>
    </x:row>
    <x:row r="9432">
      <x:c r="A9432" s="85"/>
      <x:c r="B9432" s="86"/>
    </x:row>
    <x:row r="9433">
      <x:c r="A9433" s="85"/>
      <x:c r="B9433" s="86"/>
    </x:row>
    <x:row r="9434">
      <x:c r="A9434" s="85"/>
      <x:c r="B9434" s="86"/>
    </x:row>
    <x:row r="9435">
      <x:c r="A9435" s="85"/>
      <x:c r="B9435" s="86"/>
    </x:row>
    <x:row r="9436">
      <x:c r="A9436" s="85"/>
      <x:c r="B9436" s="86"/>
    </x:row>
    <x:row r="9437">
      <x:c r="A9437" s="85"/>
      <x:c r="B9437" s="86"/>
    </x:row>
    <x:row r="9438">
      <x:c r="A9438" s="85"/>
      <x:c r="B9438" s="86"/>
    </x:row>
    <x:row r="9439">
      <x:c r="A9439" s="85"/>
      <x:c r="B9439" s="86"/>
    </x:row>
    <x:row r="9440">
      <x:c r="A9440" s="85"/>
      <x:c r="B9440" s="86"/>
    </x:row>
    <x:row r="9441">
      <x:c r="A9441" s="85"/>
      <x:c r="B9441" s="86"/>
    </x:row>
    <x:row r="9442">
      <x:c r="A9442" s="85"/>
      <x:c r="B9442" s="86"/>
    </x:row>
    <x:row r="9443">
      <x:c r="A9443" s="85"/>
      <x:c r="B9443" s="86"/>
    </x:row>
    <x:row r="9444">
      <x:c r="A9444" s="85"/>
      <x:c r="B9444" s="86"/>
    </x:row>
    <x:row r="9445">
      <x:c r="A9445" s="85"/>
      <x:c r="B9445" s="86"/>
    </x:row>
    <x:row r="9446">
      <x:c r="A9446" s="85"/>
      <x:c r="B9446" s="86"/>
    </x:row>
    <x:row r="9447">
      <x:c r="A9447" s="85"/>
      <x:c r="B9447" s="86"/>
    </x:row>
    <x:row r="9448">
      <x:c r="A9448" s="85"/>
      <x:c r="B9448" s="86"/>
    </x:row>
    <x:row r="9449">
      <x:c r="A9449" s="85"/>
      <x:c r="B9449" s="86"/>
    </x:row>
    <x:row r="9450">
      <x:c r="A9450" s="85"/>
      <x:c r="B9450" s="86"/>
    </x:row>
    <x:row r="9451">
      <x:c r="A9451" s="85"/>
      <x:c r="B9451" s="86"/>
    </x:row>
    <x:row r="9452">
      <x:c r="A9452" s="85"/>
      <x:c r="B9452" s="86"/>
    </x:row>
    <x:row r="9453">
      <x:c r="A9453" s="85"/>
      <x:c r="B9453" s="86"/>
    </x:row>
    <x:row r="9454">
      <x:c r="A9454" s="85"/>
      <x:c r="B9454" s="86"/>
    </x:row>
    <x:row r="9455">
      <x:c r="A9455" s="85"/>
      <x:c r="B9455" s="86"/>
    </x:row>
    <x:row r="9456">
      <x:c r="A9456" s="85"/>
      <x:c r="B9456" s="86"/>
    </x:row>
    <x:row r="9457">
      <x:c r="A9457" s="85"/>
      <x:c r="B9457" s="86"/>
    </x:row>
    <x:row r="9458">
      <x:c r="A9458" s="85"/>
      <x:c r="B9458" s="86"/>
    </x:row>
    <x:row r="9459">
      <x:c r="A9459" s="85"/>
      <x:c r="B9459" s="86"/>
    </x:row>
    <x:row r="9460">
      <x:c r="A9460" s="85"/>
      <x:c r="B9460" s="86"/>
    </x:row>
    <x:row r="9461">
      <x:c r="A9461" s="85"/>
      <x:c r="B9461" s="86"/>
    </x:row>
    <x:row r="9462">
      <x:c r="A9462" s="85"/>
      <x:c r="B9462" s="86"/>
    </x:row>
    <x:row r="9463">
      <x:c r="A9463" s="85"/>
      <x:c r="B9463" s="86"/>
    </x:row>
    <x:row r="9464">
      <x:c r="A9464" s="85"/>
      <x:c r="B9464" s="86"/>
    </x:row>
    <x:row r="9465">
      <x:c r="A9465" s="85"/>
      <x:c r="B9465" s="86"/>
    </x:row>
    <x:row r="9466">
      <x:c r="A9466" s="85"/>
      <x:c r="B9466" s="86"/>
    </x:row>
    <x:row r="9467">
      <x:c r="A9467" s="85"/>
      <x:c r="B9467" s="86"/>
    </x:row>
    <x:row r="9468">
      <x:c r="A9468" s="85"/>
      <x:c r="B9468" s="86"/>
    </x:row>
    <x:row r="9469">
      <x:c r="A9469" s="85"/>
      <x:c r="B9469" s="86"/>
    </x:row>
    <x:row r="9470">
      <x:c r="A9470" s="85"/>
      <x:c r="B9470" s="86"/>
    </x:row>
    <x:row r="9471">
      <x:c r="A9471" s="85"/>
      <x:c r="B9471" s="86"/>
    </x:row>
    <x:row r="9472">
      <x:c r="A9472" s="85"/>
      <x:c r="B9472" s="86"/>
    </x:row>
    <x:row r="9473">
      <x:c r="A9473" s="85"/>
      <x:c r="B9473" s="86"/>
    </x:row>
    <x:row r="9474">
      <x:c r="A9474" s="85"/>
      <x:c r="B9474" s="86"/>
    </x:row>
    <x:row r="9475">
      <x:c r="A9475" s="85"/>
      <x:c r="B9475" s="86"/>
    </x:row>
    <x:row r="9476">
      <x:c r="A9476" s="85"/>
      <x:c r="B9476" s="86"/>
    </x:row>
    <x:row r="9477">
      <x:c r="A9477" s="85"/>
      <x:c r="B9477" s="86"/>
    </x:row>
    <x:row r="9478">
      <x:c r="A9478" s="85"/>
      <x:c r="B9478" s="86"/>
    </x:row>
    <x:row r="9479">
      <x:c r="A9479" s="85"/>
      <x:c r="B9479" s="86"/>
    </x:row>
    <x:row r="9480">
      <x:c r="A9480" s="85"/>
      <x:c r="B9480" s="86"/>
    </x:row>
    <x:row r="9481">
      <x:c r="A9481" s="85"/>
      <x:c r="B9481" s="86"/>
    </x:row>
    <x:row r="9482">
      <x:c r="A9482" s="85"/>
      <x:c r="B9482" s="86"/>
    </x:row>
    <x:row r="9483">
      <x:c r="A9483" s="85"/>
      <x:c r="B9483" s="86"/>
    </x:row>
    <x:row r="9484">
      <x:c r="A9484" s="85"/>
      <x:c r="B9484" s="86"/>
    </x:row>
    <x:row r="9485">
      <x:c r="A9485" s="85"/>
      <x:c r="B9485" s="86"/>
    </x:row>
    <x:row r="9486">
      <x:c r="A9486" s="85"/>
      <x:c r="B9486" s="86"/>
    </x:row>
    <x:row r="9487">
      <x:c r="A9487" s="85"/>
      <x:c r="B9487" s="86"/>
    </x:row>
    <x:row r="9488">
      <x:c r="A9488" s="85"/>
      <x:c r="B9488" s="86"/>
    </x:row>
    <x:row r="9489">
      <x:c r="A9489" s="85"/>
      <x:c r="B9489" s="86"/>
    </x:row>
    <x:row r="9490">
      <x:c r="A9490" s="85"/>
      <x:c r="B9490" s="86"/>
    </x:row>
    <x:row r="9491">
      <x:c r="A9491" s="85"/>
      <x:c r="B9491" s="86"/>
    </x:row>
    <x:row r="9492">
      <x:c r="A9492" s="85"/>
      <x:c r="B9492" s="86"/>
    </x:row>
    <x:row r="9493">
      <x:c r="A9493" s="85"/>
      <x:c r="B9493" s="86"/>
    </x:row>
    <x:row r="9494">
      <x:c r="A9494" s="85"/>
      <x:c r="B9494" s="86"/>
    </x:row>
    <x:row r="9495">
      <x:c r="A9495" s="85"/>
      <x:c r="B9495" s="86"/>
    </x:row>
    <x:row r="9496">
      <x:c r="A9496" s="85"/>
      <x:c r="B9496" s="86"/>
    </x:row>
    <x:row r="9497">
      <x:c r="A9497" s="85"/>
      <x:c r="B9497" s="86"/>
    </x:row>
    <x:row r="9498">
      <x:c r="A9498" s="85"/>
      <x:c r="B9498" s="86"/>
    </x:row>
    <x:row r="9499">
      <x:c r="A9499" s="85"/>
      <x:c r="B9499" s="86"/>
    </x:row>
    <x:row r="9500">
      <x:c r="A9500" s="85"/>
      <x:c r="B9500" s="86"/>
    </x:row>
    <x:row r="9501">
      <x:c r="A9501" s="85"/>
      <x:c r="B9501" s="86"/>
    </x:row>
    <x:row r="9502">
      <x:c r="A9502" s="85"/>
      <x:c r="B9502" s="86"/>
    </x:row>
    <x:row r="9503">
      <x:c r="A9503" s="85"/>
      <x:c r="B9503" s="86"/>
    </x:row>
    <x:row r="9504">
      <x:c r="A9504" s="85"/>
      <x:c r="B9504" s="86"/>
    </x:row>
    <x:row r="9505">
      <x:c r="A9505" s="85"/>
      <x:c r="B9505" s="86"/>
    </x:row>
    <x:row r="9506">
      <x:c r="A9506" s="85"/>
      <x:c r="B9506" s="86"/>
    </x:row>
    <x:row r="9507">
      <x:c r="A9507" s="85"/>
      <x:c r="B9507" s="86"/>
    </x:row>
    <x:row r="9508">
      <x:c r="A9508" s="85"/>
      <x:c r="B9508" s="86"/>
    </x:row>
    <x:row r="9509">
      <x:c r="A9509" s="85"/>
      <x:c r="B9509" s="86"/>
    </x:row>
    <x:row r="9510">
      <x:c r="A9510" s="85"/>
      <x:c r="B9510" s="86"/>
    </x:row>
    <x:row r="9511">
      <x:c r="A9511" s="85"/>
      <x:c r="B9511" s="86"/>
    </x:row>
    <x:row r="9512">
      <x:c r="A9512" s="85"/>
      <x:c r="B9512" s="86"/>
    </x:row>
    <x:row r="9513">
      <x:c r="A9513" s="85"/>
      <x:c r="B9513" s="86"/>
    </x:row>
    <x:row r="9514">
      <x:c r="A9514" s="85"/>
      <x:c r="B9514" s="86"/>
    </x:row>
    <x:row r="9515">
      <x:c r="A9515" s="85"/>
      <x:c r="B9515" s="86"/>
    </x:row>
    <x:row r="9516">
      <x:c r="A9516" s="85"/>
      <x:c r="B9516" s="86"/>
    </x:row>
    <x:row r="9517">
      <x:c r="A9517" s="85"/>
      <x:c r="B9517" s="86"/>
    </x:row>
    <x:row r="9518">
      <x:c r="A9518" s="85"/>
      <x:c r="B9518" s="86"/>
    </x:row>
    <x:row r="9519">
      <x:c r="A9519" s="85"/>
      <x:c r="B9519" s="86"/>
    </x:row>
    <x:row r="9520">
      <x:c r="A9520" s="85"/>
      <x:c r="B9520" s="86"/>
    </x:row>
    <x:row r="9521">
      <x:c r="A9521" s="85"/>
      <x:c r="B9521" s="86"/>
    </x:row>
    <x:row r="9522">
      <x:c r="A9522" s="85"/>
      <x:c r="B9522" s="86"/>
    </x:row>
    <x:row r="9523">
      <x:c r="A9523" s="85"/>
      <x:c r="B9523" s="86"/>
    </x:row>
    <x:row r="9524">
      <x:c r="A9524" s="85"/>
      <x:c r="B9524" s="86"/>
    </x:row>
    <x:row r="9525">
      <x:c r="A9525" s="85"/>
      <x:c r="B9525" s="86"/>
    </x:row>
    <x:row r="9526">
      <x:c r="A9526" s="85"/>
      <x:c r="B9526" s="86"/>
    </x:row>
    <x:row r="9527">
      <x:c r="A9527" s="85"/>
      <x:c r="B9527" s="86"/>
    </x:row>
    <x:row r="9528">
      <x:c r="A9528" s="85"/>
      <x:c r="B9528" s="86"/>
    </x:row>
    <x:row r="9529">
      <x:c r="A9529" s="85"/>
      <x:c r="B9529" s="86"/>
    </x:row>
    <x:row r="9530">
      <x:c r="A9530" s="85"/>
      <x:c r="B9530" s="86"/>
    </x:row>
    <x:row r="9531">
      <x:c r="A9531" s="85"/>
      <x:c r="B9531" s="86"/>
    </x:row>
    <x:row r="9532">
      <x:c r="A9532" s="85"/>
      <x:c r="B9532" s="86"/>
    </x:row>
    <x:row r="9533">
      <x:c r="A9533" s="85"/>
      <x:c r="B9533" s="86"/>
    </x:row>
    <x:row r="9534">
      <x:c r="A9534" s="85"/>
      <x:c r="B9534" s="86"/>
    </x:row>
    <x:row r="9535">
      <x:c r="A9535" s="85"/>
      <x:c r="B9535" s="86"/>
    </x:row>
    <x:row r="9536">
      <x:c r="A9536" s="85"/>
      <x:c r="B9536" s="86"/>
    </x:row>
    <x:row r="9537">
      <x:c r="A9537" s="85"/>
      <x:c r="B9537" s="86"/>
    </x:row>
    <x:row r="9538">
      <x:c r="A9538" s="85"/>
      <x:c r="B9538" s="86"/>
    </x:row>
    <x:row r="9539">
      <x:c r="A9539" s="85"/>
      <x:c r="B9539" s="86"/>
    </x:row>
    <x:row r="9540">
      <x:c r="A9540" s="85"/>
      <x:c r="B9540" s="86"/>
    </x:row>
    <x:row r="9541">
      <x:c r="A9541" s="85"/>
      <x:c r="B9541" s="86"/>
    </x:row>
    <x:row r="9542">
      <x:c r="A9542" s="85"/>
      <x:c r="B9542" s="86"/>
    </x:row>
    <x:row r="9543">
      <x:c r="A9543" s="85"/>
      <x:c r="B9543" s="86"/>
    </x:row>
    <x:row r="9544">
      <x:c r="A9544" s="85"/>
      <x:c r="B9544" s="86"/>
    </x:row>
    <x:row r="9545">
      <x:c r="A9545" s="85"/>
      <x:c r="B9545" s="86"/>
    </x:row>
    <x:row r="9546">
      <x:c r="A9546" s="85"/>
      <x:c r="B9546" s="86"/>
    </x:row>
    <x:row r="9547">
      <x:c r="A9547" s="85"/>
      <x:c r="B9547" s="86"/>
    </x:row>
    <x:row r="9548">
      <x:c r="A9548" s="85"/>
      <x:c r="B9548" s="86"/>
    </x:row>
    <x:row r="9549">
      <x:c r="A9549" s="85"/>
      <x:c r="B9549" s="86"/>
    </x:row>
    <x:row r="9550">
      <x:c r="A9550" s="85"/>
      <x:c r="B9550" s="86"/>
    </x:row>
    <x:row r="9551">
      <x:c r="A9551" s="85"/>
      <x:c r="B9551" s="86"/>
    </x:row>
    <x:row r="9552">
      <x:c r="A9552" s="85"/>
      <x:c r="B9552" s="86"/>
    </x:row>
    <x:row r="9553">
      <x:c r="A9553" s="85"/>
      <x:c r="B9553" s="86"/>
    </x:row>
    <x:row r="9554">
      <x:c r="A9554" s="85"/>
      <x:c r="B9554" s="86"/>
    </x:row>
    <x:row r="9555">
      <x:c r="A9555" s="85"/>
      <x:c r="B9555" s="86"/>
    </x:row>
    <x:row r="9556">
      <x:c r="A9556" s="85"/>
      <x:c r="B9556" s="86"/>
    </x:row>
    <x:row r="9557">
      <x:c r="A9557" s="85"/>
      <x:c r="B9557" s="86"/>
    </x:row>
    <x:row r="9558">
      <x:c r="A9558" s="85"/>
      <x:c r="B9558" s="86"/>
    </x:row>
    <x:row r="9559">
      <x:c r="A9559" s="85"/>
      <x:c r="B9559" s="86"/>
    </x:row>
    <x:row r="9560">
      <x:c r="A9560" s="85"/>
      <x:c r="B9560" s="86"/>
    </x:row>
    <x:row r="9561">
      <x:c r="A9561" s="85"/>
      <x:c r="B9561" s="86"/>
    </x:row>
    <x:row r="9562">
      <x:c r="A9562" s="85"/>
      <x:c r="B9562" s="86"/>
    </x:row>
    <x:row r="9563">
      <x:c r="A9563" s="85"/>
      <x:c r="B9563" s="86"/>
    </x:row>
    <x:row r="9564">
      <x:c r="A9564" s="85"/>
      <x:c r="B9564" s="86"/>
    </x:row>
    <x:row r="9565">
      <x:c r="A9565" s="85"/>
      <x:c r="B9565" s="86"/>
    </x:row>
    <x:row r="9566">
      <x:c r="A9566" s="85"/>
      <x:c r="B9566" s="86"/>
    </x:row>
    <x:row r="9567">
      <x:c r="A9567" s="85"/>
      <x:c r="B9567" s="86"/>
    </x:row>
    <x:row r="9568">
      <x:c r="A9568" s="85"/>
      <x:c r="B9568" s="86"/>
    </x:row>
    <x:row r="9569">
      <x:c r="A9569" s="85"/>
      <x:c r="B9569" s="86"/>
    </x:row>
    <x:row r="9570">
      <x:c r="A9570" s="85"/>
      <x:c r="B9570" s="86"/>
    </x:row>
    <x:row r="9571">
      <x:c r="A9571" s="85"/>
      <x:c r="B9571" s="86"/>
    </x:row>
    <x:row r="9572">
      <x:c r="A9572" s="85"/>
      <x:c r="B9572" s="86"/>
    </x:row>
    <x:row r="9573">
      <x:c r="A9573" s="85"/>
      <x:c r="B9573" s="86"/>
    </x:row>
    <x:row r="9574">
      <x:c r="A9574" s="85"/>
      <x:c r="B9574" s="86"/>
    </x:row>
    <x:row r="9575">
      <x:c r="A9575" s="85"/>
      <x:c r="B9575" s="86"/>
    </x:row>
    <x:row r="9576">
      <x:c r="A9576" s="85"/>
      <x:c r="B9576" s="86"/>
    </x:row>
    <x:row r="9577">
      <x:c r="A9577" s="85"/>
      <x:c r="B9577" s="86"/>
    </x:row>
    <x:row r="9578">
      <x:c r="A9578" s="85"/>
      <x:c r="B9578" s="86"/>
    </x:row>
    <x:row r="9579">
      <x:c r="A9579" s="85"/>
      <x:c r="B9579" s="86"/>
    </x:row>
    <x:row r="9580">
      <x:c r="A9580" s="85"/>
      <x:c r="B9580" s="86"/>
    </x:row>
    <x:row r="9581">
      <x:c r="A9581" s="85"/>
      <x:c r="B9581" s="86"/>
    </x:row>
    <x:row r="9582">
      <x:c r="A9582" s="85"/>
      <x:c r="B9582" s="86"/>
    </x:row>
    <x:row r="9583">
      <x:c r="A9583" s="85"/>
      <x:c r="B9583" s="86"/>
    </x:row>
    <x:row r="9584">
      <x:c r="A9584" s="85"/>
      <x:c r="B9584" s="86"/>
    </x:row>
    <x:row r="9585">
      <x:c r="A9585" s="85"/>
      <x:c r="B9585" s="86"/>
    </x:row>
    <x:row r="9586">
      <x:c r="A9586" s="85"/>
      <x:c r="B9586" s="86"/>
    </x:row>
    <x:row r="9587">
      <x:c r="A9587" s="85"/>
      <x:c r="B9587" s="86"/>
    </x:row>
    <x:row r="9588">
      <x:c r="A9588" s="85"/>
      <x:c r="B9588" s="86"/>
    </x:row>
    <x:row r="9589">
      <x:c r="A9589" s="85"/>
      <x:c r="B9589" s="86"/>
    </x:row>
    <x:row r="9590">
      <x:c r="A9590" s="85"/>
      <x:c r="B9590" s="86"/>
    </x:row>
    <x:row r="9591">
      <x:c r="A9591" s="85"/>
      <x:c r="B9591" s="86"/>
    </x:row>
    <x:row r="9592">
      <x:c r="A9592" s="85"/>
      <x:c r="B9592" s="86"/>
    </x:row>
    <x:row r="9593">
      <x:c r="A9593" s="85"/>
      <x:c r="B9593" s="86"/>
    </x:row>
    <x:row r="9594">
      <x:c r="A9594" s="85"/>
      <x:c r="B9594" s="86"/>
    </x:row>
    <x:row r="9595">
      <x:c r="A9595" s="85"/>
      <x:c r="B9595" s="86"/>
    </x:row>
    <x:row r="9596">
      <x:c r="A9596" s="85"/>
      <x:c r="B9596" s="86"/>
    </x:row>
    <x:row r="9597">
      <x:c r="A9597" s="85"/>
      <x:c r="B9597" s="86"/>
    </x:row>
    <x:row r="9598">
      <x:c r="A9598" s="85"/>
      <x:c r="B9598" s="86"/>
    </x:row>
    <x:row r="9599">
      <x:c r="A9599" s="85"/>
      <x:c r="B9599" s="86"/>
    </x:row>
    <x:row r="9600">
      <x:c r="A9600" s="85"/>
      <x:c r="B9600" s="86"/>
    </x:row>
    <x:row r="9601">
      <x:c r="A9601" s="85"/>
      <x:c r="B9601" s="86"/>
    </x:row>
    <x:row r="9602">
      <x:c r="A9602" s="85"/>
      <x:c r="B9602" s="86"/>
    </x:row>
    <x:row r="9603">
      <x:c r="A9603" s="85"/>
      <x:c r="B9603" s="86"/>
    </x:row>
    <x:row r="9604">
      <x:c r="A9604" s="85"/>
      <x:c r="B9604" s="86"/>
    </x:row>
    <x:row r="9605">
      <x:c r="A9605" s="85"/>
      <x:c r="B9605" s="86"/>
    </x:row>
    <x:row r="9606">
      <x:c r="A9606" s="85"/>
      <x:c r="B9606" s="86"/>
    </x:row>
    <x:row r="9607">
      <x:c r="A9607" s="85"/>
      <x:c r="B9607" s="86"/>
    </x:row>
    <x:row r="9608">
      <x:c r="A9608" s="85"/>
      <x:c r="B9608" s="86"/>
    </x:row>
    <x:row r="9609">
      <x:c r="A9609" s="85"/>
      <x:c r="B9609" s="86"/>
    </x:row>
    <x:row r="9610">
      <x:c r="A9610" s="85"/>
      <x:c r="B9610" s="86"/>
    </x:row>
    <x:row r="9611">
      <x:c r="A9611" s="85"/>
      <x:c r="B9611" s="86"/>
    </x:row>
    <x:row r="9612">
      <x:c r="A9612" s="85"/>
      <x:c r="B9612" s="86"/>
    </x:row>
    <x:row r="9613">
      <x:c r="A9613" s="85"/>
      <x:c r="B9613" s="86"/>
    </x:row>
    <x:row r="9614">
      <x:c r="A9614" s="85"/>
      <x:c r="B9614" s="86"/>
    </x:row>
    <x:row r="9615">
      <x:c r="A9615" s="85"/>
      <x:c r="B9615" s="86"/>
    </x:row>
    <x:row r="9616">
      <x:c r="A9616" s="85"/>
      <x:c r="B9616" s="86"/>
    </x:row>
    <x:row r="9617">
      <x:c r="A9617" s="85"/>
      <x:c r="B9617" s="86"/>
    </x:row>
    <x:row r="9618">
      <x:c r="A9618" s="85"/>
      <x:c r="B9618" s="86"/>
    </x:row>
    <x:row r="9619">
      <x:c r="A9619" s="85"/>
      <x:c r="B9619" s="86"/>
    </x:row>
    <x:row r="9620">
      <x:c r="A9620" s="85"/>
      <x:c r="B9620" s="86"/>
    </x:row>
    <x:row r="9621">
      <x:c r="A9621" s="85"/>
      <x:c r="B9621" s="86"/>
    </x:row>
    <x:row r="9622">
      <x:c r="A9622" s="85"/>
      <x:c r="B9622" s="86"/>
    </x:row>
    <x:row r="9623">
      <x:c r="A9623" s="85"/>
      <x:c r="B9623" s="86"/>
    </x:row>
    <x:row r="9624">
      <x:c r="A9624" s="85"/>
      <x:c r="B9624" s="86"/>
    </x:row>
    <x:row r="9625">
      <x:c r="A9625" s="85"/>
      <x:c r="B9625" s="86"/>
    </x:row>
    <x:row r="9626">
      <x:c r="A9626" s="85"/>
      <x:c r="B9626" s="86"/>
    </x:row>
    <x:row r="9627">
      <x:c r="A9627" s="85"/>
      <x:c r="B9627" s="86"/>
    </x:row>
    <x:row r="9628">
      <x:c r="A9628" s="85"/>
      <x:c r="B9628" s="86"/>
    </x:row>
    <x:row r="9629">
      <x:c r="A9629" s="85"/>
      <x:c r="B9629" s="86"/>
    </x:row>
    <x:row r="9630">
      <x:c r="A9630" s="85"/>
      <x:c r="B9630" s="86"/>
    </x:row>
    <x:row r="9631">
      <x:c r="A9631" s="85"/>
      <x:c r="B9631" s="86"/>
    </x:row>
    <x:row r="9632">
      <x:c r="A9632" s="85"/>
      <x:c r="B9632" s="86"/>
    </x:row>
    <x:row r="9633">
      <x:c r="A9633" s="85"/>
      <x:c r="B9633" s="86"/>
    </x:row>
    <x:row r="9634">
      <x:c r="A9634" s="85"/>
      <x:c r="B9634" s="86"/>
    </x:row>
    <x:row r="9635">
      <x:c r="A9635" s="85"/>
      <x:c r="B9635" s="86"/>
    </x:row>
    <x:row r="9636">
      <x:c r="A9636" s="85"/>
      <x:c r="B9636" s="86"/>
    </x:row>
    <x:row r="9637">
      <x:c r="A9637" s="85"/>
      <x:c r="B9637" s="86"/>
    </x:row>
    <x:row r="9638">
      <x:c r="A9638" s="85"/>
      <x:c r="B9638" s="86"/>
    </x:row>
    <x:row r="9639">
      <x:c r="A9639" s="85"/>
      <x:c r="B9639" s="86"/>
    </x:row>
    <x:row r="9640">
      <x:c r="A9640" s="85"/>
      <x:c r="B9640" s="86"/>
    </x:row>
    <x:row r="9641">
      <x:c r="A9641" s="85"/>
      <x:c r="B9641" s="86"/>
    </x:row>
    <x:row r="9642">
      <x:c r="A9642" s="85"/>
      <x:c r="B9642" s="86"/>
    </x:row>
    <x:row r="9643">
      <x:c r="A9643" s="85"/>
      <x:c r="B9643" s="86"/>
    </x:row>
    <x:row r="9644">
      <x:c r="A9644" s="85"/>
      <x:c r="B9644" s="86"/>
    </x:row>
    <x:row r="9645">
      <x:c r="A9645" s="85"/>
      <x:c r="B9645" s="86"/>
    </x:row>
    <x:row r="9646">
      <x:c r="A9646" s="85"/>
      <x:c r="B9646" s="86"/>
    </x:row>
    <x:row r="9647">
      <x:c r="A9647" s="85"/>
      <x:c r="B9647" s="86"/>
    </x:row>
    <x:row r="9648">
      <x:c r="A9648" s="85"/>
      <x:c r="B9648" s="86"/>
    </x:row>
    <x:row r="9649">
      <x:c r="A9649" s="85"/>
      <x:c r="B9649" s="86"/>
    </x:row>
    <x:row r="9650">
      <x:c r="A9650" s="85"/>
      <x:c r="B9650" s="86"/>
    </x:row>
    <x:row r="9651">
      <x:c r="A9651" s="85"/>
      <x:c r="B9651" s="86"/>
    </x:row>
    <x:row r="9652">
      <x:c r="A9652" s="85"/>
      <x:c r="B9652" s="86"/>
    </x:row>
    <x:row r="9653">
      <x:c r="A9653" s="85"/>
      <x:c r="B9653" s="86"/>
    </x:row>
    <x:row r="9654">
      <x:c r="A9654" s="85"/>
      <x:c r="B9654" s="86"/>
    </x:row>
    <x:row r="9655">
      <x:c r="A9655" s="85"/>
      <x:c r="B9655" s="86"/>
    </x:row>
    <x:row r="9656">
      <x:c r="A9656" s="85"/>
      <x:c r="B9656" s="86"/>
    </x:row>
    <x:row r="9657">
      <x:c r="A9657" s="85"/>
      <x:c r="B9657" s="86"/>
    </x:row>
    <x:row r="9658">
      <x:c r="A9658" s="85"/>
      <x:c r="B9658" s="86"/>
    </x:row>
    <x:row r="9659">
      <x:c r="A9659" s="85"/>
      <x:c r="B9659" s="86"/>
    </x:row>
    <x:row r="9660">
      <x:c r="A9660" s="85"/>
      <x:c r="B9660" s="86"/>
    </x:row>
    <x:row r="9661">
      <x:c r="A9661" s="85"/>
      <x:c r="B9661" s="86"/>
    </x:row>
    <x:row r="9662">
      <x:c r="A9662" s="85"/>
      <x:c r="B9662" s="86"/>
    </x:row>
    <x:row r="9663">
      <x:c r="A9663" s="85"/>
      <x:c r="B9663" s="86"/>
    </x:row>
    <x:row r="9664">
      <x:c r="A9664" s="85"/>
      <x:c r="B9664" s="86"/>
    </x:row>
    <x:row r="9665">
      <x:c r="A9665" s="85"/>
      <x:c r="B9665" s="86"/>
    </x:row>
    <x:row r="9666">
      <x:c r="A9666" s="85"/>
      <x:c r="B9666" s="86"/>
    </x:row>
    <x:row r="9667">
      <x:c r="A9667" s="85"/>
      <x:c r="B9667" s="86"/>
    </x:row>
    <x:row r="9668">
      <x:c r="A9668" s="85"/>
      <x:c r="B9668" s="86"/>
    </x:row>
    <x:row r="9669">
      <x:c r="A9669" s="85"/>
      <x:c r="B9669" s="86"/>
    </x:row>
    <x:row r="9670">
      <x:c r="A9670" s="85"/>
      <x:c r="B9670" s="86"/>
    </x:row>
    <x:row r="9671">
      <x:c r="A9671" s="85"/>
      <x:c r="B9671" s="86"/>
    </x:row>
    <x:row r="9672">
      <x:c r="A9672" s="85"/>
      <x:c r="B9672" s="86"/>
    </x:row>
    <x:row r="9673">
      <x:c r="A9673" s="85"/>
      <x:c r="B9673" s="86"/>
    </x:row>
    <x:row r="9674">
      <x:c r="A9674" s="85"/>
      <x:c r="B9674" s="86"/>
    </x:row>
    <x:row r="9675">
      <x:c r="A9675" s="85"/>
      <x:c r="B9675" s="86"/>
    </x:row>
    <x:row r="9676">
      <x:c r="A9676" s="85"/>
      <x:c r="B9676" s="86"/>
    </x:row>
    <x:row r="9677">
      <x:c r="A9677" s="85"/>
      <x:c r="B9677" s="86"/>
    </x:row>
    <x:row r="9678">
      <x:c r="A9678" s="85"/>
      <x:c r="B9678" s="86"/>
    </x:row>
    <x:row r="9679">
      <x:c r="A9679" s="85"/>
      <x:c r="B9679" s="86"/>
    </x:row>
    <x:row r="9680">
      <x:c r="A9680" s="85"/>
      <x:c r="B9680" s="86"/>
    </x:row>
    <x:row r="9681">
      <x:c r="A9681" s="85"/>
      <x:c r="B9681" s="86"/>
    </x:row>
    <x:row r="9682">
      <x:c r="A9682" s="85"/>
      <x:c r="B9682" s="86"/>
    </x:row>
    <x:row r="9683">
      <x:c r="A9683" s="85"/>
      <x:c r="B9683" s="86"/>
    </x:row>
    <x:row r="9684">
      <x:c r="A9684" s="85"/>
      <x:c r="B9684" s="86"/>
    </x:row>
    <x:row r="9685">
      <x:c r="A9685" s="85"/>
      <x:c r="B9685" s="86"/>
    </x:row>
    <x:row r="9686">
      <x:c r="A9686" s="85"/>
      <x:c r="B9686" s="86"/>
    </x:row>
    <x:row r="9687">
      <x:c r="A9687" s="85"/>
      <x:c r="B9687" s="86"/>
    </x:row>
    <x:row r="9688">
      <x:c r="A9688" s="85"/>
      <x:c r="B9688" s="86"/>
    </x:row>
    <x:row r="9689">
      <x:c r="A9689" s="85"/>
      <x:c r="B9689" s="86"/>
    </x:row>
    <x:row r="9690">
      <x:c r="A9690" s="85"/>
      <x:c r="B9690" s="86"/>
    </x:row>
    <x:row r="9691">
      <x:c r="A9691" s="85"/>
      <x:c r="B9691" s="86"/>
    </x:row>
    <x:row r="9692">
      <x:c r="A9692" s="85"/>
      <x:c r="B9692" s="86"/>
    </x:row>
    <x:row r="9693">
      <x:c r="A9693" s="85"/>
      <x:c r="B9693" s="86"/>
    </x:row>
    <x:row r="9694">
      <x:c r="A9694" s="85"/>
      <x:c r="B9694" s="86"/>
    </x:row>
    <x:row r="9695">
      <x:c r="A9695" s="85"/>
      <x:c r="B9695" s="86"/>
    </x:row>
    <x:row r="9696">
      <x:c r="A9696" s="85"/>
      <x:c r="B9696" s="86"/>
    </x:row>
    <x:row r="9697">
      <x:c r="A9697" s="85"/>
      <x:c r="B9697" s="86"/>
    </x:row>
    <x:row r="9698">
      <x:c r="A9698" s="85"/>
      <x:c r="B9698" s="86"/>
    </x:row>
    <x:row r="9699">
      <x:c r="A9699" s="85"/>
      <x:c r="B9699" s="86"/>
    </x:row>
    <x:row r="9700">
      <x:c r="A9700" s="85"/>
      <x:c r="B9700" s="86"/>
    </x:row>
    <x:row r="9701">
      <x:c r="A9701" s="85"/>
      <x:c r="B9701" s="86"/>
    </x:row>
    <x:row r="9702">
      <x:c r="A9702" s="85"/>
      <x:c r="B9702" s="86"/>
    </x:row>
    <x:row r="9703">
      <x:c r="A9703" s="85"/>
      <x:c r="B9703" s="86"/>
    </x:row>
    <x:row r="9704">
      <x:c r="A9704" s="85"/>
      <x:c r="B9704" s="86"/>
    </x:row>
    <x:row r="9705">
      <x:c r="A9705" s="85"/>
      <x:c r="B9705" s="86"/>
    </x:row>
    <x:row r="9706">
      <x:c r="A9706" s="85"/>
      <x:c r="B9706" s="86"/>
    </x:row>
    <x:row r="9707">
      <x:c r="A9707" s="85"/>
      <x:c r="B9707" s="86"/>
    </x:row>
    <x:row r="9708">
      <x:c r="A9708" s="85"/>
      <x:c r="B9708" s="86"/>
    </x:row>
    <x:row r="9709">
      <x:c r="A9709" s="85"/>
      <x:c r="B9709" s="86"/>
    </x:row>
    <x:row r="9710">
      <x:c r="A9710" s="85"/>
      <x:c r="B9710" s="86"/>
    </x:row>
    <x:row r="9711">
      <x:c r="A9711" s="85"/>
      <x:c r="B9711" s="86"/>
    </x:row>
    <x:row r="9712">
      <x:c r="A9712" s="85"/>
      <x:c r="B9712" s="86"/>
    </x:row>
    <x:row r="9713">
      <x:c r="A9713" s="85"/>
      <x:c r="B9713" s="86"/>
    </x:row>
    <x:row r="9714">
      <x:c r="A9714" s="85"/>
      <x:c r="B9714" s="86"/>
    </x:row>
    <x:row r="9715">
      <x:c r="A9715" s="85"/>
      <x:c r="B9715" s="86"/>
    </x:row>
    <x:row r="9716">
      <x:c r="A9716" s="85"/>
      <x:c r="B9716" s="86"/>
    </x:row>
    <x:row r="9717">
      <x:c r="A9717" s="85"/>
      <x:c r="B9717" s="86"/>
    </x:row>
    <x:row r="9718">
      <x:c r="A9718" s="85"/>
      <x:c r="B9718" s="86"/>
    </x:row>
    <x:row r="9719">
      <x:c r="A9719" s="85"/>
      <x:c r="B9719" s="86"/>
    </x:row>
    <x:row r="9720">
      <x:c r="A9720" s="85"/>
      <x:c r="B9720" s="86"/>
    </x:row>
    <x:row r="9721">
      <x:c r="A9721" s="85"/>
      <x:c r="B9721" s="86"/>
    </x:row>
    <x:row r="9722">
      <x:c r="A9722" s="85"/>
      <x:c r="B9722" s="86"/>
    </x:row>
    <x:row r="9723">
      <x:c r="A9723" s="85"/>
      <x:c r="B9723" s="86"/>
    </x:row>
    <x:row r="9724">
      <x:c r="A9724" s="85"/>
      <x:c r="B9724" s="86"/>
    </x:row>
    <x:row r="9725">
      <x:c r="A9725" s="85"/>
      <x:c r="B9725" s="86"/>
    </x:row>
    <x:row r="9726">
      <x:c r="A9726" s="85"/>
      <x:c r="B9726" s="86"/>
    </x:row>
    <x:row r="9727">
      <x:c r="A9727" s="85"/>
      <x:c r="B9727" s="86"/>
    </x:row>
    <x:row r="9728">
      <x:c r="A9728" s="85"/>
      <x:c r="B9728" s="86"/>
    </x:row>
    <x:row r="9729">
      <x:c r="A9729" s="85"/>
      <x:c r="B9729" s="86"/>
    </x:row>
    <x:row r="9730">
      <x:c r="A9730" s="85"/>
      <x:c r="B9730" s="86"/>
    </x:row>
    <x:row r="9731">
      <x:c r="A9731" s="85"/>
      <x:c r="B9731" s="86"/>
    </x:row>
    <x:row r="9732">
      <x:c r="A9732" s="85"/>
      <x:c r="B9732" s="86"/>
    </x:row>
    <x:row r="9733">
      <x:c r="A9733" s="85"/>
      <x:c r="B9733" s="86"/>
    </x:row>
    <x:row r="9734">
      <x:c r="A9734" s="85"/>
      <x:c r="B9734" s="86"/>
    </x:row>
    <x:row r="9735">
      <x:c r="A9735" s="85"/>
      <x:c r="B9735" s="86"/>
    </x:row>
    <x:row r="9736">
      <x:c r="A9736" s="85"/>
      <x:c r="B9736" s="86"/>
    </x:row>
    <x:row r="9737">
      <x:c r="A9737" s="85"/>
      <x:c r="B9737" s="86"/>
    </x:row>
    <x:row r="9738">
      <x:c r="A9738" s="85"/>
      <x:c r="B9738" s="86"/>
    </x:row>
    <x:row r="9739">
      <x:c r="A9739" s="85"/>
      <x:c r="B9739" s="86"/>
    </x:row>
    <x:row r="9740">
      <x:c r="A9740" s="85"/>
      <x:c r="B9740" s="86"/>
    </x:row>
    <x:row r="9741">
      <x:c r="A9741" s="85"/>
      <x:c r="B9741" s="86"/>
    </x:row>
    <x:row r="9742">
      <x:c r="A9742" s="85"/>
      <x:c r="B9742" s="86"/>
    </x:row>
    <x:row r="9743">
      <x:c r="A9743" s="85"/>
      <x:c r="B9743" s="86"/>
    </x:row>
    <x:row r="9744">
      <x:c r="A9744" s="85"/>
      <x:c r="B9744" s="86"/>
    </x:row>
    <x:row r="9745">
      <x:c r="A9745" s="85"/>
      <x:c r="B9745" s="86"/>
    </x:row>
    <x:row r="9746">
      <x:c r="A9746" s="85"/>
      <x:c r="B9746" s="86"/>
    </x:row>
    <x:row r="9747">
      <x:c r="A9747" s="85"/>
      <x:c r="B9747" s="86"/>
    </x:row>
    <x:row r="9748">
      <x:c r="A9748" s="85"/>
      <x:c r="B9748" s="86"/>
    </x:row>
    <x:row r="9749">
      <x:c r="A9749" s="85"/>
      <x:c r="B9749" s="86"/>
    </x:row>
    <x:row r="9750">
      <x:c r="A9750" s="85"/>
      <x:c r="B9750" s="86"/>
    </x:row>
    <x:row r="9751">
      <x:c r="A9751" s="85"/>
      <x:c r="B9751" s="86"/>
    </x:row>
    <x:row r="9752">
      <x:c r="A9752" s="85"/>
      <x:c r="B9752" s="86"/>
    </x:row>
    <x:row r="9753">
      <x:c r="A9753" s="85"/>
      <x:c r="B9753" s="86"/>
    </x:row>
    <x:row r="9754">
      <x:c r="A9754" s="85"/>
      <x:c r="B9754" s="86"/>
    </x:row>
    <x:row r="9755">
      <x:c r="A9755" s="85"/>
      <x:c r="B9755" s="86"/>
    </x:row>
    <x:row r="9756">
      <x:c r="A9756" s="85"/>
      <x:c r="B9756" s="86"/>
    </x:row>
    <x:row r="9757">
      <x:c r="A9757" s="85"/>
      <x:c r="B9757" s="86"/>
    </x:row>
    <x:row r="9758">
      <x:c r="A9758" s="85"/>
      <x:c r="B9758" s="86"/>
    </x:row>
    <x:row r="9759">
      <x:c r="A9759" s="85"/>
      <x:c r="B9759" s="86"/>
    </x:row>
    <x:row r="9760">
      <x:c r="A9760" s="85"/>
      <x:c r="B9760" s="86"/>
    </x:row>
    <x:row r="9761">
      <x:c r="A9761" s="85"/>
      <x:c r="B9761" s="86"/>
    </x:row>
    <x:row r="9762">
      <x:c r="A9762" s="85"/>
      <x:c r="B9762" s="86"/>
    </x:row>
    <x:row r="9763">
      <x:c r="A9763" s="85"/>
      <x:c r="B9763" s="86"/>
    </x:row>
    <x:row r="9764">
      <x:c r="A9764" s="85"/>
      <x:c r="B9764" s="86"/>
    </x:row>
    <x:row r="9765">
      <x:c r="A9765" s="85"/>
      <x:c r="B9765" s="86"/>
    </x:row>
    <x:row r="9766">
      <x:c r="A9766" s="85"/>
      <x:c r="B9766" s="86"/>
    </x:row>
    <x:row r="9767">
      <x:c r="A9767" s="85"/>
      <x:c r="B9767" s="86"/>
    </x:row>
    <x:row r="9768">
      <x:c r="A9768" s="85"/>
      <x:c r="B9768" s="86"/>
    </x:row>
    <x:row r="9769">
      <x:c r="A9769" s="85"/>
      <x:c r="B9769" s="86"/>
    </x:row>
    <x:row r="9770">
      <x:c r="A9770" s="85"/>
      <x:c r="B9770" s="86"/>
    </x:row>
    <x:row r="9771">
      <x:c r="A9771" s="85"/>
      <x:c r="B9771" s="86"/>
    </x:row>
    <x:row r="9772">
      <x:c r="A9772" s="85"/>
      <x:c r="B9772" s="86"/>
    </x:row>
    <x:row r="9773">
      <x:c r="A9773" s="85"/>
      <x:c r="B9773" s="86"/>
    </x:row>
    <x:row r="9774">
      <x:c r="A9774" s="85"/>
      <x:c r="B9774" s="86"/>
    </x:row>
    <x:row r="9775">
      <x:c r="A9775" s="85"/>
      <x:c r="B9775" s="86"/>
    </x:row>
    <x:row r="9776">
      <x:c r="A9776" s="85"/>
      <x:c r="B9776" s="86"/>
    </x:row>
    <x:row r="9777">
      <x:c r="A9777" s="85"/>
      <x:c r="B9777" s="86"/>
    </x:row>
    <x:row r="9778">
      <x:c r="A9778" s="85"/>
      <x:c r="B9778" s="86"/>
    </x:row>
    <x:row r="9779">
      <x:c r="A9779" s="85"/>
      <x:c r="B9779" s="86"/>
    </x:row>
    <x:row r="9780">
      <x:c r="A9780" s="85"/>
      <x:c r="B9780" s="86"/>
    </x:row>
    <x:row r="9781">
      <x:c r="A9781" s="85"/>
      <x:c r="B9781" s="86"/>
    </x:row>
    <x:row r="9782">
      <x:c r="A9782" s="85"/>
      <x:c r="B9782" s="86"/>
    </x:row>
    <x:row r="9783">
      <x:c r="A9783" s="85"/>
      <x:c r="B9783" s="86"/>
    </x:row>
    <x:row r="9784">
      <x:c r="A9784" s="85"/>
      <x:c r="B9784" s="86"/>
    </x:row>
    <x:row r="9785">
      <x:c r="A9785" s="85"/>
      <x:c r="B9785" s="86"/>
    </x:row>
    <x:row r="9786">
      <x:c r="A9786" s="85"/>
      <x:c r="B9786" s="86"/>
    </x:row>
    <x:row r="9787">
      <x:c r="A9787" s="85"/>
      <x:c r="B9787" s="86"/>
    </x:row>
    <x:row r="9788">
      <x:c r="A9788" s="85"/>
      <x:c r="B9788" s="86"/>
    </x:row>
    <x:row r="9789">
      <x:c r="A9789" s="85"/>
      <x:c r="B9789" s="86"/>
    </x:row>
    <x:row r="9790">
      <x:c r="A9790" s="85"/>
      <x:c r="B9790" s="86"/>
    </x:row>
    <x:row r="9791">
      <x:c r="A9791" s="85"/>
      <x:c r="B9791" s="86"/>
    </x:row>
    <x:row r="9792">
      <x:c r="A9792" s="85"/>
      <x:c r="B9792" s="86"/>
    </x:row>
    <x:row r="9793">
      <x:c r="A9793" s="85"/>
      <x:c r="B9793" s="86"/>
    </x:row>
    <x:row r="9794">
      <x:c r="A9794" s="85"/>
      <x:c r="B9794" s="86"/>
    </x:row>
    <x:row r="9795">
      <x:c r="A9795" s="85"/>
      <x:c r="B9795" s="86"/>
    </x:row>
    <x:row r="9796">
      <x:c r="A9796" s="85"/>
      <x:c r="B9796" s="86"/>
    </x:row>
    <x:row r="9797">
      <x:c r="A9797" s="85"/>
      <x:c r="B9797" s="86"/>
    </x:row>
    <x:row r="9798">
      <x:c r="A9798" s="85"/>
      <x:c r="B9798" s="86"/>
    </x:row>
    <x:row r="9799">
      <x:c r="A9799" s="85"/>
      <x:c r="B9799" s="86"/>
    </x:row>
    <x:row r="9800">
      <x:c r="A9800" s="85"/>
      <x:c r="B9800" s="86"/>
    </x:row>
    <x:row r="9801">
      <x:c r="A9801" s="85"/>
      <x:c r="B9801" s="86"/>
    </x:row>
    <x:row r="9802">
      <x:c r="A9802" s="85"/>
      <x:c r="B9802" s="86"/>
    </x:row>
    <x:row r="9803">
      <x:c r="A9803" s="85"/>
      <x:c r="B9803" s="86"/>
    </x:row>
    <x:row r="9804">
      <x:c r="A9804" s="85"/>
      <x:c r="B9804" s="86"/>
    </x:row>
    <x:row r="9805">
      <x:c r="A9805" s="85"/>
      <x:c r="B9805" s="86"/>
    </x:row>
    <x:row r="9806">
      <x:c r="A9806" s="85"/>
      <x:c r="B9806" s="86"/>
    </x:row>
    <x:row r="9807">
      <x:c r="A9807" s="85"/>
      <x:c r="B9807" s="86"/>
    </x:row>
    <x:row r="9808">
      <x:c r="A9808" s="85"/>
      <x:c r="B9808" s="86"/>
    </x:row>
    <x:row r="9809">
      <x:c r="A9809" s="85"/>
      <x:c r="B9809" s="86"/>
    </x:row>
    <x:row r="9810">
      <x:c r="A9810" s="85"/>
      <x:c r="B9810" s="86"/>
    </x:row>
    <x:row r="9811">
      <x:c r="A9811" s="85"/>
      <x:c r="B9811" s="86"/>
    </x:row>
    <x:row r="9812">
      <x:c r="A9812" s="85"/>
      <x:c r="B9812" s="86"/>
    </x:row>
    <x:row r="9813">
      <x:c r="A9813" s="85"/>
      <x:c r="B9813" s="86"/>
    </x:row>
    <x:row r="9814">
      <x:c r="A9814" s="85"/>
      <x:c r="B9814" s="86"/>
    </x:row>
    <x:row r="9815">
      <x:c r="A9815" s="85"/>
      <x:c r="B9815" s="86"/>
    </x:row>
    <x:row r="9816">
      <x:c r="A9816" s="85"/>
      <x:c r="B9816" s="86"/>
    </x:row>
    <x:row r="9817">
      <x:c r="A9817" s="85"/>
      <x:c r="B9817" s="86"/>
    </x:row>
    <x:row r="9818">
      <x:c r="A9818" s="85"/>
      <x:c r="B9818" s="86"/>
    </x:row>
    <x:row r="9819">
      <x:c r="A9819" s="85"/>
      <x:c r="B9819" s="86"/>
    </x:row>
    <x:row r="9820">
      <x:c r="A9820" s="85"/>
      <x:c r="B9820" s="86"/>
    </x:row>
    <x:row r="9821">
      <x:c r="A9821" s="85"/>
      <x:c r="B9821" s="86"/>
    </x:row>
    <x:row r="9822">
      <x:c r="A9822" s="85"/>
      <x:c r="B9822" s="86"/>
    </x:row>
    <x:row r="9823">
      <x:c r="A9823" s="85"/>
      <x:c r="B9823" s="86"/>
    </x:row>
    <x:row r="9824">
      <x:c r="A9824" s="85"/>
      <x:c r="B9824" s="86"/>
    </x:row>
    <x:row r="9825">
      <x:c r="A9825" s="85"/>
      <x:c r="B9825" s="86"/>
    </x:row>
    <x:row r="9826">
      <x:c r="A9826" s="85"/>
      <x:c r="B9826" s="86"/>
    </x:row>
    <x:row r="9827">
      <x:c r="A9827" s="85"/>
      <x:c r="B9827" s="86"/>
    </x:row>
    <x:row r="9828">
      <x:c r="A9828" s="85"/>
      <x:c r="B9828" s="86"/>
    </x:row>
    <x:row r="9829">
      <x:c r="A9829" s="85"/>
      <x:c r="B9829" s="86"/>
    </x:row>
    <x:row r="9830">
      <x:c r="A9830" s="85"/>
      <x:c r="B9830" s="86"/>
    </x:row>
    <x:row r="9831">
      <x:c r="A9831" s="85"/>
      <x:c r="B9831" s="86"/>
    </x:row>
    <x:row r="9832">
      <x:c r="A9832" s="85"/>
      <x:c r="B9832" s="86"/>
    </x:row>
    <x:row r="9833">
      <x:c r="A9833" s="85"/>
      <x:c r="B9833" s="86"/>
    </x:row>
    <x:row r="9834">
      <x:c r="A9834" s="85"/>
      <x:c r="B9834" s="86"/>
    </x:row>
    <x:row r="9835">
      <x:c r="A9835" s="85"/>
      <x:c r="B9835" s="86"/>
    </x:row>
    <x:row r="9836">
      <x:c r="A9836" s="85"/>
      <x:c r="B9836" s="86"/>
    </x:row>
    <x:row r="9837">
      <x:c r="A9837" s="85"/>
      <x:c r="B9837" s="86"/>
    </x:row>
    <x:row r="9838">
      <x:c r="A9838" s="85"/>
      <x:c r="B9838" s="86"/>
    </x:row>
    <x:row r="9839">
      <x:c r="A9839" s="85"/>
      <x:c r="B9839" s="86"/>
    </x:row>
    <x:row r="9840">
      <x:c r="A9840" s="85"/>
      <x:c r="B9840" s="86"/>
    </x:row>
    <x:row r="9841">
      <x:c r="A9841" s="85"/>
      <x:c r="B9841" s="86"/>
    </x:row>
    <x:row r="9842">
      <x:c r="A9842" s="85"/>
      <x:c r="B9842" s="86"/>
    </x:row>
    <x:row r="9843">
      <x:c r="A9843" s="85"/>
      <x:c r="B9843" s="86"/>
    </x:row>
    <x:row r="9844">
      <x:c r="A9844" s="85"/>
      <x:c r="B9844" s="86"/>
    </x:row>
    <x:row r="9845">
      <x:c r="A9845" s="85"/>
      <x:c r="B9845" s="86"/>
    </x:row>
    <x:row r="9846">
      <x:c r="A9846" s="85"/>
      <x:c r="B9846" s="86"/>
    </x:row>
    <x:row r="9847">
      <x:c r="A9847" s="85"/>
      <x:c r="B9847" s="86"/>
    </x:row>
    <x:row r="9848">
      <x:c r="A9848" s="85"/>
      <x:c r="B9848" s="86"/>
    </x:row>
    <x:row r="9849">
      <x:c r="A9849" s="85"/>
      <x:c r="B9849" s="86"/>
    </x:row>
    <x:row r="9850">
      <x:c r="A9850" s="85"/>
      <x:c r="B9850" s="86"/>
    </x:row>
    <x:row r="9851">
      <x:c r="A9851" s="85"/>
      <x:c r="B9851" s="86"/>
    </x:row>
    <x:row r="9852">
      <x:c r="A9852" s="85"/>
      <x:c r="B9852" s="86"/>
    </x:row>
    <x:row r="9853">
      <x:c r="A9853" s="85"/>
      <x:c r="B9853" s="86"/>
    </x:row>
    <x:row r="9854">
      <x:c r="A9854" s="85"/>
      <x:c r="B9854" s="86"/>
    </x:row>
    <x:row r="9855">
      <x:c r="A9855" s="85"/>
      <x:c r="B9855" s="86"/>
    </x:row>
    <x:row r="9856">
      <x:c r="A9856" s="85"/>
      <x:c r="B9856" s="86"/>
    </x:row>
    <x:row r="9857">
      <x:c r="A9857" s="85"/>
      <x:c r="B9857" s="86"/>
    </x:row>
    <x:row r="9858">
      <x:c r="A9858" s="85"/>
      <x:c r="B9858" s="86"/>
    </x:row>
    <x:row r="9859">
      <x:c r="A9859" s="85"/>
      <x:c r="B9859" s="86"/>
    </x:row>
    <x:row r="9860">
      <x:c r="A9860" s="85"/>
      <x:c r="B9860" s="86"/>
    </x:row>
    <x:row r="9861">
      <x:c r="A9861" s="85"/>
      <x:c r="B9861" s="86"/>
    </x:row>
    <x:row r="9862">
      <x:c r="A9862" s="85"/>
      <x:c r="B9862" s="86"/>
    </x:row>
    <x:row r="9863">
      <x:c r="A9863" s="85"/>
      <x:c r="B9863" s="86"/>
    </x:row>
    <x:row r="9864">
      <x:c r="A9864" s="85"/>
      <x:c r="B9864" s="86"/>
    </x:row>
    <x:row r="9865">
      <x:c r="A9865" s="85"/>
      <x:c r="B9865" s="86"/>
    </x:row>
    <x:row r="9866">
      <x:c r="A9866" s="85"/>
      <x:c r="B9866" s="86"/>
    </x:row>
    <x:row r="9867">
      <x:c r="A9867" s="85"/>
      <x:c r="B9867" s="86"/>
    </x:row>
    <x:row r="9868">
      <x:c r="A9868" s="85"/>
      <x:c r="B9868" s="86"/>
    </x:row>
    <x:row r="9869">
      <x:c r="A9869" s="85"/>
      <x:c r="B9869" s="86"/>
    </x:row>
    <x:row r="9870">
      <x:c r="A9870" s="85"/>
      <x:c r="B9870" s="86"/>
    </x:row>
    <x:row r="9871">
      <x:c r="A9871" s="85"/>
      <x:c r="B9871" s="86"/>
    </x:row>
    <x:row r="9872">
      <x:c r="A9872" s="85"/>
      <x:c r="B9872" s="86"/>
    </x:row>
    <x:row r="9873">
      <x:c r="A9873" s="85"/>
      <x:c r="B9873" s="86"/>
    </x:row>
    <x:row r="9874">
      <x:c r="A9874" s="85"/>
      <x:c r="B9874" s="86"/>
    </x:row>
    <x:row r="9875">
      <x:c r="A9875" s="85"/>
      <x:c r="B9875" s="86"/>
    </x:row>
    <x:row r="9876">
      <x:c r="A9876" s="85"/>
      <x:c r="B9876" s="86"/>
    </x:row>
    <x:row r="9877">
      <x:c r="A9877" s="85"/>
      <x:c r="B9877" s="86"/>
    </x:row>
    <x:row r="9878">
      <x:c r="A9878" s="85"/>
      <x:c r="B9878" s="86"/>
    </x:row>
    <x:row r="9879">
      <x:c r="A9879" s="85"/>
      <x:c r="B9879" s="86"/>
    </x:row>
    <x:row r="9880">
      <x:c r="A9880" s="85"/>
      <x:c r="B9880" s="86"/>
    </x:row>
    <x:row r="9881">
      <x:c r="A9881" s="85"/>
      <x:c r="B9881" s="86"/>
    </x:row>
    <x:row r="9882">
      <x:c r="A9882" s="85"/>
      <x:c r="B9882" s="86"/>
    </x:row>
    <x:row r="9883">
      <x:c r="A9883" s="85"/>
      <x:c r="B9883" s="86"/>
    </x:row>
    <x:row r="9884">
      <x:c r="A9884" s="85"/>
      <x:c r="B9884" s="86"/>
    </x:row>
    <x:row r="9885">
      <x:c r="A9885" s="85"/>
      <x:c r="B9885" s="86"/>
    </x:row>
    <x:row r="9886">
      <x:c r="A9886" s="85"/>
      <x:c r="B9886" s="86"/>
    </x:row>
    <x:row r="9887">
      <x:c r="A9887" s="85"/>
      <x:c r="B9887" s="86"/>
    </x:row>
    <x:row r="9888">
      <x:c r="A9888" s="85"/>
      <x:c r="B9888" s="86"/>
    </x:row>
    <x:row r="9889">
      <x:c r="A9889" s="85"/>
      <x:c r="B9889" s="86"/>
    </x:row>
    <x:row r="9890">
      <x:c r="A9890" s="85"/>
      <x:c r="B9890" s="86"/>
    </x:row>
    <x:row r="9891">
      <x:c r="A9891" s="85"/>
      <x:c r="B9891" s="86"/>
    </x:row>
    <x:row r="9892">
      <x:c r="A9892" s="85"/>
      <x:c r="B9892" s="86"/>
    </x:row>
    <x:row r="9893">
      <x:c r="A9893" s="85"/>
      <x:c r="B9893" s="86"/>
    </x:row>
    <x:row r="9894">
      <x:c r="A9894" s="85"/>
      <x:c r="B9894" s="86"/>
    </x:row>
    <x:row r="9895">
      <x:c r="A9895" s="85"/>
      <x:c r="B9895" s="86"/>
    </x:row>
    <x:row r="9896">
      <x:c r="A9896" s="85"/>
      <x:c r="B9896" s="86"/>
    </x:row>
    <x:row r="9897">
      <x:c r="A9897" s="85"/>
      <x:c r="B9897" s="86"/>
    </x:row>
    <x:row r="9898">
      <x:c r="A9898" s="85"/>
      <x:c r="B9898" s="86"/>
    </x:row>
    <x:row r="9899">
      <x:c r="A9899" s="85"/>
      <x:c r="B9899" s="86"/>
    </x:row>
    <x:row r="9900">
      <x:c r="A9900" s="85"/>
      <x:c r="B9900" s="86"/>
    </x:row>
    <x:row r="9901">
      <x:c r="A9901" s="85"/>
      <x:c r="B9901" s="86"/>
    </x:row>
    <x:row r="9902">
      <x:c r="A9902" s="85"/>
      <x:c r="B9902" s="86"/>
    </x:row>
    <x:row r="9903">
      <x:c r="A9903" s="85"/>
      <x:c r="B9903" s="86"/>
    </x:row>
    <x:row r="9904">
      <x:c r="A9904" s="85"/>
      <x:c r="B9904" s="86"/>
    </x:row>
    <x:row r="9905">
      <x:c r="A9905" s="85"/>
      <x:c r="B9905" s="86"/>
    </x:row>
    <x:row r="9906">
      <x:c r="A9906" s="85"/>
      <x:c r="B9906" s="86"/>
    </x:row>
    <x:row r="9907">
      <x:c r="A9907" s="85"/>
      <x:c r="B9907" s="86"/>
    </x:row>
    <x:row r="9908">
      <x:c r="A9908" s="85"/>
      <x:c r="B9908" s="86"/>
    </x:row>
    <x:row r="9909">
      <x:c r="A9909" s="85"/>
      <x:c r="B9909" s="86"/>
    </x:row>
    <x:row r="9910">
      <x:c r="A9910" s="85"/>
      <x:c r="B9910" s="86"/>
    </x:row>
    <x:row r="9911">
      <x:c r="A9911" s="85"/>
      <x:c r="B9911" s="86"/>
    </x:row>
    <x:row r="9912">
      <x:c r="A9912" s="85"/>
      <x:c r="B9912" s="86"/>
    </x:row>
    <x:row r="9913">
      <x:c r="A9913" s="85"/>
      <x:c r="B9913" s="86"/>
    </x:row>
    <x:row r="9914">
      <x:c r="A9914" s="85"/>
      <x:c r="B9914" s="86"/>
    </x:row>
    <x:row r="9915">
      <x:c r="A9915" s="85"/>
      <x:c r="B9915" s="86"/>
    </x:row>
    <x:row r="9916">
      <x:c r="A9916" s="85"/>
      <x:c r="B9916" s="86"/>
    </x:row>
    <x:row r="9917">
      <x:c r="A9917" s="85"/>
      <x:c r="B9917" s="86"/>
    </x:row>
    <x:row r="9918">
      <x:c r="A9918" s="85"/>
      <x:c r="B9918" s="86"/>
    </x:row>
    <x:row r="9919">
      <x:c r="A9919" s="85"/>
      <x:c r="B9919" s="86"/>
    </x:row>
    <x:row r="9920">
      <x:c r="A9920" s="85"/>
      <x:c r="B9920" s="86"/>
    </x:row>
    <x:row r="9921">
      <x:c r="A9921" s="85"/>
      <x:c r="B9921" s="86"/>
    </x:row>
    <x:row r="9922">
      <x:c r="A9922" s="85"/>
      <x:c r="B9922" s="86"/>
    </x:row>
    <x:row r="9923">
      <x:c r="A9923" s="85"/>
      <x:c r="B9923" s="86"/>
    </x:row>
    <x:row r="9924">
      <x:c r="A9924" s="85"/>
      <x:c r="B9924" s="86"/>
    </x:row>
    <x:row r="9925">
      <x:c r="A9925" s="85"/>
      <x:c r="B9925" s="86"/>
    </x:row>
    <x:row r="9926">
      <x:c r="A9926" s="85"/>
      <x:c r="B9926" s="86"/>
    </x:row>
    <x:row r="9927">
      <x:c r="A9927" s="85"/>
      <x:c r="B9927" s="86"/>
    </x:row>
    <x:row r="9928">
      <x:c r="A9928" s="85"/>
      <x:c r="B9928" s="86"/>
    </x:row>
    <x:row r="9929">
      <x:c r="A9929" s="85"/>
      <x:c r="B9929" s="86"/>
    </x:row>
    <x:row r="9930">
      <x:c r="A9930" s="85"/>
      <x:c r="B9930" s="86"/>
    </x:row>
    <x:row r="9931">
      <x:c r="A9931" s="85"/>
      <x:c r="B9931" s="86"/>
    </x:row>
    <x:row r="9932">
      <x:c r="A9932" s="85"/>
      <x:c r="B9932" s="86"/>
    </x:row>
    <x:row r="9933">
      <x:c r="A9933" s="85"/>
      <x:c r="B9933" s="86"/>
    </x:row>
    <x:row r="9934">
      <x:c r="A9934" s="85"/>
      <x:c r="B9934" s="86"/>
    </x:row>
    <x:row r="9935">
      <x:c r="A9935" s="85"/>
      <x:c r="B9935" s="86"/>
    </x:row>
    <x:row r="9936">
      <x:c r="A9936" s="85"/>
      <x:c r="B9936" s="86"/>
    </x:row>
    <x:row r="9937">
      <x:c r="A9937" s="85"/>
      <x:c r="B9937" s="86"/>
    </x:row>
    <x:row r="9938">
      <x:c r="A9938" s="85"/>
      <x:c r="B9938" s="86"/>
    </x:row>
    <x:row r="9939">
      <x:c r="A9939" s="85"/>
      <x:c r="B9939" s="86"/>
    </x:row>
    <x:row r="9940">
      <x:c r="A9940" s="85"/>
      <x:c r="B9940" s="86"/>
    </x:row>
    <x:row r="9941">
      <x:c r="A9941" s="85"/>
      <x:c r="B9941" s="86"/>
    </x:row>
    <x:row r="9942">
      <x:c r="A9942" s="85"/>
      <x:c r="B9942" s="86"/>
    </x:row>
    <x:row r="9943">
      <x:c r="A9943" s="85"/>
      <x:c r="B9943" s="86"/>
    </x:row>
    <x:row r="9944">
      <x:c r="A9944" s="85"/>
      <x:c r="B9944" s="86"/>
    </x:row>
    <x:row r="9945">
      <x:c r="A9945" s="85"/>
      <x:c r="B9945" s="86"/>
    </x:row>
    <x:row r="9946">
      <x:c r="A9946" s="85"/>
      <x:c r="B9946" s="86"/>
    </x:row>
    <x:row r="9947">
      <x:c r="A9947" s="85"/>
      <x:c r="B9947" s="86"/>
    </x:row>
    <x:row r="9948">
      <x:c r="A9948" s="85"/>
      <x:c r="B9948" s="86"/>
    </x:row>
    <x:row r="9949">
      <x:c r="A9949" s="85"/>
      <x:c r="B9949" s="86"/>
    </x:row>
    <x:row r="9950">
      <x:c r="A9950" s="85"/>
      <x:c r="B9950" s="86"/>
    </x:row>
    <x:row r="9951">
      <x:c r="A9951" s="85"/>
      <x:c r="B9951" s="86"/>
    </x:row>
    <x:row r="9952">
      <x:c r="A9952" s="85"/>
      <x:c r="B9952" s="86"/>
    </x:row>
    <x:row r="9953">
      <x:c r="A9953" s="85"/>
      <x:c r="B9953" s="86"/>
    </x:row>
    <x:row r="9954">
      <x:c r="A9954" s="85"/>
      <x:c r="B9954" s="86"/>
    </x:row>
    <x:row r="9955">
      <x:c r="A9955" s="85"/>
      <x:c r="B9955" s="86"/>
    </x:row>
    <x:row r="9956">
      <x:c r="A9956" s="85"/>
      <x:c r="B9956" s="86"/>
    </x:row>
    <x:row r="9957">
      <x:c r="A9957" s="85"/>
      <x:c r="B9957" s="86"/>
    </x:row>
    <x:row r="9958">
      <x:c r="A9958" s="85"/>
      <x:c r="B9958" s="86"/>
    </x:row>
    <x:row r="9959">
      <x:c r="A9959" s="85"/>
      <x:c r="B9959" s="86"/>
    </x:row>
    <x:row r="9960">
      <x:c r="A9960" s="85"/>
      <x:c r="B9960" s="86"/>
    </x:row>
    <x:row r="9961">
      <x:c r="A9961" s="85"/>
      <x:c r="B9961" s="86"/>
    </x:row>
    <x:row r="9962">
      <x:c r="A9962" s="85"/>
      <x:c r="B9962" s="86"/>
    </x:row>
    <x:row r="9963">
      <x:c r="A9963" s="85"/>
      <x:c r="B9963" s="86"/>
    </x:row>
    <x:row r="9964">
      <x:c r="A9964" s="85"/>
      <x:c r="B9964" s="86"/>
    </x:row>
    <x:row r="9965">
      <x:c r="A9965" s="85"/>
      <x:c r="B9965" s="86"/>
    </x:row>
    <x:row r="9966">
      <x:c r="A9966" s="85"/>
      <x:c r="B9966" s="86"/>
    </x:row>
    <x:row r="9967">
      <x:c r="A9967" s="85"/>
      <x:c r="B9967" s="86"/>
    </x:row>
    <x:row r="9968">
      <x:c r="A9968" s="85"/>
      <x:c r="B9968" s="86"/>
    </x:row>
    <x:row r="9969">
      <x:c r="A9969" s="85"/>
      <x:c r="B9969" s="86"/>
    </x:row>
    <x:row r="9970">
      <x:c r="A9970" s="85"/>
      <x:c r="B9970" s="86"/>
    </x:row>
    <x:row r="9971">
      <x:c r="A9971" s="85"/>
      <x:c r="B9971" s="86"/>
    </x:row>
    <x:row r="9972">
      <x:c r="A9972" s="85"/>
      <x:c r="B9972" s="86"/>
    </x:row>
    <x:row r="9973">
      <x:c r="A9973" s="85"/>
      <x:c r="B9973" s="86"/>
    </x:row>
    <x:row r="9974">
      <x:c r="A9974" s="85"/>
      <x:c r="B9974" s="86"/>
    </x:row>
    <x:row r="9975">
      <x:c r="A9975" s="85"/>
      <x:c r="B9975" s="86"/>
    </x:row>
    <x:row r="9976">
      <x:c r="A9976" s="85"/>
      <x:c r="B9976" s="86"/>
    </x:row>
    <x:row r="9977">
      <x:c r="A9977" s="85"/>
      <x:c r="B9977" s="86"/>
    </x:row>
    <x:row r="9978">
      <x:c r="A9978" s="85"/>
      <x:c r="B9978" s="86"/>
    </x:row>
    <x:row r="9979">
      <x:c r="A9979" s="85"/>
      <x:c r="B9979" s="86"/>
    </x:row>
    <x:row r="9980">
      <x:c r="A9980" s="85"/>
      <x:c r="B9980" s="86"/>
    </x:row>
    <x:row r="9981">
      <x:c r="A9981" s="85"/>
      <x:c r="B9981" s="86"/>
    </x:row>
    <x:row r="9982">
      <x:c r="A9982" s="85"/>
      <x:c r="B9982" s="86"/>
    </x:row>
    <x:row r="9983">
      <x:c r="A9983" s="85"/>
      <x:c r="B9983" s="86"/>
    </x:row>
    <x:row r="9984">
      <x:c r="A9984" s="85"/>
      <x:c r="B9984" s="86"/>
    </x:row>
    <x:row r="9985">
      <x:c r="A9985" s="85"/>
      <x:c r="B9985" s="86"/>
    </x:row>
    <x:row r="9986">
      <x:c r="A9986" s="85"/>
      <x:c r="B9986" s="86"/>
    </x:row>
    <x:row r="9987">
      <x:c r="A9987" s="85"/>
      <x:c r="B9987" s="86"/>
    </x:row>
    <x:row r="9988">
      <x:c r="A9988" s="85"/>
      <x:c r="B9988" s="86"/>
    </x:row>
    <x:row r="9989">
      <x:c r="A9989" s="85"/>
      <x:c r="B9989" s="86"/>
    </x:row>
    <x:row r="9990">
      <x:c r="A9990" s="85"/>
      <x:c r="B9990" s="86"/>
    </x:row>
    <x:row r="9991">
      <x:c r="A9991" s="85"/>
      <x:c r="B9991" s="86"/>
    </x:row>
    <x:row r="9992">
      <x:c r="A9992" s="85"/>
      <x:c r="B9992" s="86"/>
    </x:row>
    <x:row r="9993">
      <x:c r="A9993" s="85"/>
      <x:c r="B9993" s="86"/>
    </x:row>
    <x:row r="9994">
      <x:c r="A9994" s="85"/>
      <x:c r="B9994" s="86"/>
    </x:row>
    <x:row r="9995">
      <x:c r="A9995" s="85"/>
      <x:c r="B9995" s="86"/>
    </x:row>
    <x:row r="9996">
      <x:c r="A9996" s="85"/>
      <x:c r="B9996" s="86"/>
    </x:row>
    <x:row r="9997">
      <x:c r="A9997" s="85"/>
      <x:c r="B9997" s="86"/>
    </x:row>
    <x:row r="9998">
      <x:c r="A9998" s="85"/>
      <x:c r="B9998" s="86"/>
    </x:row>
    <x:row r="9999">
      <x:c r="A9999" s="85"/>
      <x:c r="B9999" s="86"/>
    </x:row>
    <x:row r="10000">
      <x:c r="A10000" s="85"/>
      <x:c r="B10000" s="86"/>
    </x:row>
    <x:row r="10001">
      <x:c r="A10001" s="85"/>
      <x:c r="B10001" s="86"/>
    </x:row>
    <x:row r="10002">
      <x:c r="A10002" s="85"/>
      <x:c r="B10002" s="86"/>
    </x:row>
    <x:row r="10003">
      <x:c r="A10003" s="85"/>
      <x:c r="B10003" s="86"/>
    </x:row>
    <x:row r="10004">
      <x:c r="A10004" s="85"/>
      <x:c r="B10004" s="86"/>
    </x:row>
    <x:row r="10005">
      <x:c r="A10005" s="85"/>
      <x:c r="B10005" s="86"/>
    </x:row>
    <x:row r="10006">
      <x:c r="A10006" s="85"/>
      <x:c r="B10006" s="86"/>
    </x:row>
    <x:row r="10007">
      <x:c r="A10007" s="85"/>
      <x:c r="B10007" s="86"/>
    </x:row>
    <x:row r="10008">
      <x:c r="A10008" s="85"/>
      <x:c r="B10008" s="86"/>
    </x:row>
    <x:row r="10009">
      <x:c r="A10009" s="85"/>
      <x:c r="B10009" s="86"/>
    </x:row>
    <x:row r="10010">
      <x:c r="A10010" s="85"/>
      <x:c r="B10010" s="86"/>
    </x:row>
    <x:row r="10011">
      <x:c r="A10011" s="85"/>
      <x:c r="B10011" s="86"/>
    </x:row>
    <x:row r="10012">
      <x:c r="A10012" s="85"/>
      <x:c r="B10012" s="86"/>
    </x:row>
    <x:row r="10013">
      <x:c r="A10013" s="85"/>
      <x:c r="B10013" s="86"/>
    </x:row>
    <x:row r="10014">
      <x:c r="A10014" s="85"/>
      <x:c r="B10014" s="86"/>
    </x:row>
    <x:row r="10015">
      <x:c r="A10015" s="85"/>
      <x:c r="B10015" s="86"/>
    </x:row>
    <x:row r="10016">
      <x:c r="A10016" s="85"/>
      <x:c r="B10016" s="86"/>
    </x:row>
    <x:row r="10017">
      <x:c r="A10017" s="85"/>
      <x:c r="B10017" s="86"/>
    </x:row>
    <x:row r="10018">
      <x:c r="A10018" s="85"/>
      <x:c r="B10018" s="86"/>
    </x:row>
    <x:row r="10019">
      <x:c r="A10019" s="85"/>
      <x:c r="B10019" s="86"/>
    </x:row>
    <x:row r="10020">
      <x:c r="A10020" s="85"/>
      <x:c r="B10020" s="86"/>
    </x:row>
    <x:row r="10021">
      <x:c r="A10021" s="85"/>
      <x:c r="B10021" s="86"/>
    </x:row>
    <x:row r="10022">
      <x:c r="A10022" s="85"/>
      <x:c r="B10022" s="86"/>
    </x:row>
    <x:row r="10023">
      <x:c r="A10023" s="85"/>
      <x:c r="B10023" s="86"/>
    </x:row>
    <x:row r="10024">
      <x:c r="A10024" s="85"/>
      <x:c r="B10024" s="86"/>
    </x:row>
    <x:row r="10025">
      <x:c r="A10025" s="85"/>
      <x:c r="B10025" s="86"/>
    </x:row>
    <x:row r="10026">
      <x:c r="A10026" s="85"/>
      <x:c r="B10026" s="86"/>
    </x:row>
    <x:row r="10027">
      <x:c r="A10027" s="85"/>
      <x:c r="B10027" s="86"/>
    </x:row>
    <x:row r="10028">
      <x:c r="A10028" s="85"/>
      <x:c r="B10028" s="86"/>
    </x:row>
    <x:row r="10029">
      <x:c r="A10029" s="85"/>
      <x:c r="B10029" s="86"/>
    </x:row>
    <x:row r="10030">
      <x:c r="A10030" s="85"/>
      <x:c r="B10030" s="86"/>
    </x:row>
    <x:row r="10031">
      <x:c r="A10031" s="85"/>
      <x:c r="B10031" s="86"/>
    </x:row>
    <x:row r="10032">
      <x:c r="A10032" s="85"/>
      <x:c r="B10032" s="86"/>
    </x:row>
    <x:row r="10033">
      <x:c r="A10033" s="85"/>
      <x:c r="B10033" s="86"/>
    </x:row>
    <x:row r="10034">
      <x:c r="A10034" s="85"/>
      <x:c r="B10034" s="86"/>
    </x:row>
    <x:row r="10035">
      <x:c r="A10035" s="85"/>
      <x:c r="B10035" s="86"/>
    </x:row>
    <x:row r="10036">
      <x:c r="A10036" s="85"/>
      <x:c r="B10036" s="86"/>
    </x:row>
    <x:row r="10037">
      <x:c r="A10037" s="85"/>
      <x:c r="B10037" s="86"/>
    </x:row>
    <x:row r="10038">
      <x:c r="A10038" s="85"/>
      <x:c r="B10038" s="86"/>
    </x:row>
    <x:row r="10039">
      <x:c r="A10039" s="85"/>
      <x:c r="B10039" s="86"/>
    </x:row>
    <x:row r="10040">
      <x:c r="A10040" s="85"/>
      <x:c r="B10040" s="86"/>
    </x:row>
    <x:row r="10041">
      <x:c r="A10041" s="85"/>
      <x:c r="B10041" s="86"/>
    </x:row>
    <x:row r="10042">
      <x:c r="A10042" s="85"/>
      <x:c r="B10042" s="86"/>
    </x:row>
    <x:row r="10043">
      <x:c r="A10043" s="85"/>
      <x:c r="B10043" s="86"/>
    </x:row>
    <x:row r="10044">
      <x:c r="A10044" s="85"/>
      <x:c r="B10044" s="86"/>
    </x:row>
    <x:row r="10045">
      <x:c r="A10045" s="85"/>
      <x:c r="B10045" s="86"/>
    </x:row>
    <x:row r="10046">
      <x:c r="A10046" s="85"/>
      <x:c r="B10046" s="86"/>
    </x:row>
    <x:row r="10047">
      <x:c r="A10047" s="85"/>
      <x:c r="B10047" s="86"/>
    </x:row>
    <x:row r="10048">
      <x:c r="A10048" s="85"/>
      <x:c r="B10048" s="86"/>
    </x:row>
    <x:row r="10049">
      <x:c r="A10049" s="85"/>
      <x:c r="B10049" s="86"/>
    </x:row>
    <x:row r="10050">
      <x:c r="A10050" s="85"/>
      <x:c r="B10050" s="86"/>
    </x:row>
    <x:row r="10051">
      <x:c r="A10051" s="85"/>
      <x:c r="B10051" s="86"/>
    </x:row>
    <x:row r="10052">
      <x:c r="A10052" s="85"/>
      <x:c r="B10052" s="86"/>
    </x:row>
    <x:row r="10053">
      <x:c r="A10053" s="85"/>
      <x:c r="B10053" s="86"/>
    </x:row>
    <x:row r="10054">
      <x:c r="A10054" s="85"/>
      <x:c r="B10054" s="86"/>
    </x:row>
    <x:row r="10055">
      <x:c r="A10055" s="85"/>
      <x:c r="B10055" s="86"/>
    </x:row>
    <x:row r="10056">
      <x:c r="A10056" s="85"/>
      <x:c r="B10056" s="86"/>
    </x:row>
    <x:row r="10057">
      <x:c r="A10057" s="85"/>
      <x:c r="B10057" s="86"/>
    </x:row>
    <x:row r="10058">
      <x:c r="A10058" s="85"/>
      <x:c r="B10058" s="86"/>
    </x:row>
    <x:row r="10059">
      <x:c r="A10059" s="85"/>
      <x:c r="B10059" s="86"/>
    </x:row>
    <x:row r="10060">
      <x:c r="A10060" s="85"/>
      <x:c r="B10060" s="86"/>
    </x:row>
    <x:row r="10061">
      <x:c r="A10061" s="85"/>
      <x:c r="B10061" s="86"/>
    </x:row>
    <x:row r="10062">
      <x:c r="A10062" s="85"/>
      <x:c r="B10062" s="86"/>
    </x:row>
    <x:row r="10063">
      <x:c r="A10063" s="85"/>
      <x:c r="B10063" s="86"/>
    </x:row>
    <x:row r="10064">
      <x:c r="A10064" s="85"/>
      <x:c r="B10064" s="86"/>
    </x:row>
    <x:row r="10065">
      <x:c r="A10065" s="85"/>
      <x:c r="B10065" s="86"/>
    </x:row>
    <x:row r="10066">
      <x:c r="A10066" s="85"/>
      <x:c r="B10066" s="86"/>
    </x:row>
    <x:row r="10067">
      <x:c r="A10067" s="85"/>
      <x:c r="B10067" s="86"/>
    </x:row>
    <x:row r="10068">
      <x:c r="A10068" s="85"/>
      <x:c r="B10068" s="86"/>
    </x:row>
    <x:row r="10069">
      <x:c r="A10069" s="85"/>
      <x:c r="B10069" s="86"/>
    </x:row>
    <x:row r="10070">
      <x:c r="A10070" s="85"/>
      <x:c r="B10070" s="86"/>
    </x:row>
    <x:row r="10071">
      <x:c r="A10071" s="85"/>
      <x:c r="B10071" s="86"/>
    </x:row>
    <x:row r="10072">
      <x:c r="A10072" s="85"/>
      <x:c r="B10072" s="86"/>
    </x:row>
    <x:row r="10073">
      <x:c r="A10073" s="85"/>
      <x:c r="B10073" s="86"/>
    </x:row>
    <x:row r="10074">
      <x:c r="A10074" s="85"/>
      <x:c r="B10074" s="86"/>
    </x:row>
    <x:row r="10075">
      <x:c r="A10075" s="85"/>
      <x:c r="B10075" s="86"/>
    </x:row>
    <x:row r="10076">
      <x:c r="A10076" s="85"/>
      <x:c r="B10076" s="86"/>
    </x:row>
    <x:row r="10077">
      <x:c r="A10077" s="85"/>
      <x:c r="B10077" s="86"/>
    </x:row>
    <x:row r="10078">
      <x:c r="A10078" s="85"/>
      <x:c r="B10078" s="86"/>
    </x:row>
    <x:row r="10079">
      <x:c r="A10079" s="85"/>
      <x:c r="B10079" s="86"/>
    </x:row>
    <x:row r="10080">
      <x:c r="A10080" s="85"/>
      <x:c r="B10080" s="86"/>
    </x:row>
    <x:row r="10081">
      <x:c r="A10081" s="85"/>
      <x:c r="B10081" s="86"/>
    </x:row>
    <x:row r="10082">
      <x:c r="A10082" s="85"/>
      <x:c r="B10082" s="86"/>
    </x:row>
    <x:row r="10083">
      <x:c r="A10083" s="85"/>
      <x:c r="B10083" s="86"/>
    </x:row>
    <x:row r="10084">
      <x:c r="A10084" s="85"/>
      <x:c r="B10084" s="86"/>
    </x:row>
    <x:row r="10085">
      <x:c r="A10085" s="85"/>
      <x:c r="B10085" s="86"/>
    </x:row>
    <x:row r="10086">
      <x:c r="A10086" s="85"/>
      <x:c r="B10086" s="86"/>
    </x:row>
    <x:row r="10087">
      <x:c r="A10087" s="85"/>
      <x:c r="B10087" s="86"/>
    </x:row>
    <x:row r="10088">
      <x:c r="A10088" s="85"/>
      <x:c r="B10088" s="86"/>
    </x:row>
    <x:row r="10089">
      <x:c r="A10089" s="85"/>
      <x:c r="B10089" s="86"/>
    </x:row>
    <x:row r="10090">
      <x:c r="A10090" s="85"/>
      <x:c r="B10090" s="86"/>
    </x:row>
    <x:row r="10091">
      <x:c r="A10091" s="85"/>
      <x:c r="B10091" s="86"/>
    </x:row>
    <x:row r="10092">
      <x:c r="A10092" s="85"/>
      <x:c r="B10092" s="86"/>
    </x:row>
    <x:row r="10093">
      <x:c r="A10093" s="85"/>
      <x:c r="B10093" s="86"/>
    </x:row>
    <x:row r="10094">
      <x:c r="A10094" s="85"/>
      <x:c r="B10094" s="86"/>
    </x:row>
    <x:row r="10095">
      <x:c r="A10095" s="85"/>
      <x:c r="B10095" s="86"/>
    </x:row>
    <x:row r="10096">
      <x:c r="A10096" s="85"/>
      <x:c r="B10096" s="86"/>
    </x:row>
    <x:row r="10097">
      <x:c r="A10097" s="85"/>
      <x:c r="B10097" s="86"/>
    </x:row>
    <x:row r="10098">
      <x:c r="A10098" s="85"/>
      <x:c r="B10098" s="86"/>
    </x:row>
    <x:row r="10099">
      <x:c r="A10099" s="85"/>
      <x:c r="B10099" s="86"/>
    </x:row>
    <x:row r="10100">
      <x:c r="A10100" s="85"/>
      <x:c r="B10100" s="86"/>
    </x:row>
    <x:row r="10101">
      <x:c r="A10101" s="85"/>
      <x:c r="B10101" s="86"/>
    </x:row>
    <x:row r="10102">
      <x:c r="A10102" s="85"/>
      <x:c r="B10102" s="86"/>
    </x:row>
    <x:row r="10103">
      <x:c r="A10103" s="85"/>
      <x:c r="B10103" s="86"/>
    </x:row>
    <x:row r="10104">
      <x:c r="A10104" s="85"/>
      <x:c r="B10104" s="86"/>
    </x:row>
    <x:row r="10105">
      <x:c r="A10105" s="85"/>
      <x:c r="B10105" s="86"/>
    </x:row>
    <x:row r="10106">
      <x:c r="A10106" s="85"/>
      <x:c r="B10106" s="86"/>
    </x:row>
    <x:row r="10107">
      <x:c r="A10107" s="85"/>
      <x:c r="B10107" s="86"/>
    </x:row>
    <x:row r="10108">
      <x:c r="A10108" s="85"/>
      <x:c r="B10108" s="86"/>
    </x:row>
    <x:row r="10109">
      <x:c r="A10109" s="85"/>
      <x:c r="B10109" s="86"/>
    </x:row>
    <x:row r="10110">
      <x:c r="A10110" s="85"/>
      <x:c r="B10110" s="86"/>
    </x:row>
    <x:row r="10111">
      <x:c r="A10111" s="85"/>
      <x:c r="B10111" s="86"/>
    </x:row>
    <x:row r="10112">
      <x:c r="A10112" s="85"/>
      <x:c r="B10112" s="86"/>
    </x:row>
    <x:row r="10113">
      <x:c r="A10113" s="85"/>
      <x:c r="B10113" s="86"/>
    </x:row>
    <x:row r="10114">
      <x:c r="A10114" s="85"/>
      <x:c r="B10114" s="86"/>
    </x:row>
    <x:row r="10115">
      <x:c r="A10115" s="85"/>
      <x:c r="B10115" s="86"/>
    </x:row>
    <x:row r="10116">
      <x:c r="A10116" s="85"/>
      <x:c r="B10116" s="86"/>
    </x:row>
    <x:row r="10117">
      <x:c r="A10117" s="85"/>
      <x:c r="B10117" s="86"/>
    </x:row>
    <x:row r="10118">
      <x:c r="A10118" s="85"/>
      <x:c r="B10118" s="86"/>
    </x:row>
    <x:row r="10119">
      <x:c r="A10119" s="85"/>
      <x:c r="B10119" s="86"/>
    </x:row>
    <x:row r="10120">
      <x:c r="A10120" s="85"/>
      <x:c r="B10120" s="86"/>
    </x:row>
    <x:row r="10121">
      <x:c r="A10121" s="85"/>
      <x:c r="B10121" s="86"/>
    </x:row>
    <x:row r="10122">
      <x:c r="A10122" s="85"/>
      <x:c r="B10122" s="86"/>
    </x:row>
    <x:row r="10123">
      <x:c r="A10123" s="85"/>
      <x:c r="B10123" s="86"/>
    </x:row>
    <x:row r="10124">
      <x:c r="A10124" s="85"/>
      <x:c r="B10124" s="86"/>
    </x:row>
    <x:row r="10125">
      <x:c r="A10125" s="85"/>
      <x:c r="B10125" s="86"/>
    </x:row>
    <x:row r="10126">
      <x:c r="A10126" s="85"/>
      <x:c r="B10126" s="86"/>
    </x:row>
    <x:row r="10127">
      <x:c r="A10127" s="85"/>
      <x:c r="B10127" s="86"/>
    </x:row>
    <x:row r="10128">
      <x:c r="A10128" s="85"/>
      <x:c r="B10128" s="86"/>
    </x:row>
    <x:row r="10129">
      <x:c r="A10129" s="85"/>
      <x:c r="B10129" s="86"/>
    </x:row>
    <x:row r="10130">
      <x:c r="A10130" s="85"/>
      <x:c r="B10130" s="86"/>
    </x:row>
    <x:row r="10131">
      <x:c r="A10131" s="85"/>
      <x:c r="B10131" s="86"/>
    </x:row>
    <x:row r="10132">
      <x:c r="A10132" s="85"/>
      <x:c r="B10132" s="86"/>
    </x:row>
    <x:row r="10133">
      <x:c r="A10133" s="85"/>
      <x:c r="B10133" s="86"/>
    </x:row>
    <x:row r="10134">
      <x:c r="A10134" s="85"/>
      <x:c r="B10134" s="86"/>
    </x:row>
    <x:row r="10135">
      <x:c r="A10135" s="85"/>
      <x:c r="B10135" s="86"/>
    </x:row>
    <x:row r="10136">
      <x:c r="A10136" s="85"/>
      <x:c r="B10136" s="86"/>
    </x:row>
    <x:row r="10137">
      <x:c r="A10137" s="85"/>
      <x:c r="B10137" s="86"/>
    </x:row>
    <x:row r="10138">
      <x:c r="A10138" s="85"/>
      <x:c r="B10138" s="86"/>
    </x:row>
    <x:row r="10139">
      <x:c r="A10139" s="85"/>
      <x:c r="B10139" s="86"/>
    </x:row>
    <x:row r="10140">
      <x:c r="A10140" s="85"/>
      <x:c r="B10140" s="86"/>
    </x:row>
    <x:row r="10141">
      <x:c r="A10141" s="85"/>
      <x:c r="B10141" s="86"/>
    </x:row>
    <x:row r="10142">
      <x:c r="A10142" s="85"/>
      <x:c r="B10142" s="86"/>
    </x:row>
    <x:row r="10143">
      <x:c r="A10143" s="85"/>
      <x:c r="B10143" s="86"/>
    </x:row>
    <x:row r="10144">
      <x:c r="A10144" s="85"/>
      <x:c r="B10144" s="86"/>
    </x:row>
    <x:row r="10145">
      <x:c r="A10145" s="85"/>
      <x:c r="B10145" s="86"/>
    </x:row>
    <x:row r="10146">
      <x:c r="A10146" s="85"/>
      <x:c r="B10146" s="86"/>
    </x:row>
    <x:row r="10147">
      <x:c r="A10147" s="85"/>
      <x:c r="B10147" s="86"/>
    </x:row>
    <x:row r="10148">
      <x:c r="A10148" s="85"/>
      <x:c r="B10148" s="86"/>
    </x:row>
    <x:row r="10149">
      <x:c r="A10149" s="85"/>
      <x:c r="B10149" s="86"/>
    </x:row>
    <x:row r="10150">
      <x:c r="A10150" s="85"/>
      <x:c r="B10150" s="86"/>
    </x:row>
    <x:row r="10151">
      <x:c r="A10151" s="85"/>
      <x:c r="B10151" s="86"/>
    </x:row>
    <x:row r="10152">
      <x:c r="A10152" s="85"/>
      <x:c r="B10152" s="86"/>
    </x:row>
    <x:row r="10153">
      <x:c r="A10153" s="85"/>
      <x:c r="B10153" s="86"/>
    </x:row>
    <x:row r="10154">
      <x:c r="A10154" s="85"/>
      <x:c r="B10154" s="86"/>
    </x:row>
    <x:row r="10155">
      <x:c r="A10155" s="85"/>
      <x:c r="B10155" s="86"/>
    </x:row>
    <x:row r="10156">
      <x:c r="A10156" s="85"/>
      <x:c r="B10156" s="86"/>
    </x:row>
    <x:row r="10157">
      <x:c r="A10157" s="85"/>
      <x:c r="B10157" s="86"/>
    </x:row>
    <x:row r="10158">
      <x:c r="A10158" s="85"/>
      <x:c r="B10158" s="86"/>
    </x:row>
    <x:row r="10159">
      <x:c r="A10159" s="85"/>
      <x:c r="B10159" s="86"/>
    </x:row>
    <x:row r="10160">
      <x:c r="A10160" s="85"/>
      <x:c r="B10160" s="86"/>
    </x:row>
    <x:row r="10161">
      <x:c r="A10161" s="85"/>
      <x:c r="B10161" s="86"/>
    </x:row>
    <x:row r="10162">
      <x:c r="A10162" s="85"/>
      <x:c r="B10162" s="86"/>
    </x:row>
    <x:row r="10163">
      <x:c r="A10163" s="85"/>
      <x:c r="B10163" s="86"/>
    </x:row>
    <x:row r="10164">
      <x:c r="A10164" s="85"/>
      <x:c r="B10164" s="86"/>
    </x:row>
    <x:row r="10165">
      <x:c r="A10165" s="85"/>
      <x:c r="B10165" s="86"/>
    </x:row>
    <x:row r="10166">
      <x:c r="A10166" s="85"/>
      <x:c r="B10166" s="86"/>
    </x:row>
    <x:row r="10167">
      <x:c r="A10167" s="85"/>
      <x:c r="B10167" s="86"/>
    </x:row>
    <x:row r="10168">
      <x:c r="A10168" s="85"/>
      <x:c r="B10168" s="86"/>
    </x:row>
    <x:row r="10169">
      <x:c r="A10169" s="85"/>
      <x:c r="B10169" s="86"/>
    </x:row>
    <x:row r="10170">
      <x:c r="A10170" s="85"/>
      <x:c r="B10170" s="86"/>
    </x:row>
    <x:row r="10171">
      <x:c r="A10171" s="85"/>
      <x:c r="B10171" s="86"/>
    </x:row>
    <x:row r="10172">
      <x:c r="A10172" s="85"/>
      <x:c r="B10172" s="86"/>
    </x:row>
    <x:row r="10173">
      <x:c r="A10173" s="85"/>
      <x:c r="B10173" s="86"/>
    </x:row>
    <x:row r="10174">
      <x:c r="A10174" s="85"/>
      <x:c r="B10174" s="86"/>
    </x:row>
    <x:row r="10175">
      <x:c r="A10175" s="85"/>
      <x:c r="B10175" s="86"/>
    </x:row>
    <x:row r="10176">
      <x:c r="A10176" s="85"/>
      <x:c r="B10176" s="86"/>
    </x:row>
    <x:row r="10177">
      <x:c r="A10177" s="85"/>
      <x:c r="B10177" s="86"/>
    </x:row>
    <x:row r="10178">
      <x:c r="A10178" s="85"/>
      <x:c r="B10178" s="86"/>
    </x:row>
    <x:row r="10179">
      <x:c r="A10179" s="85"/>
      <x:c r="B10179" s="86"/>
    </x:row>
    <x:row r="10180">
      <x:c r="A10180" s="85"/>
      <x:c r="B10180" s="86"/>
    </x:row>
    <x:row r="10181">
      <x:c r="A10181" s="85"/>
      <x:c r="B10181" s="86"/>
    </x:row>
    <x:row r="10182">
      <x:c r="A10182" s="85"/>
      <x:c r="B10182" s="86"/>
    </x:row>
    <x:row r="10183">
      <x:c r="A10183" s="85"/>
      <x:c r="B10183" s="86"/>
    </x:row>
    <x:row r="10184">
      <x:c r="A10184" s="85"/>
      <x:c r="B10184" s="86"/>
    </x:row>
    <x:row r="10185">
      <x:c r="A10185" s="85"/>
      <x:c r="B10185" s="86"/>
    </x:row>
    <x:row r="10186">
      <x:c r="A10186" s="85"/>
      <x:c r="B10186" s="86"/>
    </x:row>
    <x:row r="10187">
      <x:c r="A10187" s="85"/>
      <x:c r="B10187" s="86"/>
    </x:row>
    <x:row r="10188">
      <x:c r="A10188" s="85"/>
      <x:c r="B10188" s="86"/>
    </x:row>
    <x:row r="10189">
      <x:c r="A10189" s="85"/>
      <x:c r="B10189" s="86"/>
    </x:row>
    <x:row r="10190">
      <x:c r="A10190" s="85"/>
      <x:c r="B10190" s="86"/>
    </x:row>
    <x:row r="10191">
      <x:c r="A10191" s="85"/>
      <x:c r="B10191" s="86"/>
    </x:row>
    <x:row r="10192">
      <x:c r="A10192" s="85"/>
      <x:c r="B10192" s="86"/>
    </x:row>
    <x:row r="10193">
      <x:c r="A10193" s="85"/>
      <x:c r="B10193" s="86"/>
    </x:row>
    <x:row r="10194">
      <x:c r="A10194" s="85"/>
      <x:c r="B10194" s="86"/>
    </x:row>
    <x:row r="10195">
      <x:c r="A10195" s="85"/>
      <x:c r="B10195" s="86"/>
    </x:row>
    <x:row r="10196">
      <x:c r="A10196" s="85"/>
      <x:c r="B10196" s="86"/>
    </x:row>
    <x:row r="10197">
      <x:c r="A10197" s="85"/>
      <x:c r="B10197" s="86"/>
    </x:row>
    <x:row r="10198">
      <x:c r="A10198" s="85"/>
      <x:c r="B10198" s="86"/>
    </x:row>
    <x:row r="10199">
      <x:c r="A10199" s="85"/>
      <x:c r="B10199" s="86"/>
    </x:row>
    <x:row r="10200">
      <x:c r="A10200" s="85"/>
      <x:c r="B10200" s="86"/>
    </x:row>
    <x:row r="10201">
      <x:c r="A10201" s="85"/>
      <x:c r="B10201" s="86"/>
    </x:row>
    <x:row r="10202">
      <x:c r="A10202" s="85"/>
      <x:c r="B10202" s="86"/>
    </x:row>
    <x:row r="10203">
      <x:c r="A10203" s="85"/>
      <x:c r="B10203" s="86"/>
    </x:row>
    <x:row r="10204">
      <x:c r="A10204" s="85"/>
      <x:c r="B10204" s="86"/>
    </x:row>
    <x:row r="10205">
      <x:c r="A10205" s="85"/>
      <x:c r="B10205" s="86"/>
    </x:row>
    <x:row r="10206">
      <x:c r="A10206" s="85"/>
      <x:c r="B10206" s="86"/>
    </x:row>
    <x:row r="10207">
      <x:c r="A10207" s="85"/>
      <x:c r="B10207" s="86"/>
    </x:row>
    <x:row r="10208">
      <x:c r="A10208" s="85"/>
      <x:c r="B10208" s="86"/>
    </x:row>
    <x:row r="10209">
      <x:c r="A10209" s="85"/>
      <x:c r="B10209" s="86"/>
    </x:row>
    <x:row r="10210">
      <x:c r="A10210" s="85"/>
      <x:c r="B10210" s="86"/>
    </x:row>
    <x:row r="10211">
      <x:c r="A10211" s="85"/>
      <x:c r="B10211" s="86"/>
    </x:row>
    <x:row r="10212">
      <x:c r="A10212" s="85"/>
      <x:c r="B10212" s="86"/>
    </x:row>
    <x:row r="10213">
      <x:c r="A10213" s="85"/>
      <x:c r="B10213" s="86"/>
    </x:row>
    <x:row r="10214">
      <x:c r="A10214" s="85"/>
      <x:c r="B10214" s="86"/>
    </x:row>
    <x:row r="10215">
      <x:c r="A10215" s="85"/>
      <x:c r="B10215" s="86"/>
    </x:row>
    <x:row r="10216">
      <x:c r="A10216" s="85"/>
      <x:c r="B10216" s="86"/>
    </x:row>
    <x:row r="10217">
      <x:c r="A10217" s="85"/>
      <x:c r="B10217" s="86"/>
    </x:row>
    <x:row r="10218">
      <x:c r="A10218" s="85"/>
      <x:c r="B10218" s="86"/>
    </x:row>
    <x:row r="10219">
      <x:c r="A10219" s="85"/>
      <x:c r="B10219" s="86"/>
    </x:row>
    <x:row r="10220">
      <x:c r="A10220" s="85"/>
      <x:c r="B10220" s="86"/>
    </x:row>
    <x:row r="10221">
      <x:c r="A10221" s="85"/>
      <x:c r="B10221" s="86"/>
    </x:row>
    <x:row r="10222">
      <x:c r="A10222" s="85"/>
      <x:c r="B10222" s="86"/>
    </x:row>
    <x:row r="10223">
      <x:c r="A10223" s="85"/>
      <x:c r="B10223" s="86"/>
    </x:row>
    <x:row r="10224">
      <x:c r="A10224" s="85"/>
      <x:c r="B10224" s="86"/>
    </x:row>
    <x:row r="10225">
      <x:c r="A10225" s="85"/>
      <x:c r="B10225" s="86"/>
    </x:row>
    <x:row r="10226">
      <x:c r="A10226" s="85"/>
      <x:c r="B10226" s="86"/>
    </x:row>
    <x:row r="10227">
      <x:c r="A10227" s="85"/>
      <x:c r="B10227" s="86"/>
    </x:row>
    <x:row r="10228">
      <x:c r="A10228" s="85"/>
      <x:c r="B10228" s="86"/>
    </x:row>
    <x:row r="10229">
      <x:c r="A10229" s="85"/>
      <x:c r="B10229" s="86"/>
    </x:row>
    <x:row r="10230">
      <x:c r="A10230" s="85"/>
      <x:c r="B10230" s="86"/>
    </x:row>
    <x:row r="10231">
      <x:c r="A10231" s="85"/>
      <x:c r="B10231" s="86"/>
    </x:row>
    <x:row r="10232">
      <x:c r="A10232" s="85"/>
      <x:c r="B10232" s="86"/>
    </x:row>
    <x:row r="10233">
      <x:c r="A10233" s="85"/>
      <x:c r="B10233" s="86"/>
    </x:row>
    <x:row r="10234">
      <x:c r="A10234" s="85"/>
      <x:c r="B10234" s="86"/>
    </x:row>
    <x:row r="10235">
      <x:c r="A10235" s="85"/>
      <x:c r="B10235" s="86"/>
    </x:row>
    <x:row r="10236">
      <x:c r="A10236" s="85"/>
      <x:c r="B10236" s="86"/>
    </x:row>
    <x:row r="10237">
      <x:c r="A10237" s="85"/>
      <x:c r="B10237" s="86"/>
    </x:row>
    <x:row r="10238">
      <x:c r="A10238" s="85"/>
      <x:c r="B10238" s="86"/>
    </x:row>
    <x:row r="10239">
      <x:c r="A10239" s="85"/>
      <x:c r="B10239" s="86"/>
    </x:row>
    <x:row r="10240">
      <x:c r="A10240" s="85"/>
      <x:c r="B10240" s="86"/>
    </x:row>
    <x:row r="10241">
      <x:c r="A10241" s="85"/>
      <x:c r="B10241" s="86"/>
    </x:row>
    <x:row r="10242">
      <x:c r="A10242" s="85"/>
      <x:c r="B10242" s="86"/>
    </x:row>
    <x:row r="10243">
      <x:c r="A10243" s="85"/>
      <x:c r="B10243" s="86"/>
    </x:row>
    <x:row r="10244">
      <x:c r="A10244" s="85"/>
      <x:c r="B10244" s="86"/>
    </x:row>
    <x:row r="10245">
      <x:c r="A10245" s="85"/>
      <x:c r="B10245" s="86"/>
    </x:row>
    <x:row r="10246">
      <x:c r="A10246" s="85"/>
      <x:c r="B10246" s="86"/>
    </x:row>
    <x:row r="10247">
      <x:c r="A10247" s="85"/>
      <x:c r="B10247" s="86"/>
    </x:row>
    <x:row r="10248">
      <x:c r="A10248" s="85"/>
      <x:c r="B10248" s="86"/>
    </x:row>
    <x:row r="10249">
      <x:c r="A10249" s="85"/>
      <x:c r="B10249" s="86"/>
    </x:row>
    <x:row r="10250">
      <x:c r="A10250" s="85"/>
      <x:c r="B10250" s="86"/>
    </x:row>
    <x:row r="10251">
      <x:c r="A10251" s="85"/>
      <x:c r="B10251" s="86"/>
    </x:row>
    <x:row r="10252">
      <x:c r="A10252" s="85"/>
      <x:c r="B10252" s="86"/>
    </x:row>
    <x:row r="10253">
      <x:c r="A10253" s="85"/>
      <x:c r="B10253" s="86"/>
    </x:row>
    <x:row r="10254">
      <x:c r="A10254" s="85"/>
      <x:c r="B10254" s="86"/>
    </x:row>
    <x:row r="10255">
      <x:c r="A10255" s="85"/>
      <x:c r="B10255" s="86"/>
    </x:row>
    <x:row r="10256">
      <x:c r="A10256" s="85"/>
      <x:c r="B10256" s="86"/>
    </x:row>
    <x:row r="10257">
      <x:c r="A10257" s="85"/>
      <x:c r="B10257" s="86"/>
    </x:row>
    <x:row r="10258">
      <x:c r="A10258" s="85"/>
      <x:c r="B10258" s="86"/>
    </x:row>
    <x:row r="10259">
      <x:c r="A10259" s="85"/>
      <x:c r="B10259" s="86"/>
    </x:row>
    <x:row r="10260">
      <x:c r="A10260" s="85"/>
      <x:c r="B10260" s="86"/>
    </x:row>
    <x:row r="10261">
      <x:c r="A10261" s="85"/>
      <x:c r="B10261" s="86"/>
    </x:row>
    <x:row r="10262">
      <x:c r="A10262" s="85"/>
      <x:c r="B10262" s="86"/>
    </x:row>
    <x:row r="10263">
      <x:c r="A10263" s="85"/>
      <x:c r="B10263" s="86"/>
    </x:row>
    <x:row r="10264">
      <x:c r="A10264" s="85"/>
      <x:c r="B10264" s="86"/>
    </x:row>
    <x:row r="10265">
      <x:c r="A10265" s="85"/>
      <x:c r="B10265" s="86"/>
    </x:row>
    <x:row r="10266">
      <x:c r="A10266" s="85"/>
      <x:c r="B10266" s="86"/>
    </x:row>
    <x:row r="10267">
      <x:c r="A10267" s="85"/>
      <x:c r="B10267" s="86"/>
    </x:row>
    <x:row r="10268">
      <x:c r="A10268" s="85"/>
      <x:c r="B10268" s="86"/>
    </x:row>
    <x:row r="10269">
      <x:c r="A10269" s="85"/>
      <x:c r="B10269" s="86"/>
    </x:row>
    <x:row r="10270">
      <x:c r="A10270" s="85"/>
      <x:c r="B10270" s="86"/>
    </x:row>
    <x:row r="10271">
      <x:c r="A10271" s="85"/>
      <x:c r="B10271" s="86"/>
    </x:row>
    <x:row r="10272">
      <x:c r="A10272" s="85"/>
      <x:c r="B10272" s="86"/>
    </x:row>
    <x:row r="10273">
      <x:c r="A10273" s="85"/>
      <x:c r="B10273" s="86"/>
    </x:row>
    <x:row r="10274">
      <x:c r="A10274" s="85"/>
      <x:c r="B10274" s="86"/>
    </x:row>
    <x:row r="10275">
      <x:c r="A10275" s="85"/>
      <x:c r="B10275" s="86"/>
    </x:row>
    <x:row r="10276">
      <x:c r="A10276" s="85"/>
      <x:c r="B10276" s="86"/>
    </x:row>
    <x:row r="10277">
      <x:c r="A10277" s="85"/>
      <x:c r="B10277" s="86"/>
    </x:row>
    <x:row r="10278">
      <x:c r="A10278" s="85"/>
      <x:c r="B10278" s="86"/>
    </x:row>
    <x:row r="10279">
      <x:c r="A10279" s="85"/>
      <x:c r="B10279" s="86"/>
    </x:row>
    <x:row r="10280">
      <x:c r="A10280" s="85"/>
      <x:c r="B10280" s="86"/>
    </x:row>
    <x:row r="10281">
      <x:c r="A10281" s="85"/>
      <x:c r="B10281" s="86"/>
    </x:row>
    <x:row r="10282">
      <x:c r="A10282" s="85"/>
      <x:c r="B10282" s="86"/>
    </x:row>
    <x:row r="10283">
      <x:c r="A10283" s="85"/>
      <x:c r="B10283" s="86"/>
    </x:row>
    <x:row r="10284">
      <x:c r="A10284" s="85"/>
      <x:c r="B10284" s="86"/>
    </x:row>
    <x:row r="10285">
      <x:c r="A10285" s="85"/>
      <x:c r="B10285" s="86"/>
    </x:row>
    <x:row r="10286">
      <x:c r="A10286" s="85"/>
      <x:c r="B10286" s="86"/>
    </x:row>
    <x:row r="10287">
      <x:c r="A10287" s="85"/>
      <x:c r="B10287" s="86"/>
    </x:row>
    <x:row r="10288">
      <x:c r="A10288" s="85"/>
      <x:c r="B10288" s="86"/>
    </x:row>
    <x:row r="10289">
      <x:c r="A10289" s="85"/>
      <x:c r="B10289" s="86"/>
    </x:row>
    <x:row r="10290">
      <x:c r="A10290" s="85"/>
      <x:c r="B10290" s="86"/>
    </x:row>
    <x:row r="10291">
      <x:c r="A10291" s="85"/>
      <x:c r="B10291" s="86"/>
    </x:row>
    <x:row r="10292">
      <x:c r="A10292" s="85"/>
      <x:c r="B10292" s="86"/>
    </x:row>
    <x:row r="10293">
      <x:c r="A10293" s="85"/>
      <x:c r="B10293" s="86"/>
    </x:row>
    <x:row r="10294">
      <x:c r="A10294" s="85"/>
      <x:c r="B10294" s="86"/>
    </x:row>
    <x:row r="10295">
      <x:c r="A10295" s="85"/>
      <x:c r="B10295" s="86"/>
    </x:row>
    <x:row r="10296">
      <x:c r="A10296" s="85"/>
      <x:c r="B10296" s="86"/>
    </x:row>
    <x:row r="10297">
      <x:c r="A10297" s="85"/>
      <x:c r="B10297" s="86"/>
    </x:row>
    <x:row r="10298">
      <x:c r="A10298" s="85"/>
      <x:c r="B10298" s="86"/>
    </x:row>
    <x:row r="10299">
      <x:c r="A10299" s="85"/>
      <x:c r="B10299" s="86"/>
    </x:row>
    <x:row r="10300">
      <x:c r="A10300" s="85"/>
      <x:c r="B10300" s="86"/>
    </x:row>
    <x:row r="10301">
      <x:c r="A10301" s="85"/>
      <x:c r="B10301" s="86"/>
    </x:row>
    <x:row r="10302">
      <x:c r="A10302" s="85"/>
      <x:c r="B10302" s="86"/>
    </x:row>
    <x:row r="10303">
      <x:c r="A10303" s="85"/>
      <x:c r="B10303" s="86"/>
    </x:row>
    <x:row r="10304">
      <x:c r="A10304" s="85"/>
      <x:c r="B10304" s="86"/>
    </x:row>
    <x:row r="10305">
      <x:c r="A10305" s="85"/>
      <x:c r="B10305" s="86"/>
    </x:row>
    <x:row r="10306">
      <x:c r="A10306" s="85"/>
      <x:c r="B10306" s="86"/>
    </x:row>
    <x:row r="10307">
      <x:c r="A10307" s="85"/>
      <x:c r="B10307" s="86"/>
    </x:row>
    <x:row r="10308">
      <x:c r="A10308" s="85"/>
      <x:c r="B10308" s="86"/>
    </x:row>
    <x:row r="10309">
      <x:c r="A10309" s="85"/>
      <x:c r="B10309" s="86"/>
    </x:row>
    <x:row r="10310">
      <x:c r="A10310" s="85"/>
      <x:c r="B10310" s="86"/>
    </x:row>
    <x:row r="10311">
      <x:c r="A10311" s="85"/>
      <x:c r="B10311" s="86"/>
    </x:row>
    <x:row r="10312">
      <x:c r="A10312" s="85"/>
      <x:c r="B10312" s="86"/>
    </x:row>
    <x:row r="10313">
      <x:c r="A10313" s="85"/>
      <x:c r="B10313" s="86"/>
    </x:row>
    <x:row r="10314">
      <x:c r="A10314" s="85"/>
      <x:c r="B10314" s="86"/>
    </x:row>
    <x:row r="10315">
      <x:c r="A10315" s="85"/>
      <x:c r="B10315" s="86"/>
    </x:row>
    <x:row r="10316">
      <x:c r="A10316" s="85"/>
      <x:c r="B10316" s="86"/>
    </x:row>
    <x:row r="10317">
      <x:c r="A10317" s="85"/>
      <x:c r="B10317" s="86"/>
    </x:row>
    <x:row r="10318">
      <x:c r="A10318" s="85"/>
      <x:c r="B10318" s="86"/>
    </x:row>
    <x:row r="10319">
      <x:c r="A10319" s="85"/>
      <x:c r="B10319" s="86"/>
    </x:row>
    <x:row r="10320">
      <x:c r="A10320" s="85"/>
      <x:c r="B10320" s="86"/>
    </x:row>
    <x:row r="10321">
      <x:c r="A10321" s="85"/>
      <x:c r="B10321" s="86"/>
    </x:row>
    <x:row r="10322">
      <x:c r="A10322" s="85"/>
      <x:c r="B10322" s="86"/>
    </x:row>
    <x:row r="10323">
      <x:c r="A10323" s="85"/>
      <x:c r="B10323" s="86"/>
    </x:row>
    <x:row r="10324">
      <x:c r="A10324" s="85"/>
      <x:c r="B10324" s="86"/>
    </x:row>
    <x:row r="10325">
      <x:c r="A10325" s="85"/>
      <x:c r="B10325" s="86"/>
    </x:row>
    <x:row r="10326">
      <x:c r="A10326" s="85"/>
      <x:c r="B10326" s="86"/>
    </x:row>
    <x:row r="10327">
      <x:c r="A10327" s="85"/>
      <x:c r="B10327" s="86"/>
    </x:row>
    <x:row r="10328">
      <x:c r="A10328" s="85"/>
      <x:c r="B10328" s="86"/>
    </x:row>
    <x:row r="10329">
      <x:c r="A10329" s="85"/>
      <x:c r="B10329" s="86"/>
    </x:row>
    <x:row r="10330">
      <x:c r="A10330" s="85"/>
      <x:c r="B10330" s="86"/>
    </x:row>
    <x:row r="10331">
      <x:c r="A10331" s="85"/>
      <x:c r="B10331" s="86"/>
    </x:row>
    <x:row r="10332">
      <x:c r="A10332" s="85"/>
      <x:c r="B10332" s="86"/>
    </x:row>
    <x:row r="10333">
      <x:c r="A10333" s="85"/>
      <x:c r="B10333" s="86"/>
    </x:row>
    <x:row r="10334">
      <x:c r="A10334" s="85"/>
      <x:c r="B10334" s="86"/>
    </x:row>
    <x:row r="10335">
      <x:c r="A10335" s="85"/>
      <x:c r="B10335" s="86"/>
    </x:row>
    <x:row r="10336">
      <x:c r="A10336" s="85"/>
      <x:c r="B10336" s="86"/>
    </x:row>
    <x:row r="10337">
      <x:c r="A10337" s="85"/>
      <x:c r="B10337" s="86"/>
    </x:row>
    <x:row r="10338">
      <x:c r="A10338" s="85"/>
      <x:c r="B10338" s="86"/>
    </x:row>
    <x:row r="10339">
      <x:c r="A10339" s="85"/>
      <x:c r="B10339" s="86"/>
    </x:row>
    <x:row r="10340">
      <x:c r="A10340" s="85"/>
      <x:c r="B10340" s="86"/>
    </x:row>
    <x:row r="10341">
      <x:c r="A10341" s="85"/>
      <x:c r="B10341" s="86"/>
    </x:row>
    <x:row r="10342">
      <x:c r="A10342" s="85"/>
      <x:c r="B10342" s="86"/>
    </x:row>
    <x:row r="10343">
      <x:c r="A10343" s="85"/>
      <x:c r="B10343" s="86"/>
    </x:row>
    <x:row r="10344">
      <x:c r="A10344" s="85"/>
      <x:c r="B10344" s="86"/>
    </x:row>
    <x:row r="10345">
      <x:c r="A10345" s="85"/>
      <x:c r="B10345" s="86"/>
    </x:row>
    <x:row r="10346">
      <x:c r="A10346" s="85"/>
      <x:c r="B10346" s="86"/>
    </x:row>
    <x:row r="10347">
      <x:c r="A10347" s="85"/>
      <x:c r="B10347" s="86"/>
    </x:row>
    <x:row r="10348">
      <x:c r="A10348" s="85"/>
      <x:c r="B10348" s="86"/>
    </x:row>
    <x:row r="10349">
      <x:c r="A10349" s="85"/>
      <x:c r="B10349" s="86"/>
    </x:row>
    <x:row r="10350">
      <x:c r="A10350" s="85"/>
      <x:c r="B10350" s="86"/>
    </x:row>
    <x:row r="10351">
      <x:c r="A10351" s="85"/>
      <x:c r="B10351" s="86"/>
    </x:row>
    <x:row r="10352">
      <x:c r="A10352" s="85"/>
      <x:c r="B10352" s="86"/>
    </x:row>
    <x:row r="10353">
      <x:c r="A10353" s="85"/>
      <x:c r="B10353" s="86"/>
    </x:row>
    <x:row r="10354">
      <x:c r="A10354" s="85"/>
      <x:c r="B10354" s="86"/>
    </x:row>
    <x:row r="10355">
      <x:c r="A10355" s="85"/>
      <x:c r="B10355" s="86"/>
    </x:row>
    <x:row r="10356">
      <x:c r="A10356" s="85"/>
      <x:c r="B10356" s="86"/>
    </x:row>
    <x:row r="10357">
      <x:c r="A10357" s="85"/>
      <x:c r="B10357" s="86"/>
    </x:row>
    <x:row r="10358">
      <x:c r="A10358" s="85"/>
      <x:c r="B10358" s="86"/>
    </x:row>
    <x:row r="10359">
      <x:c r="A10359" s="85"/>
      <x:c r="B10359" s="86"/>
    </x:row>
    <x:row r="10360">
      <x:c r="A10360" s="85"/>
      <x:c r="B10360" s="86"/>
    </x:row>
    <x:row r="10361">
      <x:c r="A10361" s="85"/>
      <x:c r="B10361" s="86"/>
    </x:row>
    <x:row r="10362">
      <x:c r="A10362" s="85"/>
      <x:c r="B10362" s="86"/>
    </x:row>
    <x:row r="10363">
      <x:c r="A10363" s="85"/>
      <x:c r="B10363" s="86"/>
    </x:row>
    <x:row r="10364">
      <x:c r="A10364" s="85"/>
      <x:c r="B10364" s="86"/>
    </x:row>
    <x:row r="10365">
      <x:c r="A10365" s="85"/>
      <x:c r="B10365" s="86"/>
    </x:row>
    <x:row r="10366">
      <x:c r="A10366" s="85"/>
      <x:c r="B10366" s="86"/>
    </x:row>
    <x:row r="10367">
      <x:c r="A10367" s="85"/>
      <x:c r="B10367" s="86"/>
    </x:row>
    <x:row r="10368">
      <x:c r="A10368" s="85"/>
      <x:c r="B10368" s="86"/>
    </x:row>
    <x:row r="10369">
      <x:c r="A10369" s="85"/>
      <x:c r="B10369" s="86"/>
    </x:row>
    <x:row r="10370">
      <x:c r="A10370" s="85"/>
      <x:c r="B10370" s="86"/>
    </x:row>
    <x:row r="10371">
      <x:c r="A10371" s="85"/>
      <x:c r="B10371" s="86"/>
    </x:row>
    <x:row r="10372">
      <x:c r="A10372" s="85"/>
      <x:c r="B10372" s="86"/>
    </x:row>
    <x:row r="10373">
      <x:c r="A10373" s="85"/>
      <x:c r="B10373" s="86"/>
    </x:row>
    <x:row r="10374">
      <x:c r="A10374" s="85"/>
      <x:c r="B10374" s="86"/>
    </x:row>
    <x:row r="10375">
      <x:c r="A10375" s="85"/>
      <x:c r="B10375" s="86"/>
    </x:row>
    <x:row r="10376">
      <x:c r="A10376" s="85"/>
      <x:c r="B10376" s="86"/>
    </x:row>
    <x:row r="10377">
      <x:c r="A10377" s="85"/>
      <x:c r="B10377" s="86"/>
    </x:row>
    <x:row r="10378">
      <x:c r="A10378" s="85"/>
      <x:c r="B10378" s="86"/>
    </x:row>
    <x:row r="10379">
      <x:c r="A10379" s="85"/>
      <x:c r="B10379" s="86"/>
    </x:row>
    <x:row r="10380">
      <x:c r="A10380" s="85"/>
      <x:c r="B10380" s="86"/>
    </x:row>
    <x:row r="10381">
      <x:c r="A10381" s="85"/>
      <x:c r="B10381" s="86"/>
    </x:row>
    <x:row r="10382">
      <x:c r="A10382" s="85"/>
      <x:c r="B10382" s="86"/>
    </x:row>
    <x:row r="10383">
      <x:c r="A10383" s="85"/>
      <x:c r="B10383" s="86"/>
    </x:row>
    <x:row r="10384">
      <x:c r="A10384" s="85"/>
      <x:c r="B10384" s="86"/>
    </x:row>
    <x:row r="10385">
      <x:c r="A10385" s="85"/>
      <x:c r="B10385" s="86"/>
    </x:row>
    <x:row r="10386">
      <x:c r="A10386" s="85"/>
      <x:c r="B10386" s="86"/>
    </x:row>
    <x:row r="10387">
      <x:c r="A10387" s="85"/>
      <x:c r="B10387" s="86"/>
    </x:row>
    <x:row r="10388">
      <x:c r="A10388" s="85"/>
      <x:c r="B10388" s="86"/>
    </x:row>
    <x:row r="10389">
      <x:c r="A10389" s="85"/>
      <x:c r="B10389" s="86"/>
    </x:row>
    <x:row r="10390">
      <x:c r="A10390" s="85"/>
      <x:c r="B10390" s="86"/>
    </x:row>
    <x:row r="10391">
      <x:c r="A10391" s="85"/>
      <x:c r="B10391" s="86"/>
    </x:row>
    <x:row r="10392">
      <x:c r="A10392" s="85"/>
      <x:c r="B10392" s="86"/>
    </x:row>
    <x:row r="10393">
      <x:c r="A10393" s="85"/>
      <x:c r="B10393" s="86"/>
    </x:row>
    <x:row r="10394">
      <x:c r="A10394" s="85"/>
      <x:c r="B10394" s="86"/>
    </x:row>
    <x:row r="10395">
      <x:c r="A10395" s="85"/>
      <x:c r="B10395" s="86"/>
    </x:row>
    <x:row r="10396">
      <x:c r="A10396" s="85"/>
      <x:c r="B10396" s="86"/>
    </x:row>
    <x:row r="10397">
      <x:c r="A10397" s="85"/>
      <x:c r="B10397" s="86"/>
    </x:row>
    <x:row r="10398">
      <x:c r="A10398" s="85"/>
      <x:c r="B10398" s="86"/>
    </x:row>
    <x:row r="10399">
      <x:c r="A10399" s="85"/>
      <x:c r="B10399" s="86"/>
    </x:row>
    <x:row r="10400">
      <x:c r="A10400" s="85"/>
      <x:c r="B10400" s="86"/>
    </x:row>
    <x:row r="10401">
      <x:c r="A10401" s="85"/>
      <x:c r="B10401" s="86"/>
    </x:row>
    <x:row r="10402">
      <x:c r="A10402" s="85"/>
      <x:c r="B10402" s="86"/>
    </x:row>
    <x:row r="10403">
      <x:c r="A10403" s="85"/>
      <x:c r="B10403" s="86"/>
    </x:row>
    <x:row r="10404">
      <x:c r="A10404" s="85"/>
      <x:c r="B10404" s="86"/>
    </x:row>
    <x:row r="10405">
      <x:c r="A10405" s="85"/>
      <x:c r="B10405" s="86"/>
    </x:row>
    <x:row r="10406">
      <x:c r="A10406" s="85"/>
      <x:c r="B10406" s="86"/>
    </x:row>
    <x:row r="10407">
      <x:c r="A10407" s="85"/>
      <x:c r="B10407" s="86"/>
    </x:row>
    <x:row r="10408">
      <x:c r="A10408" s="85"/>
      <x:c r="B10408" s="86"/>
    </x:row>
    <x:row r="10409">
      <x:c r="A10409" s="85"/>
      <x:c r="B10409" s="86"/>
    </x:row>
    <x:row r="10410">
      <x:c r="A10410" s="85"/>
      <x:c r="B10410" s="86"/>
    </x:row>
    <x:row r="10411">
      <x:c r="A10411" s="85"/>
      <x:c r="B10411" s="86"/>
    </x:row>
    <x:row r="10412">
      <x:c r="A10412" s="85"/>
      <x:c r="B10412" s="86"/>
    </x:row>
    <x:row r="10413">
      <x:c r="A10413" s="85"/>
      <x:c r="B10413" s="86"/>
    </x:row>
    <x:row r="10414">
      <x:c r="A10414" s="85"/>
      <x:c r="B10414" s="86"/>
    </x:row>
    <x:row r="10415">
      <x:c r="A10415" s="85"/>
      <x:c r="B10415" s="86"/>
    </x:row>
    <x:row r="10416">
      <x:c r="A10416" s="85"/>
      <x:c r="B10416" s="86"/>
    </x:row>
    <x:row r="10417">
      <x:c r="A10417" s="85"/>
      <x:c r="B10417" s="86"/>
    </x:row>
    <x:row r="10418">
      <x:c r="A10418" s="85"/>
      <x:c r="B10418" s="86"/>
    </x:row>
    <x:row r="10419">
      <x:c r="A10419" s="85"/>
      <x:c r="B10419" s="86"/>
    </x:row>
    <x:row r="10420">
      <x:c r="A10420" s="85"/>
      <x:c r="B10420" s="86"/>
    </x:row>
    <x:row r="10421">
      <x:c r="A10421" s="85"/>
      <x:c r="B10421" s="86"/>
    </x:row>
    <x:row r="10422">
      <x:c r="A10422" s="85"/>
      <x:c r="B10422" s="86"/>
    </x:row>
    <x:row r="10423">
      <x:c r="A10423" s="85"/>
      <x:c r="B10423" s="86"/>
    </x:row>
    <x:row r="10424">
      <x:c r="A10424" s="85"/>
      <x:c r="B10424" s="86"/>
    </x:row>
    <x:row r="10425">
      <x:c r="A10425" s="85"/>
      <x:c r="B10425" s="86"/>
    </x:row>
    <x:row r="10426">
      <x:c r="A10426" s="85"/>
      <x:c r="B10426" s="86"/>
    </x:row>
    <x:row r="10427">
      <x:c r="A10427" s="85"/>
      <x:c r="B10427" s="86"/>
    </x:row>
    <x:row r="10428">
      <x:c r="A10428" s="85"/>
      <x:c r="B10428" s="86"/>
    </x:row>
    <x:row r="10429">
      <x:c r="A10429" s="85"/>
      <x:c r="B10429" s="86"/>
    </x:row>
    <x:row r="10430">
      <x:c r="A10430" s="85"/>
      <x:c r="B10430" s="86"/>
    </x:row>
    <x:row r="10431">
      <x:c r="A10431" s="85"/>
      <x:c r="B10431" s="86"/>
    </x:row>
    <x:row r="10432">
      <x:c r="A10432" s="85"/>
      <x:c r="B10432" s="86"/>
    </x:row>
    <x:row r="10433">
      <x:c r="A10433" s="85"/>
      <x:c r="B10433" s="86"/>
    </x:row>
    <x:row r="10434">
      <x:c r="A10434" s="85"/>
      <x:c r="B10434" s="86"/>
    </x:row>
    <x:row r="10435">
      <x:c r="A10435" s="85"/>
      <x:c r="B10435" s="86"/>
    </x:row>
    <x:row r="10436">
      <x:c r="A10436" s="85"/>
      <x:c r="B10436" s="86"/>
    </x:row>
    <x:row r="10437">
      <x:c r="A10437" s="85"/>
      <x:c r="B10437" s="86"/>
    </x:row>
    <x:row r="10438">
      <x:c r="A10438" s="85"/>
      <x:c r="B10438" s="86"/>
    </x:row>
    <x:row r="10439">
      <x:c r="A10439" s="85"/>
      <x:c r="B10439" s="86"/>
    </x:row>
    <x:row r="10440">
      <x:c r="A10440" s="85"/>
      <x:c r="B10440" s="86"/>
    </x:row>
    <x:row r="10441">
      <x:c r="A10441" s="85"/>
      <x:c r="B10441" s="86"/>
    </x:row>
    <x:row r="10442">
      <x:c r="A10442" s="85"/>
      <x:c r="B10442" s="86"/>
    </x:row>
    <x:row r="10443">
      <x:c r="A10443" s="85"/>
      <x:c r="B10443" s="86"/>
    </x:row>
    <x:row r="10444">
      <x:c r="A10444" s="85"/>
      <x:c r="B10444" s="86"/>
    </x:row>
    <x:row r="10445">
      <x:c r="A10445" s="85"/>
      <x:c r="B10445" s="86"/>
    </x:row>
    <x:row r="10446">
      <x:c r="A10446" s="85"/>
      <x:c r="B10446" s="86"/>
    </x:row>
    <x:row r="10447">
      <x:c r="A10447" s="85"/>
      <x:c r="B10447" s="86"/>
    </x:row>
    <x:row r="10448">
      <x:c r="A10448" s="85"/>
      <x:c r="B10448" s="86"/>
    </x:row>
    <x:row r="10449">
      <x:c r="A10449" s="85"/>
      <x:c r="B10449" s="86"/>
    </x:row>
    <x:row r="10450">
      <x:c r="A10450" s="85"/>
      <x:c r="B10450" s="86"/>
    </x:row>
    <x:row r="10451">
      <x:c r="A10451" s="85"/>
      <x:c r="B10451" s="86"/>
    </x:row>
    <x:row r="10452">
      <x:c r="A10452" s="85"/>
      <x:c r="B10452" s="86"/>
    </x:row>
    <x:row r="10453">
      <x:c r="A10453" s="85"/>
      <x:c r="B10453" s="86"/>
    </x:row>
    <x:row r="10454">
      <x:c r="A10454" s="85"/>
      <x:c r="B10454" s="86"/>
    </x:row>
    <x:row r="10455">
      <x:c r="A10455" s="85"/>
      <x:c r="B10455" s="86"/>
    </x:row>
    <x:row r="10456">
      <x:c r="A10456" s="85"/>
      <x:c r="B10456" s="86"/>
    </x:row>
    <x:row r="10457">
      <x:c r="A10457" s="85"/>
      <x:c r="B10457" s="86"/>
    </x:row>
    <x:row r="10458">
      <x:c r="A10458" s="85"/>
      <x:c r="B10458" s="86"/>
    </x:row>
    <x:row r="10459">
      <x:c r="A10459" s="85"/>
      <x:c r="B10459" s="86"/>
    </x:row>
    <x:row r="10460">
      <x:c r="A10460" s="85"/>
      <x:c r="B10460" s="86"/>
    </x:row>
    <x:row r="10461">
      <x:c r="A10461" s="85"/>
      <x:c r="B10461" s="86"/>
    </x:row>
    <x:row r="10462">
      <x:c r="A10462" s="85"/>
      <x:c r="B10462" s="86"/>
    </x:row>
    <x:row r="10463">
      <x:c r="A10463" s="85"/>
      <x:c r="B10463" s="86"/>
    </x:row>
    <x:row r="10464">
      <x:c r="A10464" s="85"/>
      <x:c r="B10464" s="86"/>
    </x:row>
    <x:row r="10465">
      <x:c r="A10465" s="85"/>
      <x:c r="B10465" s="86"/>
    </x:row>
    <x:row r="10466">
      <x:c r="A10466" s="85"/>
      <x:c r="B10466" s="86"/>
    </x:row>
    <x:row r="10467">
      <x:c r="A10467" s="85"/>
      <x:c r="B10467" s="86"/>
    </x:row>
    <x:row r="10468">
      <x:c r="A10468" s="85"/>
      <x:c r="B10468" s="86"/>
    </x:row>
    <x:row r="10469">
      <x:c r="A10469" s="85"/>
      <x:c r="B10469" s="86"/>
    </x:row>
    <x:row r="10470">
      <x:c r="A10470" s="85"/>
      <x:c r="B10470" s="86"/>
    </x:row>
    <x:row r="10471">
      <x:c r="A10471" s="85"/>
      <x:c r="B10471" s="86"/>
    </x:row>
    <x:row r="10472">
      <x:c r="A10472" s="85"/>
      <x:c r="B10472" s="86"/>
    </x:row>
    <x:row r="10473">
      <x:c r="A10473" s="85"/>
      <x:c r="B10473" s="86"/>
    </x:row>
    <x:row r="10474">
      <x:c r="A10474" s="85"/>
      <x:c r="B10474" s="86"/>
    </x:row>
    <x:row r="10475">
      <x:c r="A10475" s="85"/>
      <x:c r="B10475" s="86"/>
    </x:row>
    <x:row r="10476">
      <x:c r="A10476" s="85"/>
      <x:c r="B10476" s="86"/>
    </x:row>
    <x:row r="10477">
      <x:c r="A10477" s="85"/>
      <x:c r="B10477" s="86"/>
    </x:row>
    <x:row r="10478">
      <x:c r="A10478" s="85"/>
      <x:c r="B10478" s="86"/>
    </x:row>
    <x:row r="10479">
      <x:c r="A10479" s="85"/>
      <x:c r="B10479" s="86"/>
    </x:row>
    <x:row r="10480">
      <x:c r="A10480" s="85"/>
      <x:c r="B10480" s="86"/>
    </x:row>
    <x:row r="10481">
      <x:c r="A10481" s="85"/>
      <x:c r="B10481" s="86"/>
    </x:row>
    <x:row r="10482">
      <x:c r="A10482" s="85"/>
      <x:c r="B10482" s="86"/>
    </x:row>
    <x:row r="10483">
      <x:c r="A10483" s="85"/>
      <x:c r="B10483" s="86"/>
    </x:row>
    <x:row r="10484">
      <x:c r="A10484" s="85"/>
      <x:c r="B10484" s="86"/>
    </x:row>
    <x:row r="10485">
      <x:c r="A10485" s="85"/>
      <x:c r="B10485" s="86"/>
    </x:row>
    <x:row r="10486">
      <x:c r="A10486" s="85"/>
      <x:c r="B10486" s="86"/>
    </x:row>
    <x:row r="10487">
      <x:c r="A10487" s="85"/>
      <x:c r="B10487" s="86"/>
    </x:row>
    <x:row r="10488">
      <x:c r="A10488" s="85"/>
      <x:c r="B10488" s="86"/>
    </x:row>
    <x:row r="10489">
      <x:c r="A10489" s="85"/>
      <x:c r="B10489" s="86"/>
    </x:row>
    <x:row r="10490">
      <x:c r="A10490" s="85"/>
      <x:c r="B10490" s="86"/>
    </x:row>
    <x:row r="10491">
      <x:c r="A10491" s="85"/>
      <x:c r="B10491" s="86"/>
    </x:row>
    <x:row r="10492">
      <x:c r="A10492" s="85"/>
      <x:c r="B10492" s="86"/>
    </x:row>
    <x:row r="10493">
      <x:c r="A10493" s="85"/>
      <x:c r="B10493" s="86"/>
    </x:row>
    <x:row r="10494">
      <x:c r="A10494" s="85"/>
      <x:c r="B10494" s="86"/>
    </x:row>
    <x:row r="10495">
      <x:c r="A10495" s="85"/>
      <x:c r="B10495" s="86"/>
    </x:row>
    <x:row r="10496">
      <x:c r="A10496" s="85"/>
      <x:c r="B10496" s="86"/>
    </x:row>
    <x:row r="10497">
      <x:c r="A10497" s="85"/>
      <x:c r="B10497" s="86"/>
    </x:row>
    <x:row r="10498">
      <x:c r="A10498" s="85"/>
      <x:c r="B10498" s="86"/>
    </x:row>
    <x:row r="10499">
      <x:c r="A10499" s="85"/>
      <x:c r="B10499" s="86"/>
    </x:row>
    <x:row r="10500">
      <x:c r="A10500" s="85"/>
      <x:c r="B10500" s="86"/>
    </x:row>
    <x:row r="10501">
      <x:c r="A10501" s="85"/>
      <x:c r="B10501" s="86"/>
    </x:row>
    <x:row r="10502">
      <x:c r="A10502" s="85"/>
      <x:c r="B10502" s="86"/>
    </x:row>
    <x:row r="10503">
      <x:c r="A10503" s="85"/>
      <x:c r="B10503" s="86"/>
    </x:row>
    <x:row r="10504">
      <x:c r="A10504" s="85"/>
      <x:c r="B10504" s="86"/>
    </x:row>
    <x:row r="10505">
      <x:c r="A10505" s="85"/>
      <x:c r="B10505" s="86"/>
    </x:row>
    <x:row r="10506">
      <x:c r="A10506" s="85"/>
      <x:c r="B10506" s="86"/>
    </x:row>
    <x:row r="10507">
      <x:c r="A10507" s="85"/>
      <x:c r="B10507" s="86"/>
    </x:row>
    <x:row r="10508">
      <x:c r="A10508" s="85"/>
      <x:c r="B10508" s="86"/>
    </x:row>
    <x:row r="10509">
      <x:c r="A10509" s="85"/>
      <x:c r="B10509" s="86"/>
    </x:row>
    <x:row r="10510">
      <x:c r="A10510" s="85"/>
      <x:c r="B10510" s="86"/>
    </x:row>
    <x:row r="10511">
      <x:c r="A10511" s="85"/>
      <x:c r="B10511" s="86"/>
    </x:row>
    <x:row r="10512">
      <x:c r="A10512" s="85"/>
      <x:c r="B10512" s="86"/>
    </x:row>
    <x:row r="10513">
      <x:c r="A10513" s="85"/>
      <x:c r="B10513" s="86"/>
    </x:row>
    <x:row r="10514">
      <x:c r="A10514" s="85"/>
      <x:c r="B10514" s="86"/>
    </x:row>
    <x:row r="10515">
      <x:c r="A10515" s="85"/>
      <x:c r="B10515" s="86"/>
    </x:row>
    <x:row r="10516">
      <x:c r="A10516" s="85"/>
      <x:c r="B10516" s="86"/>
    </x:row>
    <x:row r="10517">
      <x:c r="A10517" s="85"/>
      <x:c r="B10517" s="86"/>
    </x:row>
    <x:row r="10518">
      <x:c r="A10518" s="85"/>
      <x:c r="B10518" s="86"/>
    </x:row>
    <x:row r="10519">
      <x:c r="A10519" s="85"/>
      <x:c r="B10519" s="86"/>
    </x:row>
    <x:row r="10520">
      <x:c r="A10520" s="85"/>
      <x:c r="B10520" s="86"/>
    </x:row>
    <x:row r="10521">
      <x:c r="A10521" s="85"/>
      <x:c r="B10521" s="86"/>
    </x:row>
    <x:row r="10522">
      <x:c r="A10522" s="85"/>
      <x:c r="B10522" s="86"/>
    </x:row>
    <x:row r="10523">
      <x:c r="A10523" s="85"/>
      <x:c r="B10523" s="86"/>
    </x:row>
    <x:row r="10524">
      <x:c r="A10524" s="85"/>
      <x:c r="B10524" s="86"/>
    </x:row>
    <x:row r="10525">
      <x:c r="A10525" s="85"/>
      <x:c r="B10525" s="86"/>
    </x:row>
    <x:row r="10526">
      <x:c r="A10526" s="85"/>
      <x:c r="B10526" s="86"/>
    </x:row>
    <x:row r="10527">
      <x:c r="A10527" s="85"/>
      <x:c r="B10527" s="86"/>
    </x:row>
    <x:row r="10528">
      <x:c r="A10528" s="85"/>
      <x:c r="B10528" s="86"/>
    </x:row>
    <x:row r="10529">
      <x:c r="A10529" s="85"/>
      <x:c r="B10529" s="86"/>
    </x:row>
    <x:row r="10530">
      <x:c r="A10530" s="85"/>
      <x:c r="B10530" s="86"/>
    </x:row>
    <x:row r="10531">
      <x:c r="A10531" s="85"/>
      <x:c r="B10531" s="86"/>
    </x:row>
    <x:row r="10532">
      <x:c r="A10532" s="85"/>
      <x:c r="B10532" s="86"/>
    </x:row>
    <x:row r="10533">
      <x:c r="A10533" s="85"/>
      <x:c r="B10533" s="86"/>
    </x:row>
    <x:row r="10534">
      <x:c r="A10534" s="85"/>
      <x:c r="B10534" s="86"/>
    </x:row>
    <x:row r="10535">
      <x:c r="A10535" s="85"/>
      <x:c r="B10535" s="86"/>
    </x:row>
    <x:row r="10536">
      <x:c r="A10536" s="85"/>
      <x:c r="B10536" s="86"/>
    </x:row>
    <x:row r="10537">
      <x:c r="A10537" s="85"/>
      <x:c r="B10537" s="86"/>
    </x:row>
    <x:row r="10538">
      <x:c r="A10538" s="85"/>
      <x:c r="B10538" s="86"/>
    </x:row>
    <x:row r="10539">
      <x:c r="A10539" s="85"/>
      <x:c r="B10539" s="86"/>
    </x:row>
    <x:row r="10540">
      <x:c r="A10540" s="85"/>
      <x:c r="B10540" s="86"/>
    </x:row>
    <x:row r="10541">
      <x:c r="A10541" s="85"/>
      <x:c r="B10541" s="86"/>
    </x:row>
    <x:row r="10542">
      <x:c r="A10542" s="85"/>
      <x:c r="B10542" s="86"/>
    </x:row>
    <x:row r="10543">
      <x:c r="A10543" s="85"/>
      <x:c r="B10543" s="86"/>
    </x:row>
    <x:row r="10544">
      <x:c r="A10544" s="85"/>
      <x:c r="B10544" s="86"/>
    </x:row>
    <x:row r="10545">
      <x:c r="A10545" s="85"/>
      <x:c r="B10545" s="86"/>
    </x:row>
    <x:row r="10546">
      <x:c r="A10546" s="85"/>
      <x:c r="B10546" s="86"/>
    </x:row>
    <x:row r="10547">
      <x:c r="A10547" s="85"/>
      <x:c r="B10547" s="86"/>
    </x:row>
    <x:row r="10548">
      <x:c r="A10548" s="85"/>
      <x:c r="B10548" s="86"/>
    </x:row>
    <x:row r="10549">
      <x:c r="A10549" s="85"/>
      <x:c r="B10549" s="86"/>
    </x:row>
    <x:row r="10550">
      <x:c r="A10550" s="85"/>
      <x:c r="B10550" s="86"/>
    </x:row>
    <x:row r="10551">
      <x:c r="A10551" s="85"/>
      <x:c r="B10551" s="86"/>
    </x:row>
    <x:row r="10552">
      <x:c r="A10552" s="85"/>
      <x:c r="B10552" s="86"/>
    </x:row>
    <x:row r="10553">
      <x:c r="A10553" s="85"/>
      <x:c r="B10553" s="86"/>
    </x:row>
    <x:row r="10554">
      <x:c r="A10554" s="85"/>
      <x:c r="B10554" s="86"/>
    </x:row>
    <x:row r="10555">
      <x:c r="A10555" s="85"/>
      <x:c r="B10555" s="86"/>
    </x:row>
    <x:row r="10556">
      <x:c r="A10556" s="85"/>
      <x:c r="B10556" s="86"/>
    </x:row>
    <x:row r="10557">
      <x:c r="A10557" s="85"/>
      <x:c r="B10557" s="86"/>
    </x:row>
    <x:row r="10558">
      <x:c r="A10558" s="85"/>
      <x:c r="B10558" s="86"/>
    </x:row>
    <x:row r="10559">
      <x:c r="A10559" s="85"/>
      <x:c r="B10559" s="86"/>
    </x:row>
    <x:row r="10560">
      <x:c r="A10560" s="85"/>
      <x:c r="B10560" s="86"/>
    </x:row>
    <x:row r="10561">
      <x:c r="A10561" s="85"/>
      <x:c r="B10561" s="86"/>
    </x:row>
    <x:row r="10562">
      <x:c r="A10562" s="85"/>
      <x:c r="B10562" s="86"/>
    </x:row>
    <x:row r="10563">
      <x:c r="A10563" s="85"/>
      <x:c r="B10563" s="86"/>
    </x:row>
    <x:row r="10564">
      <x:c r="A10564" s="85"/>
      <x:c r="B10564" s="86"/>
    </x:row>
    <x:row r="10565">
      <x:c r="A10565" s="85"/>
      <x:c r="B10565" s="86"/>
    </x:row>
    <x:row r="10566">
      <x:c r="A10566" s="85"/>
      <x:c r="B10566" s="86"/>
    </x:row>
    <x:row r="10567">
      <x:c r="A10567" s="85"/>
      <x:c r="B10567" s="86"/>
    </x:row>
    <x:row r="10568">
      <x:c r="A10568" s="85"/>
      <x:c r="B10568" s="86"/>
    </x:row>
    <x:row r="10569">
      <x:c r="A10569" s="85"/>
      <x:c r="B10569" s="86"/>
    </x:row>
    <x:row r="10570">
      <x:c r="A10570" s="85"/>
      <x:c r="B10570" s="86"/>
    </x:row>
    <x:row r="10571">
      <x:c r="A10571" s="85"/>
      <x:c r="B10571" s="86"/>
    </x:row>
    <x:row r="10572">
      <x:c r="A10572" s="85"/>
      <x:c r="B10572" s="86"/>
    </x:row>
    <x:row r="10573">
      <x:c r="A10573" s="85"/>
      <x:c r="B10573" s="86"/>
    </x:row>
    <x:row r="10574">
      <x:c r="A10574" s="85"/>
      <x:c r="B10574" s="86"/>
    </x:row>
    <x:row r="10575">
      <x:c r="A10575" s="85"/>
      <x:c r="B10575" s="86"/>
    </x:row>
    <x:row r="10576">
      <x:c r="A10576" s="85"/>
      <x:c r="B10576" s="86"/>
    </x:row>
    <x:row r="10577">
      <x:c r="A10577" s="85"/>
      <x:c r="B10577" s="86"/>
    </x:row>
    <x:row r="10578">
      <x:c r="A10578" s="85"/>
      <x:c r="B10578" s="86"/>
    </x:row>
    <x:row r="10579">
      <x:c r="A10579" s="85"/>
      <x:c r="B10579" s="86"/>
    </x:row>
    <x:row r="10580">
      <x:c r="A10580" s="85"/>
      <x:c r="B10580" s="86"/>
    </x:row>
    <x:row r="10581">
      <x:c r="A10581" s="85"/>
      <x:c r="B10581" s="86"/>
    </x:row>
    <x:row r="10582">
      <x:c r="A10582" s="85"/>
      <x:c r="B10582" s="86"/>
    </x:row>
    <x:row r="10583">
      <x:c r="A10583" s="85"/>
      <x:c r="B10583" s="86"/>
    </x:row>
    <x:row r="10584">
      <x:c r="A10584" s="85"/>
      <x:c r="B10584" s="86"/>
    </x:row>
    <x:row r="10585">
      <x:c r="A10585" s="85"/>
      <x:c r="B10585" s="86"/>
    </x:row>
    <x:row r="10586">
      <x:c r="A10586" s="85"/>
      <x:c r="B10586" s="86"/>
    </x:row>
    <x:row r="10587">
      <x:c r="A10587" s="85"/>
      <x:c r="B10587" s="86"/>
    </x:row>
    <x:row r="10588">
      <x:c r="A10588" s="85"/>
      <x:c r="B10588" s="86"/>
    </x:row>
    <x:row r="10589">
      <x:c r="A10589" s="85"/>
      <x:c r="B10589" s="86"/>
    </x:row>
    <x:row r="10590">
      <x:c r="A10590" s="85"/>
      <x:c r="B10590" s="86"/>
    </x:row>
    <x:row r="10591">
      <x:c r="A10591" s="85"/>
      <x:c r="B10591" s="86"/>
    </x:row>
    <x:row r="10592">
      <x:c r="A10592" s="85"/>
      <x:c r="B10592" s="86"/>
    </x:row>
    <x:row r="10593">
      <x:c r="A10593" s="85"/>
      <x:c r="B10593" s="86"/>
    </x:row>
    <x:row r="10594">
      <x:c r="A10594" s="85"/>
      <x:c r="B10594" s="86"/>
    </x:row>
    <x:row r="10595">
      <x:c r="A10595" s="85"/>
      <x:c r="B10595" s="86"/>
    </x:row>
    <x:row r="10596">
      <x:c r="A10596" s="85"/>
      <x:c r="B10596" s="86"/>
    </x:row>
    <x:row r="10597">
      <x:c r="A10597" s="85"/>
      <x:c r="B10597" s="86"/>
    </x:row>
    <x:row r="10598">
      <x:c r="A10598" s="85"/>
      <x:c r="B10598" s="86"/>
    </x:row>
    <x:row r="10599">
      <x:c r="A10599" s="85"/>
      <x:c r="B10599" s="86"/>
    </x:row>
    <x:row r="10600">
      <x:c r="A10600" s="85"/>
      <x:c r="B10600" s="86"/>
    </x:row>
    <x:row r="10601">
      <x:c r="A10601" s="85"/>
      <x:c r="B10601" s="86"/>
    </x:row>
    <x:row r="10602">
      <x:c r="A10602" s="85"/>
      <x:c r="B10602" s="86"/>
    </x:row>
    <x:row r="10603">
      <x:c r="A10603" s="85"/>
      <x:c r="B10603" s="86"/>
    </x:row>
    <x:row r="10604">
      <x:c r="A10604" s="85"/>
      <x:c r="B10604" s="86"/>
    </x:row>
    <x:row r="10605">
      <x:c r="A10605" s="85"/>
      <x:c r="B10605" s="86"/>
    </x:row>
    <x:row r="10606">
      <x:c r="A10606" s="85"/>
      <x:c r="B10606" s="86"/>
    </x:row>
    <x:row r="10607">
      <x:c r="A10607" s="85"/>
      <x:c r="B10607" s="86"/>
    </x:row>
    <x:row r="10608">
      <x:c r="A10608" s="85"/>
      <x:c r="B10608" s="86"/>
    </x:row>
    <x:row r="10609">
      <x:c r="A10609" s="85"/>
      <x:c r="B10609" s="86"/>
    </x:row>
    <x:row r="10610">
      <x:c r="A10610" s="85"/>
      <x:c r="B10610" s="86"/>
    </x:row>
    <x:row r="10611">
      <x:c r="A10611" s="85"/>
      <x:c r="B10611" s="86"/>
    </x:row>
    <x:row r="10612">
      <x:c r="A10612" s="85"/>
      <x:c r="B10612" s="86"/>
    </x:row>
    <x:row r="10613">
      <x:c r="A10613" s="85"/>
      <x:c r="B10613" s="86"/>
    </x:row>
    <x:row r="10614">
      <x:c r="A10614" s="85"/>
      <x:c r="B10614" s="86"/>
    </x:row>
    <x:row r="10615">
      <x:c r="A10615" s="85"/>
      <x:c r="B10615" s="86"/>
    </x:row>
    <x:row r="10616">
      <x:c r="A10616" s="85"/>
      <x:c r="B10616" s="86"/>
    </x:row>
    <x:row r="10617">
      <x:c r="A10617" s="85"/>
      <x:c r="B10617" s="86"/>
    </x:row>
    <x:row r="10618">
      <x:c r="A10618" s="85"/>
      <x:c r="B10618" s="86"/>
    </x:row>
    <x:row r="10619">
      <x:c r="A10619" s="85"/>
      <x:c r="B10619" s="86"/>
    </x:row>
    <x:row r="10620">
      <x:c r="A10620" s="85"/>
      <x:c r="B10620" s="86"/>
    </x:row>
    <x:row r="10621">
      <x:c r="A10621" s="85"/>
      <x:c r="B10621" s="86"/>
    </x:row>
    <x:row r="10622">
      <x:c r="A10622" s="85"/>
      <x:c r="B10622" s="86"/>
    </x:row>
    <x:row r="10623">
      <x:c r="A10623" s="85"/>
      <x:c r="B10623" s="86"/>
    </x:row>
    <x:row r="10624">
      <x:c r="A10624" s="85"/>
      <x:c r="B10624" s="86"/>
    </x:row>
    <x:row r="10625">
      <x:c r="A10625" s="85"/>
      <x:c r="B10625" s="86"/>
    </x:row>
    <x:row r="10626">
      <x:c r="A10626" s="85"/>
      <x:c r="B10626" s="86"/>
    </x:row>
    <x:row r="10627">
      <x:c r="A10627" s="85"/>
      <x:c r="B10627" s="86"/>
    </x:row>
    <x:row r="10628">
      <x:c r="A10628" s="85"/>
      <x:c r="B10628" s="86"/>
    </x:row>
    <x:row r="10629">
      <x:c r="A10629" s="85"/>
      <x:c r="B10629" s="86"/>
    </x:row>
    <x:row r="10630">
      <x:c r="A10630" s="85"/>
      <x:c r="B10630" s="86"/>
    </x:row>
    <x:row r="10631">
      <x:c r="A10631" s="85"/>
      <x:c r="B10631" s="86"/>
    </x:row>
    <x:row r="10632">
      <x:c r="A10632" s="85"/>
      <x:c r="B10632" s="86"/>
    </x:row>
    <x:row r="10633">
      <x:c r="A10633" s="85"/>
      <x:c r="B10633" s="86"/>
    </x:row>
    <x:row r="10634">
      <x:c r="A10634" s="85"/>
      <x:c r="B10634" s="86"/>
    </x:row>
    <x:row r="10635">
      <x:c r="A10635" s="85"/>
      <x:c r="B10635" s="86"/>
    </x:row>
    <x:row r="10636">
      <x:c r="A10636" s="85"/>
      <x:c r="B10636" s="86"/>
    </x:row>
    <x:row r="10637">
      <x:c r="A10637" s="85"/>
      <x:c r="B10637" s="86"/>
    </x:row>
    <x:row r="10638">
      <x:c r="A10638" s="85"/>
      <x:c r="B10638" s="86"/>
    </x:row>
    <x:row r="10639">
      <x:c r="A10639" s="85"/>
      <x:c r="B10639" s="86"/>
    </x:row>
    <x:row r="10640">
      <x:c r="A10640" s="85"/>
      <x:c r="B10640" s="86"/>
    </x:row>
    <x:row r="10641">
      <x:c r="A10641" s="85"/>
      <x:c r="B10641" s="86"/>
    </x:row>
    <x:row r="10642">
      <x:c r="A10642" s="85"/>
      <x:c r="B10642" s="86"/>
    </x:row>
    <x:row r="10643">
      <x:c r="A10643" s="85"/>
      <x:c r="B10643" s="86"/>
    </x:row>
    <x:row r="10644">
      <x:c r="A10644" s="85"/>
      <x:c r="B10644" s="86"/>
    </x:row>
    <x:row r="10645">
      <x:c r="A10645" s="85"/>
      <x:c r="B10645" s="86"/>
    </x:row>
    <x:row r="10646">
      <x:c r="A10646" s="85"/>
      <x:c r="B10646" s="86"/>
    </x:row>
    <x:row r="10647">
      <x:c r="A10647" s="85"/>
      <x:c r="B10647" s="86"/>
    </x:row>
    <x:row r="10648">
      <x:c r="A10648" s="85"/>
      <x:c r="B10648" s="86"/>
    </x:row>
    <x:row r="10649">
      <x:c r="A10649" s="85"/>
      <x:c r="B10649" s="86"/>
    </x:row>
    <x:row r="10650">
      <x:c r="A10650" s="85"/>
      <x:c r="B10650" s="86"/>
    </x:row>
    <x:row r="10651">
      <x:c r="A10651" s="85"/>
      <x:c r="B10651" s="86"/>
    </x:row>
    <x:row r="10652">
      <x:c r="A10652" s="85"/>
      <x:c r="B10652" s="86"/>
    </x:row>
    <x:row r="10653">
      <x:c r="A10653" s="85"/>
      <x:c r="B10653" s="86"/>
    </x:row>
    <x:row r="10654">
      <x:c r="A10654" s="85"/>
      <x:c r="B10654" s="86"/>
    </x:row>
    <x:row r="10655">
      <x:c r="A10655" s="85"/>
      <x:c r="B10655" s="86"/>
    </x:row>
    <x:row r="10656">
      <x:c r="A10656" s="85"/>
      <x:c r="B10656" s="86"/>
    </x:row>
    <x:row r="10657">
      <x:c r="A10657" s="85"/>
      <x:c r="B10657" s="86"/>
    </x:row>
    <x:row r="10658">
      <x:c r="A10658" s="85"/>
      <x:c r="B10658" s="86"/>
    </x:row>
    <x:row r="10659">
      <x:c r="A10659" s="85"/>
      <x:c r="B10659" s="86"/>
    </x:row>
    <x:row r="10660">
      <x:c r="A10660" s="85"/>
      <x:c r="B10660" s="86"/>
    </x:row>
    <x:row r="10661">
      <x:c r="A10661" s="85"/>
      <x:c r="B10661" s="86"/>
    </x:row>
    <x:row r="10662">
      <x:c r="A10662" s="85"/>
      <x:c r="B10662" s="86"/>
    </x:row>
    <x:row r="10663">
      <x:c r="A10663" s="85"/>
      <x:c r="B10663" s="86"/>
    </x:row>
    <x:row r="10664">
      <x:c r="A10664" s="85"/>
      <x:c r="B10664" s="86"/>
    </x:row>
    <x:row r="10665">
      <x:c r="A10665" s="85"/>
      <x:c r="B10665" s="86"/>
    </x:row>
    <x:row r="10666">
      <x:c r="A10666" s="85"/>
      <x:c r="B10666" s="86"/>
    </x:row>
    <x:row r="10667">
      <x:c r="A10667" s="85"/>
      <x:c r="B10667" s="86"/>
    </x:row>
    <x:row r="10668">
      <x:c r="A10668" s="85"/>
      <x:c r="B10668" s="86"/>
    </x:row>
    <x:row r="10669">
      <x:c r="A10669" s="85"/>
      <x:c r="B10669" s="86"/>
    </x:row>
    <x:row r="10670">
      <x:c r="A10670" s="85"/>
      <x:c r="B10670" s="86"/>
    </x:row>
    <x:row r="10671">
      <x:c r="A10671" s="85"/>
      <x:c r="B10671" s="86"/>
    </x:row>
    <x:row r="10672">
      <x:c r="A10672" s="85"/>
      <x:c r="B10672" s="86"/>
    </x:row>
    <x:row r="10673">
      <x:c r="A10673" s="85"/>
      <x:c r="B10673" s="86"/>
    </x:row>
    <x:row r="10674">
      <x:c r="A10674" s="85"/>
      <x:c r="B10674" s="86"/>
    </x:row>
    <x:row r="10675">
      <x:c r="A10675" s="85"/>
      <x:c r="B10675" s="86"/>
    </x:row>
    <x:row r="10676">
      <x:c r="A10676" s="85"/>
      <x:c r="B10676" s="86"/>
    </x:row>
    <x:row r="10677">
      <x:c r="A10677" s="85"/>
      <x:c r="B10677" s="86"/>
    </x:row>
    <x:row r="10678">
      <x:c r="A10678" s="85"/>
      <x:c r="B10678" s="86"/>
    </x:row>
    <x:row r="10679">
      <x:c r="A10679" s="85"/>
      <x:c r="B10679" s="86"/>
    </x:row>
    <x:row r="10680">
      <x:c r="A10680" s="85"/>
      <x:c r="B10680" s="86"/>
    </x:row>
    <x:row r="10681">
      <x:c r="A10681" s="85"/>
      <x:c r="B10681" s="86"/>
    </x:row>
    <x:row r="10682">
      <x:c r="A10682" s="85"/>
      <x:c r="B10682" s="86"/>
    </x:row>
    <x:row r="10683">
      <x:c r="A10683" s="85"/>
      <x:c r="B10683" s="86"/>
    </x:row>
    <x:row r="10684">
      <x:c r="A10684" s="85"/>
      <x:c r="B10684" s="86"/>
    </x:row>
    <x:row r="10685">
      <x:c r="A10685" s="85"/>
      <x:c r="B10685" s="86"/>
    </x:row>
    <x:row r="10686">
      <x:c r="A10686" s="85"/>
      <x:c r="B10686" s="86"/>
    </x:row>
    <x:row r="10687">
      <x:c r="A10687" s="85"/>
      <x:c r="B10687" s="86"/>
    </x:row>
    <x:row r="10688">
      <x:c r="A10688" s="85"/>
      <x:c r="B10688" s="86"/>
    </x:row>
    <x:row r="10689">
      <x:c r="A10689" s="85"/>
      <x:c r="B10689" s="86"/>
    </x:row>
    <x:row r="10690">
      <x:c r="A10690" s="85"/>
      <x:c r="B10690" s="86"/>
    </x:row>
    <x:row r="10691">
      <x:c r="A10691" s="85"/>
      <x:c r="B10691" s="86"/>
    </x:row>
    <x:row r="10692">
      <x:c r="A10692" s="85"/>
      <x:c r="B10692" s="86"/>
    </x:row>
    <x:row r="10693">
      <x:c r="A10693" s="85"/>
      <x:c r="B10693" s="86"/>
    </x:row>
    <x:row r="10694">
      <x:c r="A10694" s="85"/>
      <x:c r="B10694" s="86"/>
    </x:row>
    <x:row r="10695">
      <x:c r="A10695" s="85"/>
      <x:c r="B10695" s="86"/>
    </x:row>
    <x:row r="10696">
      <x:c r="A10696" s="85"/>
      <x:c r="B10696" s="86"/>
    </x:row>
    <x:row r="10697">
      <x:c r="A10697" s="85"/>
      <x:c r="B10697" s="86"/>
    </x:row>
    <x:row r="10698">
      <x:c r="A10698" s="85"/>
      <x:c r="B10698" s="86"/>
    </x:row>
    <x:row r="10699">
      <x:c r="A10699" s="85"/>
      <x:c r="B10699" s="86"/>
    </x:row>
    <x:row r="10700">
      <x:c r="A10700" s="85"/>
      <x:c r="B10700" s="86"/>
    </x:row>
    <x:row r="10701">
      <x:c r="A10701" s="85"/>
      <x:c r="B10701" s="86"/>
    </x:row>
    <x:row r="10702">
      <x:c r="A10702" s="85"/>
      <x:c r="B10702" s="86"/>
    </x:row>
    <x:row r="10703">
      <x:c r="A10703" s="85"/>
      <x:c r="B10703" s="86"/>
    </x:row>
    <x:row r="10704">
      <x:c r="A10704" s="85"/>
      <x:c r="B10704" s="86"/>
    </x:row>
    <x:row r="10705">
      <x:c r="A10705" s="85"/>
      <x:c r="B10705" s="86"/>
    </x:row>
    <x:row r="10706">
      <x:c r="A10706" s="85"/>
      <x:c r="B10706" s="86"/>
    </x:row>
    <x:row r="10707">
      <x:c r="A10707" s="85"/>
      <x:c r="B10707" s="86"/>
    </x:row>
    <x:row r="10708">
      <x:c r="A10708" s="85"/>
      <x:c r="B10708" s="86"/>
    </x:row>
    <x:row r="10709">
      <x:c r="A10709" s="85"/>
      <x:c r="B10709" s="86"/>
    </x:row>
    <x:row r="10710">
      <x:c r="A10710" s="85"/>
      <x:c r="B10710" s="86"/>
    </x:row>
    <x:row r="10711">
      <x:c r="A10711" s="85"/>
      <x:c r="B10711" s="86"/>
    </x:row>
    <x:row r="10712">
      <x:c r="A10712" s="85"/>
      <x:c r="B10712" s="86"/>
    </x:row>
    <x:row r="10713">
      <x:c r="A10713" s="85"/>
      <x:c r="B10713" s="86"/>
    </x:row>
    <x:row r="10714">
      <x:c r="A10714" s="85"/>
      <x:c r="B10714" s="86"/>
    </x:row>
    <x:row r="10715">
      <x:c r="A10715" s="85"/>
      <x:c r="B10715" s="86"/>
    </x:row>
    <x:row r="10716">
      <x:c r="A10716" s="85"/>
      <x:c r="B10716" s="86"/>
    </x:row>
    <x:row r="10717">
      <x:c r="A10717" s="85"/>
      <x:c r="B10717" s="86"/>
    </x:row>
    <x:row r="10718">
      <x:c r="A10718" s="85"/>
      <x:c r="B10718" s="86"/>
    </x:row>
    <x:row r="10719">
      <x:c r="A10719" s="85"/>
      <x:c r="B10719" s="86"/>
    </x:row>
    <x:row r="10720">
      <x:c r="A10720" s="85"/>
      <x:c r="B10720" s="86"/>
    </x:row>
    <x:row r="10721">
      <x:c r="A10721" s="85"/>
      <x:c r="B10721" s="86"/>
    </x:row>
    <x:row r="10722">
      <x:c r="A10722" s="85"/>
      <x:c r="B10722" s="86"/>
    </x:row>
    <x:row r="10723">
      <x:c r="A10723" s="85"/>
      <x:c r="B10723" s="86"/>
    </x:row>
    <x:row r="10724">
      <x:c r="A10724" s="85"/>
      <x:c r="B10724" s="86"/>
    </x:row>
    <x:row r="10725">
      <x:c r="A10725" s="85"/>
      <x:c r="B10725" s="86"/>
    </x:row>
    <x:row r="10726">
      <x:c r="A10726" s="85"/>
      <x:c r="B10726" s="86"/>
    </x:row>
    <x:row r="10727">
      <x:c r="A10727" s="85"/>
      <x:c r="B10727" s="86"/>
    </x:row>
    <x:row r="10728">
      <x:c r="A10728" s="85"/>
      <x:c r="B10728" s="86"/>
    </x:row>
    <x:row r="10729">
      <x:c r="A10729" s="85"/>
      <x:c r="B10729" s="86"/>
    </x:row>
    <x:row r="10730">
      <x:c r="A10730" s="85"/>
      <x:c r="B10730" s="86"/>
    </x:row>
    <x:row r="10731">
      <x:c r="A10731" s="85"/>
      <x:c r="B10731" s="86"/>
    </x:row>
    <x:row r="10732">
      <x:c r="A10732" s="85"/>
      <x:c r="B10732" s="86"/>
    </x:row>
    <x:row r="10733">
      <x:c r="A10733" s="85"/>
      <x:c r="B10733" s="86"/>
    </x:row>
    <x:row r="10734">
      <x:c r="A10734" s="85"/>
      <x:c r="B10734" s="86"/>
    </x:row>
    <x:row r="10735">
      <x:c r="A10735" s="85"/>
      <x:c r="B10735" s="86"/>
    </x:row>
    <x:row r="10736">
      <x:c r="A10736" s="85"/>
      <x:c r="B10736" s="86"/>
    </x:row>
    <x:row r="10737">
      <x:c r="A10737" s="85"/>
      <x:c r="B10737" s="86"/>
    </x:row>
    <x:row r="10738">
      <x:c r="A10738" s="85"/>
      <x:c r="B10738" s="86"/>
    </x:row>
    <x:row r="10739">
      <x:c r="A10739" s="85"/>
      <x:c r="B10739" s="86"/>
    </x:row>
    <x:row r="10740">
      <x:c r="A10740" s="85"/>
      <x:c r="B10740" s="86"/>
    </x:row>
    <x:row r="10741">
      <x:c r="A10741" s="85"/>
      <x:c r="B10741" s="86"/>
    </x:row>
    <x:row r="10742">
      <x:c r="A10742" s="85"/>
      <x:c r="B10742" s="86"/>
    </x:row>
    <x:row r="10743">
      <x:c r="A10743" s="85"/>
      <x:c r="B10743" s="86"/>
    </x:row>
    <x:row r="10744">
      <x:c r="A10744" s="85"/>
      <x:c r="B10744" s="86"/>
    </x:row>
    <x:row r="10745">
      <x:c r="A10745" s="85"/>
      <x:c r="B10745" s="86"/>
    </x:row>
    <x:row r="10746">
      <x:c r="A10746" s="85"/>
      <x:c r="B10746" s="86"/>
    </x:row>
    <x:row r="10747">
      <x:c r="A10747" s="85"/>
      <x:c r="B10747" s="86"/>
    </x:row>
    <x:row r="10748">
      <x:c r="A10748" s="85"/>
      <x:c r="B10748" s="86"/>
    </x:row>
    <x:row r="10749">
      <x:c r="A10749" s="85"/>
      <x:c r="B10749" s="86"/>
    </x:row>
    <x:row r="10750">
      <x:c r="A10750" s="85"/>
      <x:c r="B10750" s="86"/>
    </x:row>
    <x:row r="10751">
      <x:c r="A10751" s="85"/>
      <x:c r="B10751" s="86"/>
    </x:row>
    <x:row r="10752">
      <x:c r="A10752" s="85"/>
      <x:c r="B10752" s="86"/>
    </x:row>
    <x:row r="10753">
      <x:c r="A10753" s="85"/>
      <x:c r="B10753" s="86"/>
    </x:row>
    <x:row r="10754">
      <x:c r="A10754" s="85"/>
      <x:c r="B10754" s="86"/>
    </x:row>
    <x:row r="10755">
      <x:c r="A10755" s="85"/>
      <x:c r="B10755" s="86"/>
    </x:row>
    <x:row r="10756">
      <x:c r="A10756" s="85"/>
      <x:c r="B10756" s="86"/>
    </x:row>
    <x:row r="10757">
      <x:c r="A10757" s="85"/>
      <x:c r="B10757" s="86"/>
    </x:row>
    <x:row r="10758">
      <x:c r="A10758" s="85"/>
      <x:c r="B10758" s="86"/>
    </x:row>
    <x:row r="10759">
      <x:c r="A10759" s="85"/>
      <x:c r="B10759" s="86"/>
    </x:row>
    <x:row r="10760">
      <x:c r="A10760" s="85"/>
      <x:c r="B10760" s="86"/>
    </x:row>
    <x:row r="10761">
      <x:c r="A10761" s="85"/>
      <x:c r="B10761" s="86"/>
    </x:row>
    <x:row r="10762">
      <x:c r="A10762" s="85"/>
      <x:c r="B10762" s="86"/>
    </x:row>
    <x:row r="10763">
      <x:c r="A10763" s="85"/>
      <x:c r="B10763" s="86"/>
    </x:row>
    <x:row r="10764">
      <x:c r="A10764" s="85"/>
      <x:c r="B10764" s="86"/>
    </x:row>
    <x:row r="10765">
      <x:c r="A10765" s="85"/>
      <x:c r="B10765" s="86"/>
    </x:row>
    <x:row r="10766">
      <x:c r="A10766" s="85"/>
      <x:c r="B10766" s="86"/>
    </x:row>
    <x:row r="10767">
      <x:c r="A10767" s="85"/>
      <x:c r="B10767" s="86"/>
    </x:row>
    <x:row r="10768">
      <x:c r="A10768" s="85"/>
      <x:c r="B10768" s="86"/>
    </x:row>
    <x:row r="10769">
      <x:c r="A10769" s="85"/>
      <x:c r="B10769" s="86"/>
    </x:row>
    <x:row r="10770">
      <x:c r="A10770" s="85"/>
      <x:c r="B10770" s="86"/>
    </x:row>
    <x:row r="10771">
      <x:c r="A10771" s="85"/>
      <x:c r="B10771" s="86"/>
    </x:row>
    <x:row r="10772">
      <x:c r="A10772" s="85"/>
      <x:c r="B10772" s="86"/>
    </x:row>
    <x:row r="10773">
      <x:c r="A10773" s="85"/>
      <x:c r="B10773" s="86"/>
    </x:row>
    <x:row r="10774">
      <x:c r="A10774" s="85"/>
      <x:c r="B10774" s="86"/>
    </x:row>
    <x:row r="10775">
      <x:c r="A10775" s="85"/>
      <x:c r="B10775" s="86"/>
    </x:row>
    <x:row r="10776">
      <x:c r="A10776" s="85"/>
      <x:c r="B10776" s="86"/>
    </x:row>
    <x:row r="10777">
      <x:c r="A10777" s="85"/>
      <x:c r="B10777" s="86"/>
    </x:row>
    <x:row r="10778">
      <x:c r="A10778" s="85"/>
      <x:c r="B10778" s="86"/>
    </x:row>
    <x:row r="10779">
      <x:c r="A10779" s="85"/>
      <x:c r="B10779" s="86"/>
    </x:row>
    <x:row r="10780">
      <x:c r="A10780" s="85"/>
      <x:c r="B10780" s="86"/>
    </x:row>
    <x:row r="10781">
      <x:c r="A10781" s="85"/>
      <x:c r="B10781" s="86"/>
    </x:row>
    <x:row r="10782">
      <x:c r="A10782" s="85"/>
      <x:c r="B10782" s="86"/>
    </x:row>
    <x:row r="10783">
      <x:c r="A10783" s="85"/>
      <x:c r="B10783" s="86"/>
    </x:row>
    <x:row r="10784">
      <x:c r="A10784" s="85"/>
      <x:c r="B10784" s="86"/>
    </x:row>
    <x:row r="10785">
      <x:c r="A10785" s="85"/>
      <x:c r="B10785" s="86"/>
    </x:row>
    <x:row r="10786">
      <x:c r="A10786" s="85"/>
      <x:c r="B10786" s="86"/>
    </x:row>
    <x:row r="10787">
      <x:c r="A10787" s="85"/>
      <x:c r="B10787" s="86"/>
    </x:row>
    <x:row r="10788">
      <x:c r="A10788" s="85"/>
      <x:c r="B10788" s="86"/>
    </x:row>
    <x:row r="10789">
      <x:c r="A10789" s="85"/>
      <x:c r="B10789" s="86"/>
    </x:row>
    <x:row r="10790">
      <x:c r="A10790" s="85"/>
      <x:c r="B10790" s="86"/>
    </x:row>
    <x:row r="10791">
      <x:c r="A10791" s="85"/>
      <x:c r="B10791" s="86"/>
    </x:row>
    <x:row r="10792">
      <x:c r="A10792" s="85"/>
      <x:c r="B10792" s="86"/>
    </x:row>
    <x:row r="10793">
      <x:c r="A10793" s="85"/>
      <x:c r="B10793" s="86"/>
    </x:row>
    <x:row r="10794">
      <x:c r="A10794" s="85"/>
      <x:c r="B10794" s="86"/>
    </x:row>
    <x:row r="10795">
      <x:c r="A10795" s="85"/>
      <x:c r="B10795" s="86"/>
    </x:row>
    <x:row r="10796">
      <x:c r="A10796" s="85"/>
      <x:c r="B10796" s="86"/>
    </x:row>
    <x:row r="10797">
      <x:c r="A10797" s="85"/>
      <x:c r="B10797" s="86"/>
    </x:row>
    <x:row r="10798">
      <x:c r="A10798" s="85"/>
      <x:c r="B10798" s="86"/>
    </x:row>
    <x:row r="10799">
      <x:c r="A10799" s="85"/>
      <x:c r="B10799" s="86"/>
    </x:row>
    <x:row r="10800">
      <x:c r="A10800" s="85"/>
      <x:c r="B10800" s="86"/>
    </x:row>
    <x:row r="10801">
      <x:c r="A10801" s="85"/>
      <x:c r="B10801" s="86"/>
    </x:row>
    <x:row r="10802">
      <x:c r="A10802" s="85"/>
      <x:c r="B10802" s="86"/>
    </x:row>
    <x:row r="10803">
      <x:c r="A10803" s="85"/>
      <x:c r="B10803" s="86"/>
    </x:row>
    <x:row r="10804">
      <x:c r="A10804" s="85"/>
      <x:c r="B10804" s="86"/>
    </x:row>
    <x:row r="10805">
      <x:c r="A10805" s="85"/>
      <x:c r="B10805" s="86"/>
    </x:row>
    <x:row r="10806">
      <x:c r="A10806" s="85"/>
      <x:c r="B10806" s="86"/>
    </x:row>
    <x:row r="10807">
      <x:c r="A10807" s="85"/>
      <x:c r="B10807" s="86"/>
    </x:row>
    <x:row r="10808">
      <x:c r="A10808" s="85"/>
      <x:c r="B10808" s="86"/>
    </x:row>
    <x:row r="10809">
      <x:c r="A10809" s="85"/>
      <x:c r="B10809" s="86"/>
    </x:row>
    <x:row r="10810">
      <x:c r="A10810" s="85"/>
      <x:c r="B10810" s="86"/>
    </x:row>
    <x:row r="10811">
      <x:c r="A10811" s="85"/>
      <x:c r="B10811" s="86"/>
    </x:row>
    <x:row r="10812">
      <x:c r="A10812" s="85"/>
      <x:c r="B10812" s="86"/>
    </x:row>
    <x:row r="10813">
      <x:c r="A10813" s="85"/>
      <x:c r="B10813" s="86"/>
    </x:row>
    <x:row r="10814">
      <x:c r="A10814" s="85"/>
      <x:c r="B10814" s="86"/>
    </x:row>
    <x:row r="10815">
      <x:c r="A10815" s="85"/>
      <x:c r="B10815" s="86"/>
    </x:row>
    <x:row r="10816">
      <x:c r="A10816" s="85"/>
      <x:c r="B10816" s="86"/>
    </x:row>
    <x:row r="10817">
      <x:c r="A10817" s="85"/>
      <x:c r="B10817" s="86"/>
    </x:row>
    <x:row r="10818">
      <x:c r="A10818" s="85"/>
      <x:c r="B10818" s="86"/>
    </x:row>
    <x:row r="10819">
      <x:c r="A10819" s="85"/>
      <x:c r="B10819" s="86"/>
    </x:row>
    <x:row r="10820">
      <x:c r="A10820" s="85"/>
      <x:c r="B10820" s="86"/>
    </x:row>
    <x:row r="10821">
      <x:c r="A10821" s="85"/>
      <x:c r="B10821" s="86"/>
    </x:row>
    <x:row r="10822">
      <x:c r="A10822" s="85"/>
      <x:c r="B10822" s="86"/>
    </x:row>
    <x:row r="10823">
      <x:c r="A10823" s="85"/>
      <x:c r="B10823" s="86"/>
    </x:row>
    <x:row r="10824">
      <x:c r="A10824" s="85"/>
      <x:c r="B10824" s="86"/>
    </x:row>
    <x:row r="10825">
      <x:c r="A10825" s="85"/>
      <x:c r="B10825" s="86"/>
    </x:row>
    <x:row r="10826">
      <x:c r="A10826" s="85"/>
      <x:c r="B10826" s="86"/>
    </x:row>
    <x:row r="10827">
      <x:c r="A10827" s="85"/>
      <x:c r="B10827" s="86"/>
    </x:row>
    <x:row r="10828">
      <x:c r="A10828" s="85"/>
      <x:c r="B10828" s="86"/>
    </x:row>
    <x:row r="10829">
      <x:c r="A10829" s="85"/>
      <x:c r="B10829" s="86"/>
    </x:row>
    <x:row r="10830">
      <x:c r="A10830" s="85"/>
      <x:c r="B10830" s="86"/>
    </x:row>
    <x:row r="10831">
      <x:c r="A10831" s="85"/>
      <x:c r="B10831" s="86"/>
    </x:row>
    <x:row r="10832">
      <x:c r="A10832" s="85"/>
      <x:c r="B10832" s="86"/>
    </x:row>
    <x:row r="10833">
      <x:c r="A10833" s="85"/>
      <x:c r="B10833" s="86"/>
    </x:row>
    <x:row r="10834">
      <x:c r="A10834" s="85"/>
      <x:c r="B10834" s="86"/>
    </x:row>
    <x:row r="10835">
      <x:c r="A10835" s="85"/>
      <x:c r="B10835" s="86"/>
    </x:row>
    <x:row r="10836">
      <x:c r="A10836" s="85"/>
      <x:c r="B10836" s="86"/>
    </x:row>
    <x:row r="10837">
      <x:c r="A10837" s="85"/>
      <x:c r="B10837" s="86"/>
    </x:row>
    <x:row r="10838">
      <x:c r="A10838" s="85"/>
      <x:c r="B10838" s="86"/>
    </x:row>
    <x:row r="10839">
      <x:c r="A10839" s="85"/>
      <x:c r="B10839" s="86"/>
    </x:row>
    <x:row r="10840">
      <x:c r="A10840" s="85"/>
      <x:c r="B10840" s="86"/>
    </x:row>
    <x:row r="10841">
      <x:c r="A10841" s="85"/>
      <x:c r="B10841" s="86"/>
    </x:row>
    <x:row r="10842">
      <x:c r="A10842" s="85"/>
      <x:c r="B10842" s="86"/>
    </x:row>
    <x:row r="10843">
      <x:c r="A10843" s="85"/>
      <x:c r="B10843" s="86"/>
    </x:row>
    <x:row r="10844">
      <x:c r="A10844" s="85"/>
      <x:c r="B10844" s="86"/>
    </x:row>
    <x:row r="10845">
      <x:c r="A10845" s="85"/>
      <x:c r="B10845" s="86"/>
    </x:row>
    <x:row r="10846">
      <x:c r="A10846" s="85"/>
      <x:c r="B10846" s="86"/>
    </x:row>
    <x:row r="10847">
      <x:c r="A10847" s="85"/>
      <x:c r="B10847" s="86"/>
    </x:row>
    <x:row r="10848">
      <x:c r="A10848" s="85"/>
      <x:c r="B10848" s="86"/>
    </x:row>
    <x:row r="10849">
      <x:c r="A10849" s="85"/>
      <x:c r="B10849" s="86"/>
    </x:row>
    <x:row r="10850">
      <x:c r="A10850" s="85"/>
      <x:c r="B10850" s="86"/>
    </x:row>
    <x:row r="10851">
      <x:c r="A10851" s="85"/>
      <x:c r="B10851" s="86"/>
    </x:row>
    <x:row r="10852">
      <x:c r="A10852" s="85"/>
      <x:c r="B10852" s="86"/>
    </x:row>
    <x:row r="10853">
      <x:c r="A10853" s="85"/>
      <x:c r="B10853" s="86"/>
    </x:row>
    <x:row r="10854">
      <x:c r="A10854" s="85"/>
      <x:c r="B10854" s="86"/>
    </x:row>
    <x:row r="10855">
      <x:c r="A10855" s="85"/>
      <x:c r="B10855" s="86"/>
    </x:row>
    <x:row r="10856">
      <x:c r="A10856" s="85"/>
      <x:c r="B10856" s="86"/>
    </x:row>
    <x:row r="10857">
      <x:c r="A10857" s="85"/>
      <x:c r="B10857" s="86"/>
    </x:row>
    <x:row r="10858">
      <x:c r="A10858" s="85"/>
      <x:c r="B10858" s="86"/>
    </x:row>
    <x:row r="10859">
      <x:c r="A10859" s="85"/>
      <x:c r="B10859" s="86"/>
    </x:row>
    <x:row r="10860">
      <x:c r="A10860" s="85"/>
      <x:c r="B10860" s="86"/>
    </x:row>
    <x:row r="10861">
      <x:c r="A10861" s="85"/>
      <x:c r="B10861" s="86"/>
    </x:row>
    <x:row r="10862">
      <x:c r="A10862" s="85"/>
      <x:c r="B10862" s="86"/>
    </x:row>
    <x:row r="10863">
      <x:c r="A10863" s="85"/>
      <x:c r="B10863" s="86"/>
    </x:row>
    <x:row r="10864">
      <x:c r="A10864" s="85"/>
      <x:c r="B10864" s="86"/>
    </x:row>
    <x:row r="10865">
      <x:c r="A10865" s="85"/>
      <x:c r="B10865" s="86"/>
    </x:row>
    <x:row r="10866">
      <x:c r="A10866" s="85"/>
      <x:c r="B10866" s="86"/>
    </x:row>
    <x:row r="10867">
      <x:c r="A10867" s="85"/>
      <x:c r="B10867" s="86"/>
    </x:row>
    <x:row r="10868">
      <x:c r="A10868" s="85"/>
      <x:c r="B10868" s="86"/>
    </x:row>
    <x:row r="10869">
      <x:c r="A10869" s="85"/>
      <x:c r="B10869" s="86"/>
    </x:row>
    <x:row r="10870">
      <x:c r="A10870" s="85"/>
      <x:c r="B10870" s="86"/>
    </x:row>
    <x:row r="10871">
      <x:c r="A10871" s="85"/>
      <x:c r="B10871" s="86"/>
    </x:row>
    <x:row r="10872">
      <x:c r="A10872" s="85"/>
      <x:c r="B10872" s="86"/>
    </x:row>
    <x:row r="10873">
      <x:c r="A10873" s="85"/>
      <x:c r="B10873" s="86"/>
    </x:row>
    <x:row r="10874">
      <x:c r="A10874" s="85"/>
      <x:c r="B10874" s="86"/>
    </x:row>
    <x:row r="10875">
      <x:c r="A10875" s="85"/>
      <x:c r="B10875" s="86"/>
    </x:row>
    <x:row r="10876">
      <x:c r="A10876" s="85"/>
      <x:c r="B10876" s="86"/>
    </x:row>
    <x:row r="10877">
      <x:c r="A10877" s="85"/>
      <x:c r="B10877" s="86"/>
    </x:row>
    <x:row r="10878">
      <x:c r="A10878" s="85"/>
      <x:c r="B10878" s="86"/>
    </x:row>
    <x:row r="10879">
      <x:c r="A10879" s="85"/>
      <x:c r="B10879" s="86"/>
    </x:row>
    <x:row r="10880">
      <x:c r="A10880" s="85"/>
      <x:c r="B10880" s="86"/>
    </x:row>
    <x:row r="10881">
      <x:c r="A10881" s="85"/>
      <x:c r="B10881" s="86"/>
    </x:row>
    <x:row r="10882">
      <x:c r="A10882" s="85"/>
      <x:c r="B10882" s="86"/>
    </x:row>
    <x:row r="10883">
      <x:c r="A10883" s="85"/>
      <x:c r="B10883" s="86"/>
    </x:row>
    <x:row r="10884">
      <x:c r="A10884" s="85"/>
      <x:c r="B10884" s="86"/>
    </x:row>
    <x:row r="10885">
      <x:c r="A10885" s="85"/>
      <x:c r="B10885" s="86"/>
    </x:row>
    <x:row r="10886">
      <x:c r="A10886" s="85"/>
      <x:c r="B10886" s="86"/>
    </x:row>
    <x:row r="10887">
      <x:c r="A10887" s="85"/>
      <x:c r="B10887" s="86"/>
    </x:row>
    <x:row r="10888">
      <x:c r="A10888" s="85"/>
      <x:c r="B10888" s="86"/>
    </x:row>
    <x:row r="10889">
      <x:c r="A10889" s="85"/>
      <x:c r="B10889" s="86"/>
    </x:row>
    <x:row r="10890">
      <x:c r="A10890" s="85"/>
      <x:c r="B10890" s="86"/>
    </x:row>
    <x:row r="10891">
      <x:c r="A10891" s="85"/>
      <x:c r="B10891" s="86"/>
    </x:row>
    <x:row r="10892">
      <x:c r="A10892" s="85"/>
      <x:c r="B10892" s="86"/>
    </x:row>
    <x:row r="10893">
      <x:c r="A10893" s="85"/>
      <x:c r="B10893" s="86"/>
    </x:row>
    <x:row r="10894">
      <x:c r="A10894" s="85"/>
      <x:c r="B10894" s="86"/>
    </x:row>
    <x:row r="10895">
      <x:c r="A10895" s="85"/>
      <x:c r="B10895" s="86"/>
    </x:row>
    <x:row r="10896">
      <x:c r="A10896" s="85"/>
      <x:c r="B10896" s="86"/>
    </x:row>
    <x:row r="10897">
      <x:c r="A10897" s="85"/>
      <x:c r="B10897" s="86"/>
    </x:row>
    <x:row r="10898">
      <x:c r="A10898" s="85"/>
      <x:c r="B10898" s="86"/>
    </x:row>
    <x:row r="10899">
      <x:c r="A10899" s="85"/>
      <x:c r="B10899" s="86"/>
    </x:row>
    <x:row r="10900">
      <x:c r="A10900" s="85"/>
      <x:c r="B10900" s="86"/>
    </x:row>
    <x:row r="10901">
      <x:c r="A10901" s="85"/>
      <x:c r="B10901" s="86"/>
    </x:row>
    <x:row r="10902">
      <x:c r="A10902" s="85"/>
      <x:c r="B10902" s="86"/>
    </x:row>
    <x:row r="10903">
      <x:c r="A10903" s="85"/>
      <x:c r="B10903" s="86"/>
    </x:row>
    <x:row r="10904">
      <x:c r="A10904" s="85"/>
      <x:c r="B10904" s="86"/>
    </x:row>
    <x:row r="10905">
      <x:c r="A10905" s="85"/>
      <x:c r="B10905" s="86"/>
    </x:row>
    <x:row r="10906">
      <x:c r="A10906" s="85"/>
      <x:c r="B10906" s="86"/>
    </x:row>
    <x:row r="10907">
      <x:c r="A10907" s="85"/>
      <x:c r="B10907" s="86"/>
    </x:row>
    <x:row r="10908">
      <x:c r="A10908" s="85"/>
      <x:c r="B10908" s="86"/>
    </x:row>
    <x:row r="10909">
      <x:c r="A10909" s="85"/>
      <x:c r="B10909" s="86"/>
    </x:row>
    <x:row r="10910">
      <x:c r="A10910" s="85"/>
      <x:c r="B10910" s="86"/>
    </x:row>
    <x:row r="10911">
      <x:c r="A10911" s="85"/>
      <x:c r="B10911" s="86"/>
    </x:row>
    <x:row r="10912">
      <x:c r="A10912" s="85"/>
      <x:c r="B10912" s="86"/>
    </x:row>
    <x:row r="10913">
      <x:c r="A10913" s="85"/>
      <x:c r="B10913" s="86"/>
    </x:row>
    <x:row r="10914">
      <x:c r="A10914" s="85"/>
      <x:c r="B10914" s="86"/>
    </x:row>
    <x:row r="10915">
      <x:c r="A10915" s="85"/>
      <x:c r="B10915" s="86"/>
    </x:row>
    <x:row r="10916">
      <x:c r="A10916" s="85"/>
      <x:c r="B10916" s="86"/>
    </x:row>
    <x:row r="10917">
      <x:c r="A10917" s="85"/>
      <x:c r="B10917" s="86"/>
    </x:row>
    <x:row r="10918">
      <x:c r="A10918" s="85"/>
      <x:c r="B10918" s="86"/>
    </x:row>
    <x:row r="10919">
      <x:c r="A10919" s="85"/>
      <x:c r="B10919" s="86"/>
    </x:row>
    <x:row r="10920">
      <x:c r="A10920" s="85"/>
      <x:c r="B10920" s="86"/>
    </x:row>
    <x:row r="10921">
      <x:c r="A10921" s="85"/>
      <x:c r="B10921" s="86"/>
    </x:row>
    <x:row r="10922">
      <x:c r="A10922" s="85"/>
      <x:c r="B10922" s="86"/>
    </x:row>
    <x:row r="10923">
      <x:c r="A10923" s="85"/>
      <x:c r="B10923" s="86"/>
    </x:row>
    <x:row r="10924">
      <x:c r="A10924" s="85"/>
      <x:c r="B10924" s="86"/>
    </x:row>
    <x:row r="10925">
      <x:c r="A10925" s="85"/>
      <x:c r="B10925" s="86"/>
    </x:row>
    <x:row r="10926">
      <x:c r="A10926" s="85"/>
      <x:c r="B10926" s="86"/>
    </x:row>
    <x:row r="10927">
      <x:c r="A10927" s="85"/>
      <x:c r="B10927" s="86"/>
    </x:row>
    <x:row r="10928">
      <x:c r="A10928" s="85"/>
      <x:c r="B10928" s="86"/>
    </x:row>
    <x:row r="10929">
      <x:c r="A10929" s="85"/>
      <x:c r="B10929" s="86"/>
    </x:row>
    <x:row r="10930">
      <x:c r="A10930" s="85"/>
      <x:c r="B10930" s="86"/>
    </x:row>
    <x:row r="10931">
      <x:c r="A10931" s="85"/>
      <x:c r="B10931" s="86"/>
    </x:row>
    <x:row r="10932">
      <x:c r="A10932" s="85"/>
      <x:c r="B10932" s="86"/>
    </x:row>
    <x:row r="10933">
      <x:c r="A10933" s="85"/>
      <x:c r="B10933" s="86"/>
    </x:row>
    <x:row r="10934">
      <x:c r="A10934" s="85"/>
      <x:c r="B10934" s="86"/>
    </x:row>
    <x:row r="10935">
      <x:c r="A10935" s="85"/>
      <x:c r="B10935" s="86"/>
    </x:row>
    <x:row r="10936">
      <x:c r="A10936" s="85"/>
      <x:c r="B10936" s="86"/>
    </x:row>
    <x:row r="10937">
      <x:c r="A10937" s="85"/>
      <x:c r="B10937" s="86"/>
    </x:row>
    <x:row r="10938">
      <x:c r="A10938" s="85"/>
      <x:c r="B10938" s="86"/>
    </x:row>
    <x:row r="10939">
      <x:c r="A10939" s="85"/>
      <x:c r="B10939" s="86"/>
    </x:row>
    <x:row r="10940">
      <x:c r="A10940" s="85"/>
      <x:c r="B10940" s="86"/>
    </x:row>
    <x:row r="10941">
      <x:c r="A10941" s="85"/>
      <x:c r="B10941" s="86"/>
    </x:row>
    <x:row r="10942">
      <x:c r="A10942" s="85"/>
      <x:c r="B10942" s="86"/>
    </x:row>
    <x:row r="10943">
      <x:c r="A10943" s="85"/>
      <x:c r="B10943" s="86"/>
    </x:row>
    <x:row r="10944">
      <x:c r="A10944" s="85"/>
      <x:c r="B10944" s="86"/>
    </x:row>
    <x:row r="10945">
      <x:c r="A10945" s="85"/>
      <x:c r="B10945" s="86"/>
    </x:row>
    <x:row r="10946">
      <x:c r="A10946" s="85"/>
      <x:c r="B10946" s="86"/>
    </x:row>
    <x:row r="10947">
      <x:c r="A10947" s="85"/>
      <x:c r="B10947" s="86"/>
    </x:row>
    <x:row r="10948">
      <x:c r="A10948" s="85"/>
      <x:c r="B10948" s="86"/>
    </x:row>
    <x:row r="10949">
      <x:c r="A10949" s="85"/>
      <x:c r="B10949" s="86"/>
    </x:row>
    <x:row r="10950">
      <x:c r="A10950" s="85"/>
      <x:c r="B10950" s="86"/>
    </x:row>
    <x:row r="10951">
      <x:c r="A10951" s="85"/>
      <x:c r="B10951" s="86"/>
    </x:row>
    <x:row r="10952">
      <x:c r="A10952" s="85"/>
      <x:c r="B10952" s="86"/>
    </x:row>
    <x:row r="10953">
      <x:c r="A10953" s="85"/>
      <x:c r="B10953" s="86"/>
    </x:row>
    <x:row r="10954">
      <x:c r="A10954" s="85"/>
      <x:c r="B10954" s="86"/>
    </x:row>
    <x:row r="10955">
      <x:c r="A10955" s="85"/>
      <x:c r="B10955" s="86"/>
    </x:row>
    <x:row r="10956">
      <x:c r="A10956" s="85"/>
      <x:c r="B10956" s="86"/>
    </x:row>
    <x:row r="10957">
      <x:c r="A10957" s="85"/>
      <x:c r="B10957" s="86"/>
    </x:row>
    <x:row r="10958">
      <x:c r="A10958" s="85"/>
      <x:c r="B10958" s="86"/>
    </x:row>
    <x:row r="10959">
      <x:c r="A10959" s="85"/>
      <x:c r="B10959" s="86"/>
    </x:row>
    <x:row r="10960">
      <x:c r="A10960" s="85"/>
      <x:c r="B10960" s="86"/>
    </x:row>
    <x:row r="10961">
      <x:c r="A10961" s="85"/>
      <x:c r="B10961" s="86"/>
    </x:row>
    <x:row r="10962">
      <x:c r="A10962" s="85"/>
      <x:c r="B10962" s="86"/>
    </x:row>
    <x:row r="10963">
      <x:c r="A10963" s="85"/>
      <x:c r="B10963" s="86"/>
    </x:row>
    <x:row r="10964">
      <x:c r="A10964" s="85"/>
      <x:c r="B10964" s="86"/>
    </x:row>
    <x:row r="10965">
      <x:c r="A10965" s="85"/>
      <x:c r="B10965" s="86"/>
    </x:row>
    <x:row r="10966">
      <x:c r="A10966" s="85"/>
      <x:c r="B10966" s="86"/>
    </x:row>
    <x:row r="10967">
      <x:c r="A10967" s="85"/>
      <x:c r="B10967" s="86"/>
    </x:row>
    <x:row r="10968">
      <x:c r="A10968" s="85"/>
      <x:c r="B10968" s="86"/>
    </x:row>
    <x:row r="10969">
      <x:c r="A10969" s="85"/>
      <x:c r="B10969" s="86"/>
    </x:row>
    <x:row r="10970">
      <x:c r="A10970" s="85"/>
      <x:c r="B10970" s="86"/>
    </x:row>
    <x:row r="10971">
      <x:c r="A10971" s="85"/>
      <x:c r="B10971" s="86"/>
    </x:row>
    <x:row r="10972">
      <x:c r="A10972" s="85"/>
      <x:c r="B10972" s="86"/>
    </x:row>
    <x:row r="10973">
      <x:c r="A10973" s="85"/>
      <x:c r="B10973" s="86"/>
    </x:row>
    <x:row r="10974">
      <x:c r="A10974" s="85"/>
      <x:c r="B10974" s="86"/>
    </x:row>
    <x:row r="10975">
      <x:c r="A10975" s="85"/>
      <x:c r="B10975" s="86"/>
    </x:row>
    <x:row r="10976">
      <x:c r="A10976" s="85"/>
      <x:c r="B10976" s="86"/>
    </x:row>
    <x:row r="10977">
      <x:c r="A10977" s="85"/>
      <x:c r="B10977" s="86"/>
    </x:row>
    <x:row r="10978">
      <x:c r="A10978" s="85"/>
      <x:c r="B10978" s="86"/>
    </x:row>
    <x:row r="10979">
      <x:c r="A10979" s="85"/>
      <x:c r="B10979" s="86"/>
    </x:row>
    <x:row r="10980">
      <x:c r="A10980" s="85"/>
      <x:c r="B10980" s="86"/>
    </x:row>
    <x:row r="10981">
      <x:c r="A10981" s="85"/>
      <x:c r="B10981" s="86"/>
    </x:row>
    <x:row r="10982">
      <x:c r="A10982" s="85"/>
      <x:c r="B10982" s="86"/>
    </x:row>
    <x:row r="10983">
      <x:c r="A10983" s="85"/>
      <x:c r="B10983" s="86"/>
    </x:row>
    <x:row r="10984">
      <x:c r="A10984" s="85"/>
      <x:c r="B10984" s="86"/>
    </x:row>
    <x:row r="10985">
      <x:c r="A10985" s="85"/>
      <x:c r="B10985" s="86"/>
    </x:row>
    <x:row r="10986">
      <x:c r="A10986" s="85"/>
      <x:c r="B10986" s="86"/>
    </x:row>
    <x:row r="10987">
      <x:c r="A10987" s="85"/>
      <x:c r="B10987" s="86"/>
    </x:row>
    <x:row r="10988">
      <x:c r="A10988" s="85"/>
      <x:c r="B10988" s="86"/>
    </x:row>
    <x:row r="10989">
      <x:c r="A10989" s="85"/>
      <x:c r="B10989" s="86"/>
    </x:row>
    <x:row r="10990">
      <x:c r="A10990" s="85"/>
      <x:c r="B10990" s="86"/>
    </x:row>
    <x:row r="10991">
      <x:c r="A10991" s="85"/>
      <x:c r="B10991" s="86"/>
    </x:row>
    <x:row r="10992">
      <x:c r="A10992" s="85"/>
      <x:c r="B10992" s="86"/>
    </x:row>
    <x:row r="10993">
      <x:c r="A10993" s="85"/>
      <x:c r="B10993" s="86"/>
    </x:row>
    <x:row r="10994">
      <x:c r="A10994" s="85"/>
      <x:c r="B10994" s="86"/>
    </x:row>
    <x:row r="10995">
      <x:c r="A10995" s="85"/>
      <x:c r="B10995" s="86"/>
    </x:row>
    <x:row r="10996">
      <x:c r="A10996" s="85"/>
      <x:c r="B10996" s="86"/>
    </x:row>
    <x:row r="10997">
      <x:c r="A10997" s="85"/>
      <x:c r="B10997" s="86"/>
    </x:row>
    <x:row r="10998">
      <x:c r="A10998" s="85"/>
      <x:c r="B10998" s="86"/>
    </x:row>
    <x:row r="10999">
      <x:c r="A10999" s="85"/>
      <x:c r="B10999" s="86"/>
    </x:row>
    <x:row r="11000">
      <x:c r="A11000" s="85"/>
      <x:c r="B11000" s="86"/>
    </x:row>
    <x:row r="11001">
      <x:c r="A11001" s="85"/>
      <x:c r="B11001" s="86"/>
    </x:row>
    <x:row r="11002">
      <x:c r="A11002" s="85"/>
      <x:c r="B11002" s="86"/>
    </x:row>
    <x:row r="11003">
      <x:c r="A11003" s="85"/>
      <x:c r="B11003" s="86"/>
    </x:row>
    <x:row r="11004">
      <x:c r="A11004" s="85"/>
      <x:c r="B11004" s="86"/>
    </x:row>
    <x:row r="11005">
      <x:c r="A11005" s="85"/>
      <x:c r="B11005" s="86"/>
    </x:row>
    <x:row r="11006">
      <x:c r="A11006" s="85"/>
      <x:c r="B11006" s="86"/>
    </x:row>
    <x:row r="11007">
      <x:c r="A11007" s="85"/>
      <x:c r="B11007" s="86"/>
    </x:row>
    <x:row r="11008">
      <x:c r="A11008" s="85"/>
      <x:c r="B11008" s="86"/>
    </x:row>
    <x:row r="11009">
      <x:c r="A11009" s="85"/>
      <x:c r="B11009" s="86"/>
    </x:row>
    <x:row r="11010">
      <x:c r="A11010" s="85"/>
      <x:c r="B11010" s="86"/>
    </x:row>
    <x:row r="11011">
      <x:c r="A11011" s="85"/>
      <x:c r="B11011" s="86"/>
    </x:row>
    <x:row r="11012">
      <x:c r="A11012" s="85"/>
      <x:c r="B11012" s="86"/>
    </x:row>
    <x:row r="11013">
      <x:c r="A11013" s="85"/>
      <x:c r="B11013" s="86"/>
    </x:row>
    <x:row r="11014">
      <x:c r="A11014" s="85"/>
      <x:c r="B11014" s="86"/>
    </x:row>
    <x:row r="11015">
      <x:c r="A11015" s="85"/>
      <x:c r="B11015" s="86"/>
    </x:row>
    <x:row r="11016">
      <x:c r="A11016" s="85"/>
      <x:c r="B11016" s="86"/>
    </x:row>
    <x:row r="11017">
      <x:c r="A11017" s="85"/>
      <x:c r="B11017" s="86"/>
    </x:row>
    <x:row r="11018">
      <x:c r="A11018" s="85"/>
      <x:c r="B11018" s="86"/>
    </x:row>
    <x:row r="11019">
      <x:c r="A11019" s="85"/>
      <x:c r="B11019" s="86"/>
    </x:row>
    <x:row r="11020">
      <x:c r="A11020" s="85"/>
      <x:c r="B11020" s="86"/>
    </x:row>
    <x:row r="11021">
      <x:c r="A11021" s="85"/>
      <x:c r="B11021" s="86"/>
    </x:row>
    <x:row r="11022">
      <x:c r="A11022" s="85"/>
      <x:c r="B11022" s="86"/>
    </x:row>
    <x:row r="11023">
      <x:c r="A11023" s="85"/>
      <x:c r="B11023" s="86"/>
    </x:row>
    <x:row r="11024">
      <x:c r="A11024" s="85"/>
      <x:c r="B11024" s="86"/>
    </x:row>
    <x:row r="11025">
      <x:c r="A11025" s="85"/>
      <x:c r="B11025" s="86"/>
    </x:row>
    <x:row r="11026">
      <x:c r="A11026" s="85"/>
      <x:c r="B11026" s="86"/>
    </x:row>
    <x:row r="11027">
      <x:c r="A11027" s="85"/>
      <x:c r="B11027" s="86"/>
    </x:row>
    <x:row r="11028">
      <x:c r="A11028" s="85"/>
      <x:c r="B11028" s="86"/>
    </x:row>
    <x:row r="11029">
      <x:c r="A11029" s="85"/>
      <x:c r="B11029" s="86"/>
    </x:row>
    <x:row r="11030">
      <x:c r="A11030" s="85"/>
      <x:c r="B11030" s="86"/>
    </x:row>
    <x:row r="11031">
      <x:c r="A11031" s="85"/>
      <x:c r="B11031" s="86"/>
    </x:row>
    <x:row r="11032">
      <x:c r="A11032" s="85"/>
      <x:c r="B11032" s="86"/>
    </x:row>
    <x:row r="11033">
      <x:c r="A11033" s="85"/>
      <x:c r="B11033" s="86"/>
    </x:row>
    <x:row r="11034">
      <x:c r="A11034" s="85"/>
      <x:c r="B11034" s="86"/>
    </x:row>
    <x:row r="11035">
      <x:c r="A11035" s="85"/>
      <x:c r="B11035" s="86"/>
    </x:row>
    <x:row r="11036">
      <x:c r="A11036" s="85"/>
      <x:c r="B11036" s="86"/>
    </x:row>
    <x:row r="11037">
      <x:c r="A11037" s="85"/>
      <x:c r="B11037" s="86"/>
    </x:row>
    <x:row r="11038">
      <x:c r="A11038" s="85"/>
      <x:c r="B11038" s="86"/>
    </x:row>
    <x:row r="11039">
      <x:c r="A11039" s="85"/>
      <x:c r="B11039" s="86"/>
    </x:row>
    <x:row r="11040">
      <x:c r="A11040" s="85"/>
      <x:c r="B11040" s="86"/>
    </x:row>
    <x:row r="11041">
      <x:c r="A11041" s="85"/>
      <x:c r="B11041" s="86"/>
    </x:row>
    <x:row r="11042">
      <x:c r="A11042" s="85"/>
      <x:c r="B11042" s="86"/>
    </x:row>
    <x:row r="11043">
      <x:c r="A11043" s="85"/>
      <x:c r="B11043" s="86"/>
    </x:row>
    <x:row r="11044">
      <x:c r="A11044" s="85"/>
      <x:c r="B11044" s="86"/>
    </x:row>
    <x:row r="11045">
      <x:c r="A11045" s="85"/>
      <x:c r="B11045" s="86"/>
    </x:row>
    <x:row r="11046">
      <x:c r="A11046" s="85"/>
      <x:c r="B11046" s="86"/>
    </x:row>
    <x:row r="11047">
      <x:c r="A11047" s="85"/>
      <x:c r="B11047" s="86"/>
    </x:row>
    <x:row r="11048">
      <x:c r="A11048" s="85"/>
      <x:c r="B11048" s="86"/>
    </x:row>
    <x:row r="11049">
      <x:c r="A11049" s="85"/>
      <x:c r="B11049" s="86"/>
    </x:row>
    <x:row r="11050">
      <x:c r="A11050" s="85"/>
      <x:c r="B11050" s="86"/>
    </x:row>
    <x:row r="11051">
      <x:c r="A11051" s="85"/>
      <x:c r="B11051" s="86"/>
    </x:row>
    <x:row r="11052">
      <x:c r="A11052" s="85"/>
      <x:c r="B11052" s="86"/>
    </x:row>
    <x:row r="11053">
      <x:c r="A11053" s="85"/>
      <x:c r="B11053" s="86"/>
    </x:row>
    <x:row r="11054">
      <x:c r="A11054" s="85"/>
      <x:c r="B11054" s="86"/>
    </x:row>
    <x:row r="11055">
      <x:c r="A11055" s="85"/>
      <x:c r="B11055" s="86"/>
    </x:row>
    <x:row r="11056">
      <x:c r="A11056" s="85"/>
      <x:c r="B11056" s="86"/>
    </x:row>
    <x:row r="11057">
      <x:c r="A11057" s="85"/>
      <x:c r="B11057" s="86"/>
    </x:row>
    <x:row r="11058">
      <x:c r="A11058" s="85"/>
      <x:c r="B11058" s="86"/>
    </x:row>
    <x:row r="11059">
      <x:c r="A11059" s="85"/>
      <x:c r="B11059" s="86"/>
    </x:row>
    <x:row r="11060">
      <x:c r="A11060" s="85"/>
      <x:c r="B11060" s="86"/>
    </x:row>
    <x:row r="11061">
      <x:c r="A11061" s="85"/>
      <x:c r="B11061" s="86"/>
    </x:row>
    <x:row r="11062">
      <x:c r="A11062" s="85"/>
      <x:c r="B11062" s="86"/>
    </x:row>
    <x:row r="11063">
      <x:c r="A11063" s="85"/>
      <x:c r="B11063" s="86"/>
    </x:row>
    <x:row r="11064">
      <x:c r="A11064" s="85"/>
      <x:c r="B11064" s="86"/>
    </x:row>
    <x:row r="11065">
      <x:c r="A11065" s="85"/>
      <x:c r="B11065" s="86"/>
    </x:row>
    <x:row r="11066">
      <x:c r="A11066" s="85"/>
      <x:c r="B11066" s="86"/>
    </x:row>
    <x:row r="11067">
      <x:c r="A11067" s="85"/>
      <x:c r="B11067" s="86"/>
    </x:row>
    <x:row r="11068">
      <x:c r="A11068" s="85"/>
      <x:c r="B11068" s="86"/>
    </x:row>
    <x:row r="11069">
      <x:c r="A11069" s="85"/>
      <x:c r="B11069" s="86"/>
    </x:row>
    <x:row r="11070">
      <x:c r="A11070" s="85"/>
      <x:c r="B11070" s="86"/>
    </x:row>
    <x:row r="11071">
      <x:c r="A11071" s="85"/>
      <x:c r="B11071" s="86"/>
    </x:row>
    <x:row r="11072">
      <x:c r="A11072" s="85"/>
      <x:c r="B11072" s="86"/>
    </x:row>
    <x:row r="11073">
      <x:c r="A11073" s="85"/>
      <x:c r="B11073" s="86"/>
    </x:row>
    <x:row r="11074">
      <x:c r="A11074" s="85"/>
      <x:c r="B11074" s="86"/>
    </x:row>
    <x:row r="11075">
      <x:c r="A11075" s="85"/>
      <x:c r="B11075" s="86"/>
    </x:row>
    <x:row r="11076">
      <x:c r="A11076" s="85"/>
      <x:c r="B11076" s="86"/>
    </x:row>
    <x:row r="11077">
      <x:c r="A11077" s="85"/>
      <x:c r="B11077" s="86"/>
    </x:row>
    <x:row r="11078">
      <x:c r="A11078" s="85"/>
      <x:c r="B11078" s="86"/>
    </x:row>
    <x:row r="11079">
      <x:c r="A11079" s="85"/>
      <x:c r="B11079" s="86"/>
    </x:row>
    <x:row r="11080">
      <x:c r="A11080" s="85"/>
      <x:c r="B11080" s="86"/>
    </x:row>
    <x:row r="11081">
      <x:c r="A11081" s="85"/>
      <x:c r="B11081" s="86"/>
    </x:row>
    <x:row r="11082">
      <x:c r="A11082" s="85"/>
      <x:c r="B11082" s="86"/>
    </x:row>
    <x:row r="11083">
      <x:c r="A11083" s="85"/>
      <x:c r="B11083" s="86"/>
    </x:row>
    <x:row r="11084">
      <x:c r="A11084" s="85"/>
      <x:c r="B11084" s="86"/>
    </x:row>
    <x:row r="11085">
      <x:c r="A11085" s="85"/>
      <x:c r="B11085" s="86"/>
    </x:row>
    <x:row r="11086">
      <x:c r="A11086" s="85"/>
      <x:c r="B11086" s="86"/>
    </x:row>
    <x:row r="11087">
      <x:c r="A11087" s="85"/>
      <x:c r="B11087" s="86"/>
    </x:row>
    <x:row r="11088">
      <x:c r="A11088" s="85"/>
      <x:c r="B11088" s="86"/>
    </x:row>
    <x:row r="11089">
      <x:c r="A11089" s="85"/>
      <x:c r="B11089" s="86"/>
    </x:row>
    <x:row r="11090">
      <x:c r="A11090" s="85"/>
      <x:c r="B11090" s="86"/>
    </x:row>
    <x:row r="11091">
      <x:c r="A11091" s="85"/>
      <x:c r="B11091" s="86"/>
    </x:row>
    <x:row r="11092">
      <x:c r="A11092" s="85"/>
      <x:c r="B11092" s="86"/>
    </x:row>
    <x:row r="11093">
      <x:c r="A11093" s="85"/>
      <x:c r="B11093" s="86"/>
    </x:row>
    <x:row r="11094">
      <x:c r="A11094" s="85"/>
      <x:c r="B11094" s="86"/>
    </x:row>
    <x:row r="11095">
      <x:c r="A11095" s="85"/>
      <x:c r="B11095" s="86"/>
    </x:row>
    <x:row r="11096">
      <x:c r="A11096" s="85"/>
      <x:c r="B11096" s="86"/>
    </x:row>
    <x:row r="11097">
      <x:c r="A11097" s="85"/>
      <x:c r="B11097" s="86"/>
    </x:row>
    <x:row r="11098">
      <x:c r="A11098" s="85"/>
      <x:c r="B11098" s="86"/>
    </x:row>
    <x:row r="11099">
      <x:c r="A11099" s="85"/>
      <x:c r="B11099" s="86"/>
    </x:row>
    <x:row r="11100">
      <x:c r="A11100" s="85"/>
      <x:c r="B11100" s="86"/>
    </x:row>
    <x:row r="11101">
      <x:c r="A11101" s="85"/>
      <x:c r="B11101" s="86"/>
    </x:row>
    <x:row r="11102">
      <x:c r="A11102" s="85"/>
      <x:c r="B11102" s="86"/>
    </x:row>
    <x:row r="11103">
      <x:c r="A11103" s="85"/>
      <x:c r="B11103" s="86"/>
    </x:row>
    <x:row r="11104">
      <x:c r="A11104" s="85"/>
      <x:c r="B11104" s="86"/>
    </x:row>
    <x:row r="11105">
      <x:c r="A11105" s="85"/>
      <x:c r="B11105" s="86"/>
    </x:row>
    <x:row r="11106">
      <x:c r="A11106" s="85"/>
      <x:c r="B11106" s="86"/>
    </x:row>
    <x:row r="11107">
      <x:c r="A11107" s="85"/>
      <x:c r="B11107" s="86"/>
    </x:row>
    <x:row r="11108">
      <x:c r="A11108" s="85"/>
      <x:c r="B11108" s="86"/>
    </x:row>
    <x:row r="11109">
      <x:c r="A11109" s="85"/>
      <x:c r="B11109" s="86"/>
    </x:row>
    <x:row r="11110">
      <x:c r="A11110" s="85"/>
      <x:c r="B11110" s="86"/>
    </x:row>
    <x:row r="11111">
      <x:c r="A11111" s="85"/>
      <x:c r="B11111" s="86"/>
    </x:row>
    <x:row r="11112">
      <x:c r="A11112" s="85"/>
      <x:c r="B11112" s="86"/>
    </x:row>
    <x:row r="11113">
      <x:c r="A11113" s="85"/>
      <x:c r="B11113" s="86"/>
    </x:row>
    <x:row r="11114">
      <x:c r="A11114" s="85"/>
      <x:c r="B11114" s="86"/>
    </x:row>
    <x:row r="11115">
      <x:c r="A11115" s="85"/>
      <x:c r="B11115" s="86"/>
    </x:row>
    <x:row r="11116">
      <x:c r="A11116" s="85"/>
      <x:c r="B11116" s="86"/>
    </x:row>
    <x:row r="11117">
      <x:c r="A11117" s="85"/>
      <x:c r="B11117" s="86"/>
    </x:row>
    <x:row r="11118">
      <x:c r="A11118" s="85"/>
      <x:c r="B11118" s="86"/>
    </x:row>
    <x:row r="11119">
      <x:c r="A11119" s="85"/>
      <x:c r="B11119" s="86"/>
    </x:row>
    <x:row r="11120">
      <x:c r="A11120" s="85"/>
      <x:c r="B11120" s="86"/>
    </x:row>
    <x:row r="11121">
      <x:c r="A11121" s="85"/>
      <x:c r="B11121" s="86"/>
    </x:row>
    <x:row r="11122">
      <x:c r="A11122" s="85"/>
      <x:c r="B11122" s="86"/>
    </x:row>
    <x:row r="11123">
      <x:c r="A11123" s="85"/>
      <x:c r="B11123" s="86"/>
    </x:row>
    <x:row r="11124">
      <x:c r="A11124" s="85"/>
      <x:c r="B11124" s="86"/>
    </x:row>
    <x:row r="11125">
      <x:c r="A11125" s="85"/>
      <x:c r="B11125" s="86"/>
    </x:row>
    <x:row r="11126">
      <x:c r="A11126" s="85"/>
      <x:c r="B11126" s="86"/>
    </x:row>
    <x:row r="11127">
      <x:c r="A11127" s="85"/>
      <x:c r="B11127" s="86"/>
    </x:row>
    <x:row r="11128">
      <x:c r="A11128" s="85"/>
      <x:c r="B11128" s="86"/>
    </x:row>
    <x:row r="11129">
      <x:c r="A11129" s="85"/>
      <x:c r="B11129" s="86"/>
    </x:row>
    <x:row r="11130">
      <x:c r="A11130" s="85"/>
      <x:c r="B11130" s="86"/>
    </x:row>
    <x:row r="11131">
      <x:c r="A11131" s="85"/>
      <x:c r="B11131" s="86"/>
    </x:row>
    <x:row r="11132">
      <x:c r="A11132" s="85"/>
      <x:c r="B11132" s="86"/>
    </x:row>
    <x:row r="11133">
      <x:c r="A11133" s="85"/>
      <x:c r="B11133" s="86"/>
    </x:row>
    <x:row r="11134">
      <x:c r="A11134" s="85"/>
      <x:c r="B11134" s="86"/>
    </x:row>
    <x:row r="11135">
      <x:c r="A11135" s="85"/>
      <x:c r="B11135" s="86"/>
    </x:row>
    <x:row r="11136">
      <x:c r="A11136" s="85"/>
      <x:c r="B11136" s="86"/>
    </x:row>
    <x:row r="11137">
      <x:c r="A11137" s="85"/>
      <x:c r="B11137" s="86"/>
    </x:row>
    <x:row r="11138">
      <x:c r="A11138" s="85"/>
      <x:c r="B11138" s="86"/>
    </x:row>
    <x:row r="11139">
      <x:c r="A11139" s="85"/>
      <x:c r="B11139" s="86"/>
    </x:row>
    <x:row r="11140">
      <x:c r="A11140" s="85"/>
      <x:c r="B11140" s="86"/>
    </x:row>
    <x:row r="11141">
      <x:c r="A11141" s="85"/>
      <x:c r="B11141" s="86"/>
    </x:row>
    <x:row r="11142">
      <x:c r="A11142" s="85"/>
      <x:c r="B11142" s="86"/>
    </x:row>
    <x:row r="11143">
      <x:c r="A11143" s="85"/>
      <x:c r="B11143" s="86"/>
    </x:row>
    <x:row r="11144">
      <x:c r="A11144" s="85"/>
      <x:c r="B11144" s="86"/>
    </x:row>
    <x:row r="11145">
      <x:c r="A11145" s="85"/>
      <x:c r="B11145" s="86"/>
    </x:row>
    <x:row r="11146">
      <x:c r="A11146" s="85"/>
      <x:c r="B11146" s="86"/>
    </x:row>
    <x:row r="11147">
      <x:c r="A11147" s="85"/>
      <x:c r="B11147" s="86"/>
    </x:row>
    <x:row r="11148">
      <x:c r="A11148" s="85"/>
      <x:c r="B11148" s="86"/>
    </x:row>
    <x:row r="11149">
      <x:c r="A11149" s="85"/>
      <x:c r="B11149" s="86"/>
    </x:row>
    <x:row r="11150">
      <x:c r="A11150" s="85"/>
      <x:c r="B11150" s="86"/>
    </x:row>
    <x:row r="11151">
      <x:c r="A11151" s="85"/>
      <x:c r="B11151" s="86"/>
    </x:row>
    <x:row r="11152">
      <x:c r="A11152" s="85"/>
      <x:c r="B11152" s="86"/>
    </x:row>
    <x:row r="11153">
      <x:c r="A11153" s="85"/>
      <x:c r="B11153" s="86"/>
    </x:row>
    <x:row r="11154">
      <x:c r="A11154" s="85"/>
      <x:c r="B11154" s="86"/>
    </x:row>
    <x:row r="11155">
      <x:c r="A11155" s="85"/>
      <x:c r="B11155" s="86"/>
    </x:row>
    <x:row r="11156">
      <x:c r="A11156" s="85"/>
      <x:c r="B11156" s="86"/>
    </x:row>
    <x:row r="11157">
      <x:c r="A11157" s="85"/>
      <x:c r="B11157" s="86"/>
    </x:row>
    <x:row r="11158">
      <x:c r="A11158" s="85"/>
      <x:c r="B11158" s="86"/>
    </x:row>
    <x:row r="11159">
      <x:c r="A11159" s="85"/>
      <x:c r="B11159" s="86"/>
    </x:row>
    <x:row r="11160">
      <x:c r="A11160" s="85"/>
      <x:c r="B11160" s="86"/>
    </x:row>
    <x:row r="11161">
      <x:c r="A11161" s="85"/>
      <x:c r="B11161" s="86"/>
    </x:row>
    <x:row r="11162">
      <x:c r="A11162" s="85"/>
      <x:c r="B11162" s="86"/>
    </x:row>
    <x:row r="11163">
      <x:c r="A11163" s="85"/>
      <x:c r="B11163" s="86"/>
    </x:row>
    <x:row r="11164">
      <x:c r="A11164" s="85"/>
      <x:c r="B11164" s="86"/>
    </x:row>
    <x:row r="11165">
      <x:c r="A11165" s="85"/>
      <x:c r="B11165" s="86"/>
    </x:row>
    <x:row r="11166">
      <x:c r="A11166" s="85"/>
      <x:c r="B11166" s="86"/>
    </x:row>
    <x:row r="11167">
      <x:c r="A11167" s="85"/>
      <x:c r="B11167" s="86"/>
    </x:row>
    <x:row r="11168">
      <x:c r="A11168" s="85"/>
      <x:c r="B11168" s="86"/>
    </x:row>
    <x:row r="11169">
      <x:c r="A11169" s="85"/>
      <x:c r="B11169" s="86"/>
    </x:row>
    <x:row r="11170">
      <x:c r="A11170" s="85"/>
      <x:c r="B11170" s="86"/>
    </x:row>
    <x:row r="11171">
      <x:c r="A11171" s="85"/>
      <x:c r="B11171" s="86"/>
    </x:row>
    <x:row r="11172">
      <x:c r="A11172" s="85"/>
      <x:c r="B11172" s="86"/>
    </x:row>
    <x:row r="11173">
      <x:c r="A11173" s="85"/>
      <x:c r="B11173" s="86"/>
    </x:row>
    <x:row r="11174">
      <x:c r="A11174" s="85"/>
      <x:c r="B11174" s="86"/>
    </x:row>
    <x:row r="11175">
      <x:c r="A11175" s="85"/>
      <x:c r="B11175" s="86"/>
    </x:row>
    <x:row r="11176">
      <x:c r="A11176" s="85"/>
      <x:c r="B11176" s="86"/>
    </x:row>
    <x:row r="11177">
      <x:c r="A11177" s="85"/>
      <x:c r="B11177" s="86"/>
    </x:row>
    <x:row r="11178">
      <x:c r="A11178" s="85"/>
      <x:c r="B11178" s="86"/>
    </x:row>
    <x:row r="11179">
      <x:c r="A11179" s="85"/>
      <x:c r="B11179" s="86"/>
    </x:row>
    <x:row r="11180">
      <x:c r="A11180" s="85"/>
      <x:c r="B11180" s="86"/>
    </x:row>
    <x:row r="11181">
      <x:c r="A11181" s="85"/>
      <x:c r="B11181" s="86"/>
    </x:row>
    <x:row r="11182">
      <x:c r="A11182" s="85"/>
      <x:c r="B11182" s="86"/>
    </x:row>
    <x:row r="11183">
      <x:c r="A11183" s="85"/>
      <x:c r="B11183" s="86"/>
    </x:row>
    <x:row r="11184">
      <x:c r="A11184" s="85"/>
      <x:c r="B11184" s="86"/>
    </x:row>
    <x:row r="11185">
      <x:c r="A11185" s="85"/>
      <x:c r="B11185" s="86"/>
    </x:row>
    <x:row r="11186">
      <x:c r="A11186" s="85"/>
      <x:c r="B11186" s="86"/>
    </x:row>
    <x:row r="11187">
      <x:c r="A11187" s="85"/>
      <x:c r="B11187" s="86"/>
    </x:row>
    <x:row r="11188">
      <x:c r="A11188" s="85"/>
      <x:c r="B11188" s="86"/>
    </x:row>
    <x:row r="11189">
      <x:c r="A11189" s="85"/>
      <x:c r="B11189" s="86"/>
    </x:row>
    <x:row r="11190">
      <x:c r="A11190" s="85"/>
      <x:c r="B11190" s="86"/>
    </x:row>
    <x:row r="11191">
      <x:c r="A11191" s="85"/>
      <x:c r="B11191" s="86"/>
    </x:row>
    <x:row r="11192">
      <x:c r="A11192" s="85"/>
      <x:c r="B11192" s="86"/>
    </x:row>
    <x:row r="11193">
      <x:c r="A11193" s="85"/>
      <x:c r="B11193" s="86"/>
    </x:row>
    <x:row r="11194">
      <x:c r="A11194" s="85"/>
      <x:c r="B11194" s="86"/>
    </x:row>
    <x:row r="11195">
      <x:c r="A11195" s="85"/>
      <x:c r="B11195" s="86"/>
    </x:row>
    <x:row r="11196">
      <x:c r="A11196" s="85"/>
      <x:c r="B11196" s="86"/>
    </x:row>
    <x:row r="11197">
      <x:c r="A11197" s="85"/>
      <x:c r="B11197" s="86"/>
    </x:row>
    <x:row r="11198">
      <x:c r="A11198" s="85"/>
      <x:c r="B11198" s="86"/>
    </x:row>
    <x:row r="11199">
      <x:c r="A11199" s="85"/>
      <x:c r="B11199" s="86"/>
    </x:row>
    <x:row r="11200">
      <x:c r="A11200" s="85"/>
      <x:c r="B11200" s="86"/>
    </x:row>
    <x:row r="11201">
      <x:c r="A11201" s="85"/>
      <x:c r="B11201" s="86"/>
    </x:row>
    <x:row r="11202">
      <x:c r="A11202" s="85"/>
      <x:c r="B11202" s="86"/>
    </x:row>
    <x:row r="11203">
      <x:c r="A11203" s="85"/>
      <x:c r="B11203" s="86"/>
    </x:row>
    <x:row r="11204">
      <x:c r="A11204" s="85"/>
      <x:c r="B11204" s="86"/>
    </x:row>
    <x:row r="11205">
      <x:c r="A11205" s="85"/>
      <x:c r="B11205" s="86"/>
    </x:row>
    <x:row r="11206">
      <x:c r="A11206" s="85"/>
      <x:c r="B11206" s="86"/>
    </x:row>
    <x:row r="11207">
      <x:c r="A11207" s="85"/>
      <x:c r="B11207" s="86"/>
    </x:row>
    <x:row r="11208">
      <x:c r="A11208" s="85"/>
      <x:c r="B11208" s="86"/>
    </x:row>
    <x:row r="11209">
      <x:c r="A11209" s="85"/>
      <x:c r="B11209" s="86"/>
    </x:row>
    <x:row r="11210">
      <x:c r="A11210" s="85"/>
      <x:c r="B11210" s="86"/>
    </x:row>
    <x:row r="11211">
      <x:c r="A11211" s="85"/>
      <x:c r="B11211" s="86"/>
    </x:row>
    <x:row r="11212">
      <x:c r="A11212" s="85"/>
      <x:c r="B11212" s="86"/>
    </x:row>
    <x:row r="11213">
      <x:c r="A11213" s="85"/>
      <x:c r="B11213" s="86"/>
    </x:row>
    <x:row r="11214">
      <x:c r="A11214" s="85"/>
      <x:c r="B11214" s="86"/>
    </x:row>
    <x:row r="11215">
      <x:c r="A11215" s="85"/>
      <x:c r="B11215" s="86"/>
    </x:row>
    <x:row r="11216">
      <x:c r="A11216" s="85"/>
      <x:c r="B11216" s="86"/>
    </x:row>
    <x:row r="11217">
      <x:c r="A11217" s="85"/>
      <x:c r="B11217" s="86"/>
    </x:row>
    <x:row r="11218">
      <x:c r="A11218" s="85"/>
      <x:c r="B11218" s="86"/>
    </x:row>
    <x:row r="11219">
      <x:c r="A11219" s="85"/>
      <x:c r="B11219" s="86"/>
    </x:row>
    <x:row r="11220">
      <x:c r="A11220" s="85"/>
      <x:c r="B11220" s="86"/>
    </x:row>
    <x:row r="11221">
      <x:c r="A11221" s="85"/>
      <x:c r="B11221" s="86"/>
    </x:row>
    <x:row r="11222">
      <x:c r="A11222" s="85"/>
      <x:c r="B11222" s="86"/>
    </x:row>
    <x:row r="11223">
      <x:c r="A11223" s="85"/>
      <x:c r="B11223" s="86"/>
    </x:row>
    <x:row r="11224">
      <x:c r="A11224" s="85"/>
      <x:c r="B11224" s="86"/>
    </x:row>
    <x:row r="11225">
      <x:c r="A11225" s="85"/>
      <x:c r="B11225" s="86"/>
    </x:row>
    <x:row r="11226">
      <x:c r="A11226" s="85"/>
      <x:c r="B11226" s="86"/>
    </x:row>
    <x:row r="11227">
      <x:c r="A11227" s="85"/>
      <x:c r="B11227" s="86"/>
    </x:row>
    <x:row r="11228">
      <x:c r="A11228" s="85"/>
      <x:c r="B11228" s="86"/>
    </x:row>
    <x:row r="11229">
      <x:c r="A11229" s="85"/>
      <x:c r="B11229" s="86"/>
    </x:row>
    <x:row r="11230">
      <x:c r="A11230" s="85"/>
      <x:c r="B11230" s="86"/>
    </x:row>
    <x:row r="11231">
      <x:c r="A11231" s="85"/>
      <x:c r="B11231" s="86"/>
    </x:row>
    <x:row r="11232">
      <x:c r="A11232" s="85"/>
      <x:c r="B11232" s="86"/>
    </x:row>
    <x:row r="11233">
      <x:c r="A11233" s="85"/>
      <x:c r="B11233" s="86"/>
    </x:row>
    <x:row r="11234">
      <x:c r="A11234" s="85"/>
      <x:c r="B11234" s="86"/>
    </x:row>
    <x:row r="11235">
      <x:c r="A11235" s="85"/>
      <x:c r="B11235" s="86"/>
    </x:row>
    <x:row r="11236">
      <x:c r="A11236" s="85"/>
      <x:c r="B11236" s="86"/>
    </x:row>
    <x:row r="11237">
      <x:c r="A11237" s="85"/>
      <x:c r="B11237" s="86"/>
    </x:row>
    <x:row r="11238">
      <x:c r="A11238" s="85"/>
      <x:c r="B11238" s="86"/>
    </x:row>
    <x:row r="11239">
      <x:c r="A11239" s="85"/>
      <x:c r="B11239" s="86"/>
    </x:row>
    <x:row r="11240">
      <x:c r="A11240" s="85"/>
      <x:c r="B11240" s="86"/>
    </x:row>
    <x:row r="11241">
      <x:c r="A11241" s="85"/>
      <x:c r="B11241" s="86"/>
    </x:row>
    <x:row r="11242">
      <x:c r="A11242" s="85"/>
      <x:c r="B11242" s="86"/>
    </x:row>
    <x:row r="11243">
      <x:c r="A11243" s="85"/>
      <x:c r="B11243" s="86"/>
    </x:row>
    <x:row r="11244">
      <x:c r="A11244" s="85"/>
      <x:c r="B11244" s="86"/>
    </x:row>
    <x:row r="11245">
      <x:c r="A11245" s="85"/>
      <x:c r="B11245" s="86"/>
    </x:row>
    <x:row r="11246">
      <x:c r="A11246" s="85"/>
      <x:c r="B11246" s="86"/>
    </x:row>
    <x:row r="11247">
      <x:c r="A11247" s="85"/>
      <x:c r="B11247" s="86"/>
    </x:row>
    <x:row r="11248">
      <x:c r="A11248" s="85"/>
      <x:c r="B11248" s="86"/>
    </x:row>
    <x:row r="11249">
      <x:c r="A11249" s="85"/>
      <x:c r="B11249" s="86"/>
    </x:row>
    <x:row r="11250">
      <x:c r="A11250" s="85"/>
      <x:c r="B11250" s="86"/>
    </x:row>
    <x:row r="11251">
      <x:c r="A11251" s="85"/>
      <x:c r="B11251" s="86"/>
    </x:row>
    <x:row r="11252">
      <x:c r="A11252" s="85"/>
      <x:c r="B11252" s="86"/>
    </x:row>
    <x:row r="11253">
      <x:c r="A11253" s="85"/>
      <x:c r="B11253" s="86"/>
    </x:row>
    <x:row r="11254">
      <x:c r="A11254" s="85"/>
      <x:c r="B11254" s="86"/>
    </x:row>
    <x:row r="11255">
      <x:c r="A11255" s="85"/>
      <x:c r="B11255" s="86"/>
    </x:row>
    <x:row r="11256">
      <x:c r="A11256" s="85"/>
      <x:c r="B11256" s="86"/>
    </x:row>
    <x:row r="11257">
      <x:c r="A11257" s="85"/>
      <x:c r="B11257" s="86"/>
    </x:row>
    <x:row r="11258">
      <x:c r="A11258" s="85"/>
      <x:c r="B11258" s="86"/>
    </x:row>
    <x:row r="11259">
      <x:c r="A11259" s="85"/>
      <x:c r="B11259" s="86"/>
    </x:row>
    <x:row r="11260">
      <x:c r="A11260" s="85"/>
      <x:c r="B11260" s="86"/>
    </x:row>
    <x:row r="11261">
      <x:c r="A11261" s="85"/>
      <x:c r="B11261" s="86"/>
    </x:row>
    <x:row r="11262">
      <x:c r="A11262" s="85"/>
      <x:c r="B11262" s="86"/>
    </x:row>
    <x:row r="11263">
      <x:c r="A11263" s="85"/>
      <x:c r="B11263" s="86"/>
    </x:row>
    <x:row r="11264">
      <x:c r="A11264" s="85"/>
      <x:c r="B11264" s="86"/>
    </x:row>
    <x:row r="11265">
      <x:c r="A11265" s="85"/>
      <x:c r="B11265" s="86"/>
    </x:row>
    <x:row r="11266">
      <x:c r="A11266" s="85"/>
      <x:c r="B11266" s="86"/>
    </x:row>
    <x:row r="11267">
      <x:c r="A11267" s="85"/>
      <x:c r="B11267" s="86"/>
    </x:row>
    <x:row r="11268">
      <x:c r="A11268" s="85"/>
      <x:c r="B11268" s="86"/>
    </x:row>
    <x:row r="11269">
      <x:c r="A11269" s="85"/>
      <x:c r="B11269" s="86"/>
    </x:row>
    <x:row r="11270">
      <x:c r="A11270" s="85"/>
      <x:c r="B11270" s="86"/>
    </x:row>
    <x:row r="11271">
      <x:c r="A11271" s="85"/>
      <x:c r="B11271" s="86"/>
    </x:row>
    <x:row r="11272">
      <x:c r="A11272" s="85"/>
      <x:c r="B11272" s="86"/>
    </x:row>
    <x:row r="11273">
      <x:c r="A11273" s="85"/>
      <x:c r="B11273" s="86"/>
    </x:row>
    <x:row r="11274">
      <x:c r="A11274" s="85"/>
      <x:c r="B11274" s="86"/>
    </x:row>
    <x:row r="11275">
      <x:c r="A11275" s="85"/>
      <x:c r="B11275" s="86"/>
    </x:row>
    <x:row r="11276">
      <x:c r="A11276" s="85"/>
      <x:c r="B11276" s="86"/>
    </x:row>
    <x:row r="11277">
      <x:c r="A11277" s="85"/>
      <x:c r="B11277" s="86"/>
    </x:row>
    <x:row r="11278">
      <x:c r="A11278" s="85"/>
      <x:c r="B11278" s="86"/>
    </x:row>
    <x:row r="11279">
      <x:c r="A11279" s="85"/>
      <x:c r="B11279" s="86"/>
    </x:row>
    <x:row r="11280">
      <x:c r="A11280" s="85"/>
      <x:c r="B11280" s="86"/>
    </x:row>
    <x:row r="11281">
      <x:c r="A11281" s="85"/>
      <x:c r="B11281" s="86"/>
    </x:row>
    <x:row r="11282">
      <x:c r="A11282" s="85"/>
      <x:c r="B11282" s="86"/>
    </x:row>
    <x:row r="11283">
      <x:c r="A11283" s="85"/>
      <x:c r="B11283" s="86"/>
    </x:row>
    <x:row r="11284">
      <x:c r="A11284" s="85"/>
      <x:c r="B11284" s="86"/>
    </x:row>
    <x:row r="11285">
      <x:c r="A11285" s="85"/>
      <x:c r="B11285" s="86"/>
    </x:row>
    <x:row r="11286">
      <x:c r="A11286" s="85"/>
      <x:c r="B11286" s="86"/>
    </x:row>
    <x:row r="11287">
      <x:c r="A11287" s="85"/>
      <x:c r="B11287" s="86"/>
    </x:row>
    <x:row r="11288">
      <x:c r="A11288" s="85"/>
      <x:c r="B11288" s="86"/>
    </x:row>
    <x:row r="11289">
      <x:c r="A11289" s="85"/>
      <x:c r="B11289" s="86"/>
    </x:row>
    <x:row r="11290">
      <x:c r="A11290" s="85"/>
      <x:c r="B11290" s="86"/>
    </x:row>
    <x:row r="11291">
      <x:c r="A11291" s="85"/>
      <x:c r="B11291" s="86"/>
    </x:row>
    <x:row r="11292">
      <x:c r="A11292" s="85"/>
      <x:c r="B11292" s="86"/>
    </x:row>
    <x:row r="11293">
      <x:c r="A11293" s="85"/>
      <x:c r="B11293" s="86"/>
    </x:row>
    <x:row r="11294">
      <x:c r="A11294" s="85"/>
      <x:c r="B11294" s="86"/>
    </x:row>
    <x:row r="11295">
      <x:c r="A11295" s="85"/>
      <x:c r="B11295" s="86"/>
    </x:row>
    <x:row r="11296">
      <x:c r="A11296" s="85"/>
      <x:c r="B11296" s="86"/>
    </x:row>
    <x:row r="11297">
      <x:c r="A11297" s="85"/>
      <x:c r="B11297" s="86"/>
    </x:row>
    <x:row r="11298">
      <x:c r="A11298" s="85"/>
      <x:c r="B11298" s="86"/>
    </x:row>
    <x:row r="11299">
      <x:c r="A11299" s="85"/>
      <x:c r="B11299" s="86"/>
    </x:row>
    <x:row r="11300">
      <x:c r="A11300" s="85"/>
      <x:c r="B11300" s="86"/>
    </x:row>
    <x:row r="11301">
      <x:c r="A11301" s="85"/>
      <x:c r="B11301" s="86"/>
    </x:row>
    <x:row r="11302">
      <x:c r="A11302" s="85"/>
      <x:c r="B11302" s="86"/>
    </x:row>
    <x:row r="11303">
      <x:c r="A11303" s="85"/>
      <x:c r="B11303" s="86"/>
    </x:row>
    <x:row r="11304">
      <x:c r="A11304" s="85"/>
      <x:c r="B11304" s="86"/>
    </x:row>
    <x:row r="11305">
      <x:c r="A11305" s="85"/>
      <x:c r="B11305" s="86"/>
    </x:row>
    <x:row r="11306">
      <x:c r="A11306" s="85"/>
      <x:c r="B11306" s="86"/>
    </x:row>
    <x:row r="11307">
      <x:c r="A11307" s="85"/>
      <x:c r="B11307" s="86"/>
    </x:row>
    <x:row r="11308">
      <x:c r="A11308" s="85"/>
      <x:c r="B11308" s="86"/>
    </x:row>
    <x:row r="11309">
      <x:c r="A11309" s="85"/>
      <x:c r="B11309" s="86"/>
    </x:row>
    <x:row r="11310">
      <x:c r="A11310" s="85"/>
      <x:c r="B11310" s="86"/>
    </x:row>
    <x:row r="11311">
      <x:c r="A11311" s="85"/>
      <x:c r="B11311" s="86"/>
    </x:row>
    <x:row r="11312">
      <x:c r="A11312" s="85"/>
      <x:c r="B11312" s="86"/>
    </x:row>
    <x:row r="11313">
      <x:c r="A11313" s="85"/>
      <x:c r="B11313" s="86"/>
    </x:row>
    <x:row r="11314">
      <x:c r="A11314" s="85"/>
      <x:c r="B11314" s="86"/>
    </x:row>
    <x:row r="11315">
      <x:c r="A11315" s="85"/>
      <x:c r="B11315" s="86"/>
    </x:row>
    <x:row r="11316">
      <x:c r="A11316" s="85"/>
      <x:c r="B11316" s="86"/>
    </x:row>
    <x:row r="11317">
      <x:c r="A11317" s="85"/>
      <x:c r="B11317" s="86"/>
    </x:row>
    <x:row r="11318">
      <x:c r="A11318" s="85"/>
      <x:c r="B11318" s="86"/>
    </x:row>
    <x:row r="11319">
      <x:c r="A11319" s="85"/>
      <x:c r="B11319" s="86"/>
    </x:row>
    <x:row r="11320">
      <x:c r="A11320" s="85"/>
      <x:c r="B11320" s="86"/>
    </x:row>
    <x:row r="11321">
      <x:c r="A11321" s="85"/>
      <x:c r="B11321" s="86"/>
    </x:row>
    <x:row r="11322">
      <x:c r="A11322" s="85"/>
      <x:c r="B11322" s="86"/>
    </x:row>
    <x:row r="11323">
      <x:c r="A11323" s="85"/>
      <x:c r="B11323" s="86"/>
    </x:row>
    <x:row r="11324">
      <x:c r="A11324" s="85"/>
      <x:c r="B11324" s="86"/>
    </x:row>
    <x:row r="11325">
      <x:c r="A11325" s="85"/>
      <x:c r="B11325" s="86"/>
    </x:row>
    <x:row r="11326">
      <x:c r="A11326" s="85"/>
      <x:c r="B11326" s="86"/>
    </x:row>
    <x:row r="11327">
      <x:c r="A11327" s="85"/>
      <x:c r="B11327" s="86"/>
    </x:row>
    <x:row r="11328">
      <x:c r="A11328" s="85"/>
      <x:c r="B11328" s="86"/>
    </x:row>
    <x:row r="11329">
      <x:c r="A11329" s="85"/>
      <x:c r="B11329" s="86"/>
    </x:row>
    <x:row r="11330">
      <x:c r="A11330" s="85"/>
      <x:c r="B11330" s="86"/>
    </x:row>
    <x:row r="11331">
      <x:c r="A11331" s="85"/>
      <x:c r="B11331" s="86"/>
    </x:row>
    <x:row r="11332">
      <x:c r="A11332" s="85"/>
      <x:c r="B11332" s="86"/>
    </x:row>
    <x:row r="11333">
      <x:c r="A11333" s="85"/>
      <x:c r="B11333" s="86"/>
    </x:row>
    <x:row r="11334">
      <x:c r="A11334" s="85"/>
      <x:c r="B11334" s="86"/>
    </x:row>
    <x:row r="11335">
      <x:c r="A11335" s="85"/>
      <x:c r="B11335" s="86"/>
    </x:row>
    <x:row r="11336">
      <x:c r="A11336" s="85"/>
      <x:c r="B11336" s="86"/>
    </x:row>
    <x:row r="11337">
      <x:c r="A11337" s="85"/>
      <x:c r="B11337" s="86"/>
    </x:row>
    <x:row r="11338">
      <x:c r="A11338" s="85"/>
      <x:c r="B11338" s="86"/>
    </x:row>
    <x:row r="11339">
      <x:c r="A11339" s="85"/>
      <x:c r="B11339" s="86"/>
    </x:row>
    <x:row r="11340">
      <x:c r="A11340" s="85"/>
      <x:c r="B11340" s="86"/>
    </x:row>
    <x:row r="11341">
      <x:c r="A11341" s="85"/>
      <x:c r="B11341" s="86"/>
    </x:row>
    <x:row r="11342">
      <x:c r="A11342" s="85"/>
      <x:c r="B11342" s="86"/>
    </x:row>
    <x:row r="11343">
      <x:c r="A11343" s="85"/>
      <x:c r="B11343" s="86"/>
    </x:row>
    <x:row r="11344">
      <x:c r="A11344" s="85"/>
      <x:c r="B11344" s="86"/>
    </x:row>
    <x:row r="11345">
      <x:c r="A11345" s="85"/>
      <x:c r="B11345" s="86"/>
    </x:row>
    <x:row r="11346">
      <x:c r="A11346" s="85"/>
      <x:c r="B11346" s="86"/>
    </x:row>
    <x:row r="11347">
      <x:c r="A11347" s="85"/>
      <x:c r="B11347" s="86"/>
    </x:row>
    <x:row r="11348">
      <x:c r="A11348" s="85"/>
      <x:c r="B11348" s="86"/>
    </x:row>
    <x:row r="11349">
      <x:c r="A11349" s="85"/>
      <x:c r="B11349" s="86"/>
    </x:row>
    <x:row r="11350">
      <x:c r="A11350" s="85"/>
      <x:c r="B11350" s="86"/>
    </x:row>
    <x:row r="11351">
      <x:c r="A11351" s="85"/>
      <x:c r="B11351" s="86"/>
    </x:row>
    <x:row r="11352">
      <x:c r="A11352" s="85"/>
      <x:c r="B11352" s="86"/>
    </x:row>
    <x:row r="11353">
      <x:c r="A11353" s="85"/>
      <x:c r="B11353" s="86"/>
    </x:row>
    <x:row r="11354">
      <x:c r="A11354" s="85"/>
      <x:c r="B11354" s="86"/>
    </x:row>
    <x:row r="11355">
      <x:c r="A11355" s="85"/>
      <x:c r="B11355" s="86"/>
    </x:row>
    <x:row r="11356">
      <x:c r="A11356" s="85"/>
      <x:c r="B11356" s="86"/>
    </x:row>
    <x:row r="11357">
      <x:c r="A11357" s="85"/>
      <x:c r="B11357" s="86"/>
    </x:row>
    <x:row r="11358">
      <x:c r="A11358" s="85"/>
      <x:c r="B11358" s="86"/>
    </x:row>
    <x:row r="11359">
      <x:c r="A11359" s="85"/>
      <x:c r="B11359" s="86"/>
    </x:row>
    <x:row r="11360">
      <x:c r="A11360" s="85"/>
      <x:c r="B11360" s="86"/>
    </x:row>
    <x:row r="11361">
      <x:c r="A11361" s="85"/>
      <x:c r="B11361" s="86"/>
    </x:row>
    <x:row r="11362">
      <x:c r="A11362" s="85"/>
      <x:c r="B11362" s="86"/>
    </x:row>
    <x:row r="11363">
      <x:c r="A11363" s="85"/>
      <x:c r="B11363" s="86"/>
    </x:row>
    <x:row r="11364">
      <x:c r="A11364" s="85"/>
      <x:c r="B11364" s="86"/>
    </x:row>
    <x:row r="11365">
      <x:c r="A11365" s="85"/>
      <x:c r="B11365" s="86"/>
    </x:row>
    <x:row r="11366">
      <x:c r="A11366" s="85"/>
      <x:c r="B11366" s="86"/>
    </x:row>
    <x:row r="11367">
      <x:c r="A11367" s="85"/>
      <x:c r="B11367" s="86"/>
    </x:row>
    <x:row r="11368">
      <x:c r="A11368" s="85"/>
      <x:c r="B11368" s="86"/>
    </x:row>
    <x:row r="11369">
      <x:c r="A11369" s="85"/>
      <x:c r="B11369" s="86"/>
    </x:row>
    <x:row r="11370">
      <x:c r="A11370" s="85"/>
      <x:c r="B11370" s="86"/>
    </x:row>
    <x:row r="11371">
      <x:c r="A11371" s="85"/>
      <x:c r="B11371" s="86"/>
    </x:row>
    <x:row r="11372">
      <x:c r="A11372" s="85"/>
      <x:c r="B11372" s="86"/>
    </x:row>
    <x:row r="11373">
      <x:c r="A11373" s="85"/>
      <x:c r="B11373" s="86"/>
    </x:row>
    <x:row r="11374">
      <x:c r="A11374" s="85"/>
      <x:c r="B11374" s="86"/>
    </x:row>
    <x:row r="11375">
      <x:c r="A11375" s="85"/>
      <x:c r="B11375" s="86"/>
    </x:row>
    <x:row r="11376">
      <x:c r="A11376" s="85"/>
      <x:c r="B11376" s="86"/>
    </x:row>
    <x:row r="11377">
      <x:c r="A11377" s="85"/>
      <x:c r="B11377" s="86"/>
    </x:row>
    <x:row r="11378">
      <x:c r="A11378" s="85"/>
      <x:c r="B11378" s="86"/>
    </x:row>
    <x:row r="11379">
      <x:c r="A11379" s="85"/>
      <x:c r="B11379" s="86"/>
    </x:row>
    <x:row r="11380">
      <x:c r="A11380" s="85"/>
      <x:c r="B11380" s="86"/>
    </x:row>
    <x:row r="11381">
      <x:c r="A11381" s="85"/>
      <x:c r="B11381" s="86"/>
    </x:row>
    <x:row r="11382">
      <x:c r="A11382" s="85"/>
      <x:c r="B11382" s="86"/>
    </x:row>
    <x:row r="11383">
      <x:c r="A11383" s="85"/>
      <x:c r="B11383" s="86"/>
    </x:row>
    <x:row r="11384">
      <x:c r="A11384" s="85"/>
      <x:c r="B11384" s="86"/>
    </x:row>
    <x:row r="11385">
      <x:c r="A11385" s="85"/>
      <x:c r="B11385" s="86"/>
    </x:row>
    <x:row r="11386">
      <x:c r="A11386" s="85"/>
      <x:c r="B11386" s="86"/>
    </x:row>
    <x:row r="11387">
      <x:c r="A11387" s="85"/>
      <x:c r="B11387" s="86"/>
    </x:row>
    <x:row r="11388">
      <x:c r="A11388" s="85"/>
      <x:c r="B11388" s="86"/>
    </x:row>
    <x:row r="11389">
      <x:c r="A11389" s="85"/>
      <x:c r="B11389" s="86"/>
    </x:row>
    <x:row r="11390">
      <x:c r="A11390" s="85"/>
      <x:c r="B11390" s="86"/>
    </x:row>
    <x:row r="11391">
      <x:c r="A11391" s="85"/>
      <x:c r="B11391" s="86"/>
    </x:row>
    <x:row r="11392">
      <x:c r="A11392" s="85"/>
      <x:c r="B11392" s="86"/>
    </x:row>
    <x:row r="11393">
      <x:c r="A11393" s="85"/>
      <x:c r="B11393" s="86"/>
    </x:row>
    <x:row r="11394">
      <x:c r="A11394" s="85"/>
      <x:c r="B11394" s="86"/>
    </x:row>
    <x:row r="11395">
      <x:c r="A11395" s="85"/>
      <x:c r="B11395" s="86"/>
    </x:row>
    <x:row r="11396">
      <x:c r="A11396" s="85"/>
      <x:c r="B11396" s="86"/>
    </x:row>
    <x:row r="11397">
      <x:c r="A11397" s="85"/>
      <x:c r="B11397" s="86"/>
    </x:row>
    <x:row r="11398">
      <x:c r="A11398" s="85"/>
      <x:c r="B11398" s="86"/>
    </x:row>
    <x:row r="11399">
      <x:c r="A11399" s="85"/>
      <x:c r="B11399" s="86"/>
    </x:row>
    <x:row r="11400">
      <x:c r="A11400" s="85"/>
      <x:c r="B11400" s="86"/>
    </x:row>
    <x:row r="11401">
      <x:c r="A11401" s="85"/>
      <x:c r="B11401" s="86"/>
    </x:row>
    <x:row r="11402">
      <x:c r="A11402" s="85"/>
      <x:c r="B11402" s="86"/>
    </x:row>
    <x:row r="11403">
      <x:c r="A11403" s="85"/>
      <x:c r="B11403" s="86"/>
    </x:row>
    <x:row r="11404">
      <x:c r="A11404" s="85"/>
      <x:c r="B11404" s="86"/>
    </x:row>
    <x:row r="11405">
      <x:c r="A11405" s="85"/>
      <x:c r="B11405" s="86"/>
    </x:row>
    <x:row r="11406">
      <x:c r="A11406" s="85"/>
      <x:c r="B11406" s="86"/>
    </x:row>
    <x:row r="11407">
      <x:c r="A11407" s="85"/>
      <x:c r="B11407" s="86"/>
    </x:row>
    <x:row r="11408">
      <x:c r="A11408" s="85"/>
      <x:c r="B11408" s="86"/>
    </x:row>
    <x:row r="11409">
      <x:c r="A11409" s="85"/>
      <x:c r="B11409" s="86"/>
    </x:row>
    <x:row r="11410">
      <x:c r="A11410" s="85"/>
      <x:c r="B11410" s="86"/>
    </x:row>
    <x:row r="11411">
      <x:c r="A11411" s="85"/>
      <x:c r="B11411" s="86"/>
    </x:row>
    <x:row r="11412">
      <x:c r="A11412" s="85"/>
      <x:c r="B11412" s="86"/>
    </x:row>
    <x:row r="11413">
      <x:c r="A11413" s="85"/>
      <x:c r="B11413" s="86"/>
    </x:row>
    <x:row r="11414">
      <x:c r="A11414" s="85"/>
      <x:c r="B11414" s="86"/>
    </x:row>
    <x:row r="11415">
      <x:c r="A11415" s="85"/>
      <x:c r="B11415" s="86"/>
    </x:row>
    <x:row r="11416">
      <x:c r="A11416" s="85"/>
      <x:c r="B11416" s="86"/>
    </x:row>
    <x:row r="11417">
      <x:c r="A11417" s="85"/>
      <x:c r="B11417" s="86"/>
    </x:row>
    <x:row r="11418">
      <x:c r="A11418" s="85"/>
      <x:c r="B11418" s="86"/>
    </x:row>
    <x:row r="11419">
      <x:c r="A11419" s="85"/>
      <x:c r="B11419" s="86"/>
    </x:row>
    <x:row r="11420">
      <x:c r="A11420" s="85"/>
      <x:c r="B11420" s="86"/>
    </x:row>
    <x:row r="11421">
      <x:c r="A11421" s="85"/>
      <x:c r="B11421" s="86"/>
    </x:row>
    <x:row r="11422">
      <x:c r="A11422" s="85"/>
      <x:c r="B11422" s="86"/>
    </x:row>
    <x:row r="11423">
      <x:c r="A11423" s="85"/>
      <x:c r="B11423" s="86"/>
    </x:row>
    <x:row r="11424">
      <x:c r="A11424" s="85"/>
      <x:c r="B11424" s="86"/>
    </x:row>
    <x:row r="11425">
      <x:c r="A11425" s="85"/>
      <x:c r="B11425" s="86"/>
    </x:row>
    <x:row r="11426">
      <x:c r="A11426" s="85"/>
      <x:c r="B11426" s="86"/>
    </x:row>
    <x:row r="11427">
      <x:c r="A11427" s="85"/>
      <x:c r="B11427" s="86"/>
    </x:row>
    <x:row r="11428">
      <x:c r="A11428" s="85"/>
      <x:c r="B11428" s="86"/>
    </x:row>
    <x:row r="11429">
      <x:c r="A11429" s="85"/>
      <x:c r="B11429" s="86"/>
    </x:row>
    <x:row r="11430">
      <x:c r="A11430" s="85"/>
      <x:c r="B11430" s="86"/>
    </x:row>
    <x:row r="11431">
      <x:c r="A11431" s="85"/>
      <x:c r="B11431" s="86"/>
    </x:row>
    <x:row r="11432">
      <x:c r="A11432" s="85"/>
      <x:c r="B11432" s="86"/>
    </x:row>
    <x:row r="11433">
      <x:c r="A11433" s="85"/>
      <x:c r="B11433" s="86"/>
    </x:row>
    <x:row r="11434">
      <x:c r="A11434" s="85"/>
      <x:c r="B11434" s="86"/>
    </x:row>
    <x:row r="11435">
      <x:c r="A11435" s="85"/>
      <x:c r="B11435" s="86"/>
    </x:row>
    <x:row r="11436">
      <x:c r="A11436" s="85"/>
      <x:c r="B11436" s="86"/>
    </x:row>
    <x:row r="11437">
      <x:c r="A11437" s="85"/>
      <x:c r="B11437" s="86"/>
    </x:row>
    <x:row r="11438">
      <x:c r="A11438" s="85"/>
      <x:c r="B11438" s="86"/>
    </x:row>
    <x:row r="11439">
      <x:c r="A11439" s="85"/>
      <x:c r="B11439" s="86"/>
    </x:row>
    <x:row r="11440">
      <x:c r="A11440" s="85"/>
      <x:c r="B11440" s="86"/>
    </x:row>
    <x:row r="11441">
      <x:c r="A11441" s="85"/>
      <x:c r="B11441" s="86"/>
    </x:row>
    <x:row r="11442">
      <x:c r="A11442" s="85"/>
      <x:c r="B11442" s="86"/>
    </x:row>
    <x:row r="11443">
      <x:c r="A11443" s="85"/>
      <x:c r="B11443" s="86"/>
    </x:row>
    <x:row r="11444">
      <x:c r="A11444" s="85"/>
      <x:c r="B11444" s="86"/>
    </x:row>
    <x:row r="11445">
      <x:c r="A11445" s="85"/>
      <x:c r="B11445" s="86"/>
    </x:row>
    <x:row r="11446">
      <x:c r="A11446" s="85"/>
      <x:c r="B11446" s="86"/>
    </x:row>
    <x:row r="11447">
      <x:c r="A11447" s="85"/>
      <x:c r="B11447" s="86"/>
    </x:row>
    <x:row r="11448">
      <x:c r="A11448" s="85"/>
      <x:c r="B11448" s="86"/>
    </x:row>
    <x:row r="11449">
      <x:c r="A11449" s="85"/>
      <x:c r="B11449" s="86"/>
    </x:row>
    <x:row r="11450">
      <x:c r="A11450" s="85"/>
      <x:c r="B11450" s="86"/>
    </x:row>
    <x:row r="11451">
      <x:c r="A11451" s="85"/>
      <x:c r="B11451" s="86"/>
    </x:row>
    <x:row r="11452">
      <x:c r="A11452" s="85"/>
      <x:c r="B11452" s="86"/>
    </x:row>
    <x:row r="11453">
      <x:c r="A11453" s="85"/>
      <x:c r="B11453" s="86"/>
    </x:row>
    <x:row r="11454">
      <x:c r="A11454" s="85"/>
      <x:c r="B11454" s="86"/>
    </x:row>
    <x:row r="11455">
      <x:c r="A11455" s="85"/>
      <x:c r="B11455" s="86"/>
    </x:row>
    <x:row r="11456">
      <x:c r="A11456" s="85"/>
      <x:c r="B11456" s="86"/>
    </x:row>
    <x:row r="11457">
      <x:c r="A11457" s="85"/>
      <x:c r="B11457" s="86"/>
    </x:row>
    <x:row r="11458">
      <x:c r="A11458" s="85"/>
      <x:c r="B11458" s="86"/>
    </x:row>
    <x:row r="11459">
      <x:c r="A11459" s="85"/>
      <x:c r="B11459" s="86"/>
    </x:row>
    <x:row r="11460">
      <x:c r="A11460" s="85"/>
      <x:c r="B11460" s="86"/>
    </x:row>
    <x:row r="11461">
      <x:c r="A11461" s="85"/>
      <x:c r="B11461" s="86"/>
    </x:row>
    <x:row r="11462">
      <x:c r="A11462" s="85"/>
      <x:c r="B11462" s="86"/>
    </x:row>
    <x:row r="11463">
      <x:c r="A11463" s="85"/>
      <x:c r="B11463" s="86"/>
    </x:row>
    <x:row r="11464">
      <x:c r="A11464" s="85"/>
      <x:c r="B11464" s="86"/>
    </x:row>
    <x:row r="11465">
      <x:c r="A11465" s="85"/>
      <x:c r="B11465" s="86"/>
    </x:row>
    <x:row r="11466">
      <x:c r="A11466" s="85"/>
      <x:c r="B11466" s="86"/>
    </x:row>
    <x:row r="11467">
      <x:c r="A11467" s="85"/>
      <x:c r="B11467" s="86"/>
    </x:row>
    <x:row r="11468">
      <x:c r="A11468" s="85"/>
      <x:c r="B11468" s="86"/>
    </x:row>
    <x:row r="11469">
      <x:c r="A11469" s="85"/>
      <x:c r="B11469" s="86"/>
    </x:row>
    <x:row r="11470">
      <x:c r="A11470" s="85"/>
      <x:c r="B11470" s="86"/>
    </x:row>
    <x:row r="11471">
      <x:c r="A11471" s="85"/>
      <x:c r="B11471" s="86"/>
    </x:row>
    <x:row r="11472">
      <x:c r="A11472" s="85"/>
      <x:c r="B11472" s="86"/>
    </x:row>
    <x:row r="11473">
      <x:c r="A11473" s="85"/>
      <x:c r="B11473" s="86"/>
    </x:row>
    <x:row r="11474">
      <x:c r="A11474" s="85"/>
      <x:c r="B11474" s="86"/>
    </x:row>
    <x:row r="11475">
      <x:c r="A11475" s="85"/>
      <x:c r="B11475" s="86"/>
    </x:row>
    <x:row r="11476">
      <x:c r="A11476" s="85"/>
      <x:c r="B11476" s="86"/>
    </x:row>
    <x:row r="11477">
      <x:c r="A11477" s="85"/>
      <x:c r="B11477" s="86"/>
    </x:row>
    <x:row r="11478">
      <x:c r="A11478" s="85"/>
      <x:c r="B11478" s="86"/>
    </x:row>
    <x:row r="11479">
      <x:c r="A11479" s="85"/>
      <x:c r="B11479" s="86"/>
    </x:row>
    <x:row r="11480">
      <x:c r="A11480" s="85"/>
      <x:c r="B11480" s="86"/>
    </x:row>
    <x:row r="11481">
      <x:c r="A11481" s="85"/>
      <x:c r="B11481" s="86"/>
    </x:row>
    <x:row r="11482">
      <x:c r="A11482" s="85"/>
      <x:c r="B11482" s="86"/>
    </x:row>
    <x:row r="11483">
      <x:c r="A11483" s="85"/>
      <x:c r="B11483" s="86"/>
    </x:row>
    <x:row r="11484">
      <x:c r="A11484" s="85"/>
      <x:c r="B11484" s="86"/>
    </x:row>
    <x:row r="11485">
      <x:c r="A11485" s="85"/>
      <x:c r="B11485" s="86"/>
    </x:row>
    <x:row r="11486">
      <x:c r="A11486" s="85"/>
      <x:c r="B11486" s="86"/>
    </x:row>
    <x:row r="11487">
      <x:c r="A11487" s="85"/>
      <x:c r="B11487" s="86"/>
    </x:row>
    <x:row r="11488">
      <x:c r="A11488" s="85"/>
      <x:c r="B11488" s="86"/>
    </x:row>
    <x:row r="11489">
      <x:c r="A11489" s="85"/>
      <x:c r="B11489" s="86"/>
    </x:row>
    <x:row r="11490">
      <x:c r="A11490" s="85"/>
      <x:c r="B11490" s="86"/>
    </x:row>
    <x:row r="11491">
      <x:c r="A11491" s="85"/>
      <x:c r="B11491" s="86"/>
    </x:row>
    <x:row r="11492">
      <x:c r="A11492" s="85"/>
      <x:c r="B11492" s="86"/>
    </x:row>
    <x:row r="11493">
      <x:c r="A11493" s="85"/>
      <x:c r="B11493" s="86"/>
    </x:row>
    <x:row r="11494">
      <x:c r="A11494" s="85"/>
      <x:c r="B11494" s="86"/>
    </x:row>
    <x:row r="11495">
      <x:c r="A11495" s="85"/>
      <x:c r="B11495" s="86"/>
    </x:row>
    <x:row r="11496">
      <x:c r="A11496" s="85"/>
      <x:c r="B11496" s="86"/>
    </x:row>
    <x:row r="11497">
      <x:c r="A11497" s="85"/>
      <x:c r="B11497" s="86"/>
    </x:row>
    <x:row r="11498">
      <x:c r="A11498" s="85"/>
      <x:c r="B11498" s="86"/>
    </x:row>
    <x:row r="11499">
      <x:c r="A11499" s="85"/>
      <x:c r="B11499" s="86"/>
    </x:row>
    <x:row r="11500">
      <x:c r="A11500" s="85"/>
      <x:c r="B11500" s="86"/>
    </x:row>
    <x:row r="11501">
      <x:c r="A11501" s="85"/>
      <x:c r="B11501" s="86"/>
    </x:row>
    <x:row r="11502">
      <x:c r="A11502" s="85"/>
      <x:c r="B11502" s="86"/>
    </x:row>
    <x:row r="11503">
      <x:c r="A11503" s="85"/>
      <x:c r="B11503" s="86"/>
    </x:row>
    <x:row r="11504">
      <x:c r="A11504" s="85"/>
      <x:c r="B11504" s="86"/>
    </x:row>
    <x:row r="11505">
      <x:c r="A11505" s="85"/>
      <x:c r="B11505" s="86"/>
    </x:row>
    <x:row r="11506">
      <x:c r="A11506" s="85"/>
      <x:c r="B11506" s="86"/>
    </x:row>
    <x:row r="11507">
      <x:c r="A11507" s="85"/>
      <x:c r="B11507" s="86"/>
    </x:row>
    <x:row r="11508">
      <x:c r="A11508" s="85"/>
      <x:c r="B11508" s="86"/>
    </x:row>
    <x:row r="11509">
      <x:c r="A11509" s="85"/>
      <x:c r="B11509" s="86"/>
    </x:row>
    <x:row r="11510">
      <x:c r="A11510" s="85"/>
      <x:c r="B11510" s="86"/>
    </x:row>
    <x:row r="11511">
      <x:c r="A11511" s="85"/>
      <x:c r="B11511" s="86"/>
    </x:row>
    <x:row r="11512">
      <x:c r="A11512" s="85"/>
      <x:c r="B11512" s="86"/>
    </x:row>
    <x:row r="11513">
      <x:c r="A11513" s="85"/>
      <x:c r="B11513" s="86"/>
    </x:row>
    <x:row r="11514">
      <x:c r="A11514" s="85"/>
      <x:c r="B11514" s="86"/>
    </x:row>
    <x:row r="11515">
      <x:c r="A11515" s="85"/>
      <x:c r="B11515" s="86"/>
    </x:row>
    <x:row r="11516">
      <x:c r="A11516" s="85"/>
      <x:c r="B11516" s="86"/>
    </x:row>
    <x:row r="11517">
      <x:c r="A11517" s="85"/>
      <x:c r="B11517" s="86"/>
    </x:row>
    <x:row r="11518">
      <x:c r="A11518" s="85"/>
      <x:c r="B11518" s="86"/>
    </x:row>
    <x:row r="11519">
      <x:c r="A11519" s="85"/>
      <x:c r="B11519" s="86"/>
    </x:row>
    <x:row r="11520">
      <x:c r="A11520" s="85"/>
      <x:c r="B11520" s="86"/>
    </x:row>
    <x:row r="11521">
      <x:c r="A11521" s="85"/>
      <x:c r="B11521" s="86"/>
    </x:row>
    <x:row r="11522">
      <x:c r="A11522" s="85"/>
      <x:c r="B11522" s="86"/>
    </x:row>
    <x:row r="11523">
      <x:c r="A11523" s="85"/>
      <x:c r="B11523" s="86"/>
    </x:row>
    <x:row r="11524">
      <x:c r="A11524" s="85"/>
      <x:c r="B11524" s="86"/>
    </x:row>
    <x:row r="11525">
      <x:c r="A11525" s="85"/>
      <x:c r="B11525" s="86"/>
    </x:row>
    <x:row r="11526">
      <x:c r="A11526" s="85"/>
      <x:c r="B11526" s="86"/>
    </x:row>
    <x:row r="11527">
      <x:c r="A11527" s="85"/>
      <x:c r="B11527" s="86"/>
    </x:row>
    <x:row r="11528">
      <x:c r="A11528" s="85"/>
      <x:c r="B11528" s="86"/>
    </x:row>
    <x:row r="11529">
      <x:c r="A11529" s="85"/>
      <x:c r="B11529" s="86"/>
    </x:row>
    <x:row r="11530">
      <x:c r="A11530" s="85"/>
      <x:c r="B11530" s="86"/>
    </x:row>
    <x:row r="11531">
      <x:c r="A11531" s="85"/>
      <x:c r="B11531" s="86"/>
    </x:row>
    <x:row r="11532">
      <x:c r="A11532" s="85"/>
      <x:c r="B11532" s="86"/>
    </x:row>
    <x:row r="11533">
      <x:c r="A11533" s="85"/>
      <x:c r="B11533" s="86"/>
    </x:row>
    <x:row r="11534">
      <x:c r="A11534" s="85"/>
      <x:c r="B11534" s="86"/>
    </x:row>
    <x:row r="11535">
      <x:c r="A11535" s="85"/>
      <x:c r="B11535" s="86"/>
    </x:row>
    <x:row r="11536">
      <x:c r="A11536" s="85"/>
      <x:c r="B11536" s="86"/>
    </x:row>
    <x:row r="11537">
      <x:c r="A11537" s="85"/>
      <x:c r="B11537" s="86"/>
    </x:row>
    <x:row r="11538">
      <x:c r="A11538" s="85"/>
      <x:c r="B11538" s="86"/>
    </x:row>
    <x:row r="11539">
      <x:c r="A11539" s="85"/>
      <x:c r="B11539" s="86"/>
    </x:row>
    <x:row r="11540">
      <x:c r="A11540" s="85"/>
      <x:c r="B11540" s="86"/>
    </x:row>
    <x:row r="11541">
      <x:c r="A11541" s="85"/>
      <x:c r="B11541" s="86"/>
    </x:row>
    <x:row r="11542">
      <x:c r="A11542" s="85"/>
      <x:c r="B11542" s="86"/>
    </x:row>
    <x:row r="11543">
      <x:c r="A11543" s="85"/>
      <x:c r="B11543" s="86"/>
    </x:row>
    <x:row r="11544">
      <x:c r="A11544" s="85"/>
      <x:c r="B11544" s="86"/>
    </x:row>
    <x:row r="11545">
      <x:c r="A11545" s="85"/>
      <x:c r="B11545" s="86"/>
    </x:row>
    <x:row r="11546">
      <x:c r="A11546" s="85"/>
      <x:c r="B11546" s="86"/>
    </x:row>
    <x:row r="11547">
      <x:c r="A11547" s="85"/>
      <x:c r="B11547" s="86"/>
    </x:row>
    <x:row r="11548">
      <x:c r="A11548" s="85"/>
      <x:c r="B11548" s="86"/>
    </x:row>
    <x:row r="11549">
      <x:c r="A11549" s="85"/>
      <x:c r="B11549" s="86"/>
    </x:row>
    <x:row r="11550">
      <x:c r="A11550" s="85"/>
      <x:c r="B11550" s="86"/>
    </x:row>
    <x:row r="11551">
      <x:c r="A11551" s="85"/>
      <x:c r="B11551" s="86"/>
    </x:row>
    <x:row r="11552">
      <x:c r="A11552" s="85"/>
      <x:c r="B11552" s="86"/>
    </x:row>
    <x:row r="11553">
      <x:c r="A11553" s="85"/>
      <x:c r="B11553" s="86"/>
    </x:row>
    <x:row r="11554">
      <x:c r="A11554" s="85"/>
      <x:c r="B11554" s="86"/>
    </x:row>
    <x:row r="11555">
      <x:c r="A11555" s="85"/>
      <x:c r="B11555" s="86"/>
    </x:row>
    <x:row r="11556">
      <x:c r="A11556" s="85"/>
      <x:c r="B11556" s="86"/>
    </x:row>
    <x:row r="11557">
      <x:c r="A11557" s="85"/>
      <x:c r="B11557" s="86"/>
    </x:row>
    <x:row r="11558">
      <x:c r="A11558" s="85"/>
      <x:c r="B11558" s="86"/>
    </x:row>
    <x:row r="11559">
      <x:c r="A11559" s="85"/>
      <x:c r="B11559" s="86"/>
    </x:row>
    <x:row r="11560">
      <x:c r="A11560" s="85"/>
      <x:c r="B11560" s="86"/>
    </x:row>
    <x:row r="11561">
      <x:c r="A11561" s="85"/>
      <x:c r="B11561" s="86"/>
    </x:row>
    <x:row r="11562">
      <x:c r="A11562" s="85"/>
      <x:c r="B11562" s="86"/>
    </x:row>
    <x:row r="11563">
      <x:c r="A11563" s="85"/>
      <x:c r="B11563" s="86"/>
    </x:row>
    <x:row r="11564">
      <x:c r="A11564" s="85"/>
      <x:c r="B11564" s="86"/>
    </x:row>
    <x:row r="11565">
      <x:c r="A11565" s="85"/>
      <x:c r="B11565" s="86"/>
    </x:row>
    <x:row r="11566">
      <x:c r="A11566" s="85"/>
      <x:c r="B11566" s="86"/>
    </x:row>
    <x:row r="11567">
      <x:c r="A11567" s="85"/>
      <x:c r="B11567" s="86"/>
    </x:row>
    <x:row r="11568">
      <x:c r="A11568" s="85"/>
      <x:c r="B11568" s="86"/>
    </x:row>
    <x:row r="11569">
      <x:c r="A11569" s="85"/>
      <x:c r="B11569" s="86"/>
    </x:row>
    <x:row r="11570">
      <x:c r="A11570" s="85"/>
      <x:c r="B11570" s="86"/>
    </x:row>
    <x:row r="11571">
      <x:c r="A11571" s="85"/>
      <x:c r="B11571" s="86"/>
    </x:row>
    <x:row r="11572">
      <x:c r="A11572" s="85"/>
      <x:c r="B11572" s="86"/>
    </x:row>
    <x:row r="11573">
      <x:c r="A11573" s="85"/>
      <x:c r="B11573" s="86"/>
    </x:row>
    <x:row r="11574">
      <x:c r="A11574" s="85"/>
      <x:c r="B11574" s="86"/>
    </x:row>
    <x:row r="11575">
      <x:c r="A11575" s="85"/>
      <x:c r="B11575" s="86"/>
    </x:row>
    <x:row r="11576">
      <x:c r="A11576" s="85"/>
      <x:c r="B11576" s="86"/>
    </x:row>
    <x:row r="11577">
      <x:c r="A11577" s="85"/>
      <x:c r="B11577" s="86"/>
    </x:row>
    <x:row r="11578">
      <x:c r="A11578" s="85"/>
      <x:c r="B11578" s="86"/>
    </x:row>
    <x:row r="11579">
      <x:c r="A11579" s="85"/>
      <x:c r="B11579" s="86"/>
    </x:row>
    <x:row r="11580">
      <x:c r="A11580" s="85"/>
      <x:c r="B11580" s="86"/>
    </x:row>
    <x:row r="11581">
      <x:c r="A11581" s="85"/>
      <x:c r="B11581" s="86"/>
    </x:row>
    <x:row r="11582">
      <x:c r="A11582" s="85"/>
      <x:c r="B11582" s="86"/>
    </x:row>
    <x:row r="11583">
      <x:c r="A11583" s="85"/>
      <x:c r="B11583" s="86"/>
    </x:row>
    <x:row r="11584">
      <x:c r="A11584" s="85"/>
      <x:c r="B11584" s="86"/>
    </x:row>
    <x:row r="11585">
      <x:c r="A11585" s="85"/>
      <x:c r="B11585" s="86"/>
    </x:row>
    <x:row r="11586">
      <x:c r="A11586" s="85"/>
      <x:c r="B11586" s="86"/>
    </x:row>
    <x:row r="11587">
      <x:c r="A11587" s="85"/>
      <x:c r="B11587" s="86"/>
    </x:row>
    <x:row r="11588">
      <x:c r="A11588" s="85"/>
      <x:c r="B11588" s="86"/>
    </x:row>
    <x:row r="11589">
      <x:c r="A11589" s="85"/>
      <x:c r="B11589" s="86"/>
    </x:row>
    <x:row r="11590">
      <x:c r="A11590" s="85"/>
      <x:c r="B11590" s="86"/>
    </x:row>
    <x:row r="11591">
      <x:c r="A11591" s="85"/>
      <x:c r="B11591" s="86"/>
    </x:row>
    <x:row r="11592">
      <x:c r="A11592" s="85"/>
      <x:c r="B11592" s="86"/>
    </x:row>
    <x:row r="11593">
      <x:c r="A11593" s="85"/>
      <x:c r="B11593" s="86"/>
    </x:row>
    <x:row r="11594">
      <x:c r="A11594" s="85"/>
      <x:c r="B11594" s="86"/>
    </x:row>
    <x:row r="11595">
      <x:c r="A11595" s="85"/>
      <x:c r="B11595" s="86"/>
    </x:row>
    <x:row r="11596">
      <x:c r="A11596" s="85"/>
      <x:c r="B11596" s="86"/>
    </x:row>
    <x:row r="11597">
      <x:c r="A11597" s="85"/>
      <x:c r="B11597" s="86"/>
    </x:row>
    <x:row r="11598">
      <x:c r="A11598" s="85"/>
      <x:c r="B11598" s="86"/>
    </x:row>
    <x:row r="11599">
      <x:c r="A11599" s="85"/>
      <x:c r="B11599" s="86"/>
    </x:row>
    <x:row r="11600">
      <x:c r="A11600" s="85"/>
      <x:c r="B11600" s="86"/>
    </x:row>
    <x:row r="11601">
      <x:c r="A11601" s="85"/>
      <x:c r="B11601" s="86"/>
    </x:row>
    <x:row r="11602">
      <x:c r="A11602" s="85"/>
      <x:c r="B11602" s="86"/>
    </x:row>
    <x:row r="11603">
      <x:c r="A11603" s="85"/>
      <x:c r="B11603" s="86"/>
    </x:row>
    <x:row r="11604">
      <x:c r="A11604" s="85"/>
      <x:c r="B11604" s="86"/>
    </x:row>
    <x:row r="11605">
      <x:c r="A11605" s="85"/>
      <x:c r="B11605" s="86"/>
    </x:row>
    <x:row r="11606">
      <x:c r="A11606" s="85"/>
      <x:c r="B11606" s="86"/>
    </x:row>
    <x:row r="11607">
      <x:c r="A11607" s="85"/>
      <x:c r="B11607" s="86"/>
    </x:row>
    <x:row r="11608">
      <x:c r="A11608" s="85"/>
      <x:c r="B11608" s="86"/>
    </x:row>
    <x:row r="11609">
      <x:c r="A11609" s="85"/>
      <x:c r="B11609" s="86"/>
    </x:row>
    <x:row r="11610">
      <x:c r="A11610" s="85"/>
      <x:c r="B11610" s="86"/>
    </x:row>
    <x:row r="11611">
      <x:c r="A11611" s="85"/>
      <x:c r="B11611" s="86"/>
    </x:row>
    <x:row r="11612">
      <x:c r="A11612" s="85"/>
      <x:c r="B11612" s="86"/>
    </x:row>
    <x:row r="11613">
      <x:c r="A11613" s="85"/>
      <x:c r="B11613" s="86"/>
    </x:row>
    <x:row r="11614">
      <x:c r="A11614" s="85"/>
      <x:c r="B11614" s="86"/>
    </x:row>
    <x:row r="11615">
      <x:c r="A11615" s="85"/>
      <x:c r="B11615" s="86"/>
    </x:row>
    <x:row r="11616">
      <x:c r="A11616" s="85"/>
      <x:c r="B11616" s="86"/>
    </x:row>
    <x:row r="11617">
      <x:c r="A11617" s="85"/>
      <x:c r="B11617" s="86"/>
    </x:row>
    <x:row r="11618">
      <x:c r="A11618" s="85"/>
      <x:c r="B11618" s="86"/>
    </x:row>
    <x:row r="11619">
      <x:c r="A11619" s="85"/>
      <x:c r="B11619" s="86"/>
    </x:row>
    <x:row r="11620">
      <x:c r="A11620" s="85"/>
      <x:c r="B11620" s="86"/>
    </x:row>
    <x:row r="11621">
      <x:c r="A11621" s="85"/>
      <x:c r="B11621" s="86"/>
    </x:row>
    <x:row r="11622">
      <x:c r="A11622" s="85"/>
      <x:c r="B11622" s="86"/>
    </x:row>
    <x:row r="11623">
      <x:c r="A11623" s="85"/>
      <x:c r="B11623" s="86"/>
    </x:row>
    <x:row r="11624">
      <x:c r="A11624" s="85"/>
      <x:c r="B11624" s="86"/>
    </x:row>
    <x:row r="11625">
      <x:c r="A11625" s="85"/>
      <x:c r="B11625" s="86"/>
    </x:row>
    <x:row r="11626">
      <x:c r="A11626" s="85"/>
      <x:c r="B11626" s="86"/>
    </x:row>
    <x:row r="11627">
      <x:c r="A11627" s="85"/>
      <x:c r="B11627" s="86"/>
    </x:row>
    <x:row r="11628">
      <x:c r="A11628" s="85"/>
      <x:c r="B11628" s="86"/>
    </x:row>
    <x:row r="11629">
      <x:c r="A11629" s="85"/>
      <x:c r="B11629" s="86"/>
    </x:row>
    <x:row r="11630">
      <x:c r="A11630" s="85"/>
      <x:c r="B11630" s="86"/>
    </x:row>
    <x:row r="11631">
      <x:c r="A11631" s="85"/>
      <x:c r="B11631" s="86"/>
    </x:row>
    <x:row r="11632">
      <x:c r="A11632" s="85"/>
      <x:c r="B11632" s="86"/>
    </x:row>
    <x:row r="11633">
      <x:c r="A11633" s="85"/>
      <x:c r="B11633" s="86"/>
    </x:row>
    <x:row r="11634">
      <x:c r="A11634" s="85"/>
      <x:c r="B11634" s="86"/>
    </x:row>
    <x:row r="11635">
      <x:c r="A11635" s="85"/>
      <x:c r="B11635" s="86"/>
    </x:row>
    <x:row r="11636">
      <x:c r="A11636" s="85"/>
      <x:c r="B11636" s="86"/>
    </x:row>
    <x:row r="11637">
      <x:c r="A11637" s="85"/>
      <x:c r="B11637" s="86"/>
    </x:row>
    <x:row r="11638">
      <x:c r="A11638" s="85"/>
      <x:c r="B11638" s="86"/>
    </x:row>
    <x:row r="11639">
      <x:c r="A11639" s="85"/>
      <x:c r="B11639" s="86"/>
    </x:row>
    <x:row r="11640">
      <x:c r="A11640" s="85"/>
      <x:c r="B11640" s="86"/>
    </x:row>
    <x:row r="11641">
      <x:c r="A11641" s="85"/>
      <x:c r="B11641" s="86"/>
    </x:row>
    <x:row r="11642">
      <x:c r="A11642" s="85"/>
      <x:c r="B11642" s="86"/>
    </x:row>
    <x:row r="11643">
      <x:c r="A11643" s="85"/>
      <x:c r="B11643" s="86"/>
    </x:row>
    <x:row r="11644">
      <x:c r="A11644" s="85"/>
      <x:c r="B11644" s="86"/>
    </x:row>
    <x:row r="11645">
      <x:c r="A11645" s="85"/>
      <x:c r="B11645" s="86"/>
    </x:row>
    <x:row r="11646">
      <x:c r="A11646" s="85"/>
      <x:c r="B11646" s="86"/>
    </x:row>
    <x:row r="11647">
      <x:c r="A11647" s="85"/>
      <x:c r="B11647" s="86"/>
    </x:row>
    <x:row r="11648">
      <x:c r="A11648" s="85"/>
      <x:c r="B11648" s="86"/>
    </x:row>
    <x:row r="11649">
      <x:c r="A11649" s="85"/>
      <x:c r="B11649" s="86"/>
    </x:row>
    <x:row r="11650">
      <x:c r="A11650" s="85"/>
      <x:c r="B11650" s="86"/>
    </x:row>
    <x:row r="11651">
      <x:c r="A11651" s="85"/>
      <x:c r="B11651" s="86"/>
    </x:row>
    <x:row r="11652">
      <x:c r="A11652" s="85"/>
      <x:c r="B11652" s="86"/>
    </x:row>
    <x:row r="11653">
      <x:c r="A11653" s="85"/>
      <x:c r="B11653" s="86"/>
    </x:row>
    <x:row r="11654">
      <x:c r="A11654" s="85"/>
      <x:c r="B11654" s="86"/>
    </x:row>
    <x:row r="11655">
      <x:c r="A11655" s="85"/>
      <x:c r="B11655" s="86"/>
    </x:row>
    <x:row r="11656">
      <x:c r="A11656" s="85"/>
      <x:c r="B11656" s="86"/>
    </x:row>
    <x:row r="11657">
      <x:c r="A11657" s="85"/>
      <x:c r="B11657" s="86"/>
    </x:row>
    <x:row r="11658">
      <x:c r="A11658" s="85"/>
      <x:c r="B11658" s="86"/>
    </x:row>
    <x:row r="11659">
      <x:c r="A11659" s="85"/>
      <x:c r="B11659" s="86"/>
    </x:row>
    <x:row r="11660">
      <x:c r="A11660" s="85"/>
      <x:c r="B11660" s="86"/>
    </x:row>
    <x:row r="11661">
      <x:c r="A11661" s="85"/>
      <x:c r="B11661" s="86"/>
    </x:row>
    <x:row r="11662">
      <x:c r="A11662" s="85"/>
      <x:c r="B11662" s="86"/>
    </x:row>
    <x:row r="11663">
      <x:c r="A11663" s="85"/>
      <x:c r="B11663" s="86"/>
    </x:row>
    <x:row r="11664">
      <x:c r="A11664" s="85"/>
      <x:c r="B11664" s="86"/>
    </x:row>
    <x:row r="11665">
      <x:c r="A11665" s="85"/>
      <x:c r="B11665" s="86"/>
    </x:row>
    <x:row r="11666">
      <x:c r="A11666" s="85"/>
      <x:c r="B11666" s="86"/>
    </x:row>
    <x:row r="11667">
      <x:c r="A11667" s="85"/>
      <x:c r="B11667" s="86"/>
    </x:row>
    <x:row r="11668">
      <x:c r="A11668" s="85"/>
      <x:c r="B11668" s="86"/>
    </x:row>
    <x:row r="11669">
      <x:c r="A11669" s="85"/>
      <x:c r="B11669" s="86"/>
    </x:row>
    <x:row r="11670">
      <x:c r="A11670" s="85"/>
      <x:c r="B11670" s="86"/>
    </x:row>
    <x:row r="11671">
      <x:c r="A11671" s="85"/>
      <x:c r="B11671" s="86"/>
    </x:row>
    <x:row r="11672">
      <x:c r="A11672" s="85"/>
      <x:c r="B11672" s="86"/>
    </x:row>
    <x:row r="11673">
      <x:c r="A11673" s="85"/>
      <x:c r="B11673" s="86"/>
    </x:row>
    <x:row r="11674">
      <x:c r="A11674" s="85"/>
      <x:c r="B11674" s="86"/>
    </x:row>
    <x:row r="11675">
      <x:c r="A11675" s="85"/>
      <x:c r="B11675" s="86"/>
    </x:row>
    <x:row r="11676">
      <x:c r="A11676" s="85"/>
      <x:c r="B11676" s="86"/>
    </x:row>
    <x:row r="11677">
      <x:c r="A11677" s="85"/>
      <x:c r="B11677" s="86"/>
    </x:row>
    <x:row r="11678">
      <x:c r="A11678" s="85"/>
      <x:c r="B11678" s="86"/>
    </x:row>
    <x:row r="11679">
      <x:c r="A11679" s="85"/>
      <x:c r="B11679" s="86"/>
    </x:row>
    <x:row r="11680">
      <x:c r="A11680" s="85"/>
      <x:c r="B11680" s="86"/>
    </x:row>
    <x:row r="11681">
      <x:c r="A11681" s="85"/>
      <x:c r="B11681" s="86"/>
    </x:row>
    <x:row r="11682">
      <x:c r="A11682" s="85"/>
      <x:c r="B11682" s="86"/>
    </x:row>
    <x:row r="11683">
      <x:c r="A11683" s="85"/>
      <x:c r="B11683" s="86"/>
    </x:row>
    <x:row r="11684">
      <x:c r="A11684" s="85"/>
      <x:c r="B11684" s="86"/>
    </x:row>
    <x:row r="11685">
      <x:c r="A11685" s="85"/>
      <x:c r="B11685" s="86"/>
    </x:row>
    <x:row r="11686">
      <x:c r="A11686" s="85"/>
      <x:c r="B11686" s="86"/>
    </x:row>
    <x:row r="11687">
      <x:c r="A11687" s="85"/>
      <x:c r="B11687" s="86"/>
    </x:row>
    <x:row r="11688">
      <x:c r="A11688" s="85"/>
      <x:c r="B11688" s="86"/>
    </x:row>
    <x:row r="11689">
      <x:c r="A11689" s="85"/>
      <x:c r="B11689" s="86"/>
    </x:row>
    <x:row r="11690">
      <x:c r="A11690" s="85"/>
      <x:c r="B11690" s="86"/>
    </x:row>
    <x:row r="11691">
      <x:c r="A11691" s="85"/>
      <x:c r="B11691" s="86"/>
    </x:row>
    <x:row r="11692">
      <x:c r="A11692" s="85"/>
      <x:c r="B11692" s="86"/>
    </x:row>
    <x:row r="11693">
      <x:c r="A11693" s="85"/>
      <x:c r="B11693" s="86"/>
    </x:row>
    <x:row r="11694">
      <x:c r="A11694" s="85"/>
      <x:c r="B11694" s="86"/>
    </x:row>
    <x:row r="11695">
      <x:c r="A11695" s="85"/>
      <x:c r="B11695" s="86"/>
    </x:row>
    <x:row r="11696">
      <x:c r="A11696" s="85"/>
      <x:c r="B11696" s="86"/>
    </x:row>
    <x:row r="11697">
      <x:c r="A11697" s="85"/>
      <x:c r="B11697" s="86"/>
    </x:row>
    <x:row r="11698">
      <x:c r="A11698" s="85"/>
      <x:c r="B11698" s="86"/>
    </x:row>
    <x:row r="11699">
      <x:c r="A11699" s="85"/>
      <x:c r="B11699" s="86"/>
    </x:row>
    <x:row r="11700">
      <x:c r="A11700" s="85"/>
      <x:c r="B11700" s="86"/>
    </x:row>
    <x:row r="11701">
      <x:c r="A11701" s="85"/>
      <x:c r="B11701" s="86"/>
    </x:row>
    <x:row r="11702">
      <x:c r="A11702" s="85"/>
      <x:c r="B11702" s="86"/>
    </x:row>
    <x:row r="11703">
      <x:c r="A11703" s="85"/>
      <x:c r="B11703" s="86"/>
    </x:row>
    <x:row r="11704">
      <x:c r="A11704" s="85"/>
      <x:c r="B11704" s="86"/>
    </x:row>
    <x:row r="11705">
      <x:c r="A11705" s="85"/>
      <x:c r="B11705" s="86"/>
    </x:row>
    <x:row r="11706">
      <x:c r="A11706" s="85"/>
      <x:c r="B11706" s="86"/>
    </x:row>
    <x:row r="11707">
      <x:c r="A11707" s="85"/>
      <x:c r="B11707" s="86"/>
    </x:row>
    <x:row r="11708">
      <x:c r="A11708" s="85"/>
      <x:c r="B11708" s="86"/>
    </x:row>
    <x:row r="11709">
      <x:c r="A11709" s="85"/>
      <x:c r="B11709" s="86"/>
    </x:row>
    <x:row r="11710">
      <x:c r="A11710" s="85"/>
      <x:c r="B11710" s="86"/>
    </x:row>
    <x:row r="11711">
      <x:c r="A11711" s="85"/>
      <x:c r="B11711" s="86"/>
    </x:row>
    <x:row r="11712">
      <x:c r="A11712" s="85"/>
      <x:c r="B11712" s="86"/>
    </x:row>
    <x:row r="11713">
      <x:c r="A11713" s="85"/>
      <x:c r="B11713" s="86"/>
    </x:row>
    <x:row r="11714">
      <x:c r="A11714" s="85"/>
      <x:c r="B11714" s="86"/>
    </x:row>
    <x:row r="11715">
      <x:c r="A11715" s="85"/>
      <x:c r="B11715" s="86"/>
    </x:row>
    <x:row r="11716">
      <x:c r="A11716" s="85"/>
      <x:c r="B11716" s="86"/>
    </x:row>
    <x:row r="11717">
      <x:c r="A11717" s="85"/>
      <x:c r="B11717" s="86"/>
    </x:row>
    <x:row r="11718">
      <x:c r="A11718" s="85"/>
      <x:c r="B11718" s="86"/>
    </x:row>
    <x:row r="11719">
      <x:c r="A11719" s="85"/>
      <x:c r="B11719" s="86"/>
    </x:row>
    <x:row r="11720">
      <x:c r="A11720" s="85"/>
      <x:c r="B11720" s="86"/>
    </x:row>
    <x:row r="11721">
      <x:c r="A11721" s="85"/>
      <x:c r="B11721" s="86"/>
    </x:row>
    <x:row r="11722">
      <x:c r="A11722" s="85"/>
      <x:c r="B11722" s="86"/>
    </x:row>
    <x:row r="11723">
      <x:c r="A11723" s="85"/>
      <x:c r="B11723" s="86"/>
    </x:row>
    <x:row r="11724">
      <x:c r="A11724" s="85"/>
      <x:c r="B11724" s="86"/>
    </x:row>
    <x:row r="11725">
      <x:c r="A11725" s="85"/>
      <x:c r="B11725" s="86"/>
    </x:row>
    <x:row r="11726">
      <x:c r="A11726" s="85"/>
      <x:c r="B11726" s="86"/>
    </x:row>
    <x:row r="11727">
      <x:c r="A11727" s="85"/>
      <x:c r="B11727" s="86"/>
    </x:row>
    <x:row r="11728">
      <x:c r="A11728" s="85"/>
      <x:c r="B11728" s="86"/>
    </x:row>
    <x:row r="11729">
      <x:c r="A11729" s="85"/>
      <x:c r="B11729" s="86"/>
    </x:row>
    <x:row r="11730">
      <x:c r="A11730" s="85"/>
      <x:c r="B11730" s="86"/>
    </x:row>
    <x:row r="11731">
      <x:c r="A11731" s="85"/>
      <x:c r="B11731" s="86"/>
    </x:row>
    <x:row r="11732">
      <x:c r="A11732" s="85"/>
      <x:c r="B11732" s="86"/>
    </x:row>
    <x:row r="11733">
      <x:c r="A11733" s="85"/>
      <x:c r="B11733" s="86"/>
    </x:row>
    <x:row r="11734">
      <x:c r="A11734" s="85"/>
      <x:c r="B11734" s="86"/>
    </x:row>
    <x:row r="11735">
      <x:c r="A11735" s="85"/>
      <x:c r="B11735" s="86"/>
    </x:row>
    <x:row r="11736">
      <x:c r="A11736" s="85"/>
      <x:c r="B11736" s="86"/>
    </x:row>
    <x:row r="11737">
      <x:c r="A11737" s="85"/>
      <x:c r="B11737" s="86"/>
    </x:row>
    <x:row r="11738">
      <x:c r="A11738" s="85"/>
      <x:c r="B11738" s="86"/>
    </x:row>
    <x:row r="11739">
      <x:c r="A11739" s="85"/>
      <x:c r="B11739" s="86"/>
    </x:row>
    <x:row r="11740">
      <x:c r="A11740" s="85"/>
      <x:c r="B11740" s="86"/>
    </x:row>
    <x:row r="11741">
      <x:c r="A11741" s="85"/>
      <x:c r="B11741" s="86"/>
    </x:row>
    <x:row r="11742">
      <x:c r="A11742" s="85"/>
      <x:c r="B11742" s="86"/>
    </x:row>
    <x:row r="11743">
      <x:c r="A11743" s="85"/>
      <x:c r="B11743" s="86"/>
    </x:row>
    <x:row r="11744">
      <x:c r="A11744" s="85"/>
      <x:c r="B11744" s="86"/>
    </x:row>
    <x:row r="11745">
      <x:c r="A11745" s="85"/>
      <x:c r="B11745" s="86"/>
    </x:row>
    <x:row r="11746">
      <x:c r="A11746" s="85"/>
      <x:c r="B11746" s="86"/>
    </x:row>
    <x:row r="11747">
      <x:c r="A11747" s="85"/>
      <x:c r="B11747" s="86"/>
    </x:row>
    <x:row r="11748">
      <x:c r="A11748" s="85"/>
      <x:c r="B11748" s="86"/>
    </x:row>
    <x:row r="11749">
      <x:c r="A11749" s="85"/>
      <x:c r="B11749" s="86"/>
    </x:row>
    <x:row r="11750">
      <x:c r="A11750" s="85"/>
      <x:c r="B11750" s="86"/>
    </x:row>
    <x:row r="11751">
      <x:c r="A11751" s="85"/>
      <x:c r="B11751" s="86"/>
    </x:row>
    <x:row r="11752">
      <x:c r="A11752" s="85"/>
      <x:c r="B11752" s="86"/>
    </x:row>
    <x:row r="11753">
      <x:c r="A11753" s="85"/>
      <x:c r="B11753" s="86"/>
    </x:row>
    <x:row r="11754">
      <x:c r="A11754" s="85"/>
      <x:c r="B11754" s="86"/>
    </x:row>
    <x:row r="11755">
      <x:c r="A11755" s="85"/>
      <x:c r="B11755" s="86"/>
    </x:row>
    <x:row r="11756">
      <x:c r="A11756" s="85"/>
      <x:c r="B11756" s="86"/>
    </x:row>
    <x:row r="11757">
      <x:c r="A11757" s="85"/>
      <x:c r="B11757" s="86"/>
    </x:row>
    <x:row r="11758">
      <x:c r="A11758" s="85"/>
      <x:c r="B11758" s="86"/>
    </x:row>
    <x:row r="11759">
      <x:c r="A11759" s="85"/>
      <x:c r="B11759" s="86"/>
    </x:row>
    <x:row r="11760">
      <x:c r="A11760" s="85"/>
      <x:c r="B11760" s="86"/>
    </x:row>
    <x:row r="11761">
      <x:c r="A11761" s="85"/>
      <x:c r="B11761" s="86"/>
    </x:row>
    <x:row r="11762">
      <x:c r="A11762" s="85"/>
      <x:c r="B11762" s="86"/>
    </x:row>
    <x:row r="11763">
      <x:c r="A11763" s="85"/>
      <x:c r="B11763" s="86"/>
    </x:row>
    <x:row r="11764">
      <x:c r="A11764" s="85"/>
      <x:c r="B11764" s="86"/>
    </x:row>
    <x:row r="11765">
      <x:c r="A11765" s="85"/>
      <x:c r="B11765" s="86"/>
    </x:row>
    <x:row r="11766">
      <x:c r="A11766" s="85"/>
      <x:c r="B11766" s="86"/>
    </x:row>
    <x:row r="11767">
      <x:c r="A11767" s="85"/>
      <x:c r="B11767" s="86"/>
    </x:row>
    <x:row r="11768">
      <x:c r="A11768" s="85"/>
      <x:c r="B11768" s="86"/>
    </x:row>
    <x:row r="11769">
      <x:c r="A11769" s="85"/>
      <x:c r="B11769" s="86"/>
    </x:row>
    <x:row r="11770">
      <x:c r="A11770" s="85"/>
      <x:c r="B11770" s="86"/>
    </x:row>
    <x:row r="11771">
      <x:c r="A11771" s="85"/>
      <x:c r="B11771" s="86"/>
    </x:row>
    <x:row r="11772">
      <x:c r="A11772" s="85"/>
      <x:c r="B11772" s="86"/>
    </x:row>
    <x:row r="11773">
      <x:c r="A11773" s="85"/>
      <x:c r="B11773" s="86"/>
    </x:row>
    <x:row r="11774">
      <x:c r="A11774" s="85"/>
      <x:c r="B11774" s="86"/>
    </x:row>
    <x:row r="11775">
      <x:c r="A11775" s="85"/>
      <x:c r="B11775" s="86"/>
    </x:row>
    <x:row r="11776">
      <x:c r="A11776" s="85"/>
      <x:c r="B11776" s="86"/>
    </x:row>
    <x:row r="11777">
      <x:c r="A11777" s="85"/>
      <x:c r="B11777" s="86"/>
    </x:row>
    <x:row r="11778">
      <x:c r="A11778" s="85"/>
      <x:c r="B11778" s="86"/>
    </x:row>
    <x:row r="11779">
      <x:c r="A11779" s="85"/>
      <x:c r="B11779" s="86"/>
    </x:row>
    <x:row r="11780">
      <x:c r="A11780" s="85"/>
      <x:c r="B11780" s="86"/>
    </x:row>
    <x:row r="11781">
      <x:c r="A11781" s="85"/>
      <x:c r="B11781" s="86"/>
    </x:row>
    <x:row r="11782">
      <x:c r="A11782" s="85"/>
      <x:c r="B11782" s="86"/>
    </x:row>
    <x:row r="11783">
      <x:c r="A11783" s="85"/>
      <x:c r="B11783" s="86"/>
    </x:row>
    <x:row r="11784">
      <x:c r="A11784" s="85"/>
      <x:c r="B11784" s="86"/>
    </x:row>
    <x:row r="11785">
      <x:c r="A11785" s="85"/>
      <x:c r="B11785" s="86"/>
    </x:row>
    <x:row r="11786">
      <x:c r="A11786" s="85"/>
      <x:c r="B11786" s="86"/>
    </x:row>
    <x:row r="11787">
      <x:c r="A11787" s="85"/>
      <x:c r="B11787" s="86"/>
    </x:row>
    <x:row r="11788">
      <x:c r="A11788" s="85"/>
      <x:c r="B11788" s="86"/>
    </x:row>
    <x:row r="11789">
      <x:c r="A11789" s="85"/>
      <x:c r="B11789" s="86"/>
    </x:row>
    <x:row r="11790">
      <x:c r="A11790" s="85"/>
      <x:c r="B11790" s="86"/>
    </x:row>
    <x:row r="11791">
      <x:c r="A11791" s="85"/>
      <x:c r="B11791" s="86"/>
    </x:row>
    <x:row r="11792">
      <x:c r="A11792" s="85"/>
      <x:c r="B11792" s="86"/>
    </x:row>
    <x:row r="11793">
      <x:c r="A11793" s="85"/>
      <x:c r="B11793" s="86"/>
    </x:row>
    <x:row r="11794">
      <x:c r="A11794" s="85"/>
      <x:c r="B11794" s="86"/>
    </x:row>
    <x:row r="11795">
      <x:c r="A11795" s="85"/>
      <x:c r="B11795" s="86"/>
    </x:row>
    <x:row r="11796">
      <x:c r="A11796" s="85"/>
      <x:c r="B11796" s="86"/>
    </x:row>
    <x:row r="11797">
      <x:c r="A11797" s="85"/>
      <x:c r="B11797" s="86"/>
    </x:row>
    <x:row r="11798">
      <x:c r="A11798" s="85"/>
      <x:c r="B11798" s="86"/>
    </x:row>
    <x:row r="11799">
      <x:c r="A11799" s="85"/>
      <x:c r="B11799" s="86"/>
    </x:row>
    <x:row r="11800">
      <x:c r="A11800" s="85"/>
      <x:c r="B11800" s="86"/>
    </x:row>
    <x:row r="11801">
      <x:c r="A11801" s="85"/>
      <x:c r="B11801" s="86"/>
    </x:row>
    <x:row r="11802">
      <x:c r="A11802" s="85"/>
      <x:c r="B11802" s="86"/>
    </x:row>
    <x:row r="11803">
      <x:c r="A11803" s="85"/>
      <x:c r="B11803" s="86"/>
    </x:row>
    <x:row r="11804">
      <x:c r="A11804" s="85"/>
      <x:c r="B11804" s="86"/>
    </x:row>
    <x:row r="11805">
      <x:c r="A11805" s="85"/>
      <x:c r="B11805" s="86"/>
    </x:row>
    <x:row r="11806">
      <x:c r="A11806" s="85"/>
      <x:c r="B11806" s="86"/>
    </x:row>
    <x:row r="11807">
      <x:c r="A11807" s="85"/>
      <x:c r="B11807" s="86"/>
    </x:row>
    <x:row r="11808">
      <x:c r="A11808" s="85"/>
      <x:c r="B11808" s="86"/>
    </x:row>
    <x:row r="11809">
      <x:c r="A11809" s="85"/>
      <x:c r="B11809" s="86"/>
    </x:row>
    <x:row r="11810">
      <x:c r="A11810" s="85"/>
      <x:c r="B11810" s="86"/>
    </x:row>
    <x:row r="11811">
      <x:c r="A11811" s="85"/>
      <x:c r="B11811" s="86"/>
    </x:row>
    <x:row r="11812">
      <x:c r="A11812" s="85"/>
      <x:c r="B11812" s="86"/>
    </x:row>
    <x:row r="11813">
      <x:c r="A11813" s="85"/>
      <x:c r="B11813" s="86"/>
    </x:row>
    <x:row r="11814">
      <x:c r="A11814" s="85"/>
      <x:c r="B11814" s="86"/>
    </x:row>
    <x:row r="11815">
      <x:c r="A11815" s="85"/>
      <x:c r="B11815" s="86"/>
    </x:row>
    <x:row r="11816">
      <x:c r="A11816" s="85"/>
      <x:c r="B11816" s="86"/>
    </x:row>
    <x:row r="11817">
      <x:c r="A11817" s="85"/>
      <x:c r="B11817" s="86"/>
    </x:row>
    <x:row r="11818">
      <x:c r="A11818" s="85"/>
      <x:c r="B11818" s="86"/>
    </x:row>
    <x:row r="11819">
      <x:c r="A11819" s="85"/>
      <x:c r="B11819" s="86"/>
    </x:row>
    <x:row r="11820">
      <x:c r="A11820" s="85"/>
      <x:c r="B11820" s="86"/>
    </x:row>
    <x:row r="11821">
      <x:c r="A11821" s="85"/>
      <x:c r="B11821" s="86"/>
    </x:row>
    <x:row r="11822">
      <x:c r="A11822" s="85"/>
      <x:c r="B11822" s="86"/>
    </x:row>
    <x:row r="11823">
      <x:c r="A11823" s="85"/>
      <x:c r="B11823" s="86"/>
    </x:row>
    <x:row r="11824">
      <x:c r="A11824" s="85"/>
      <x:c r="B11824" s="86"/>
    </x:row>
    <x:row r="11825">
      <x:c r="A11825" s="85"/>
      <x:c r="B11825" s="86"/>
    </x:row>
    <x:row r="11826">
      <x:c r="A11826" s="85"/>
      <x:c r="B11826" s="86"/>
    </x:row>
    <x:row r="11827">
      <x:c r="A11827" s="85"/>
      <x:c r="B11827" s="86"/>
    </x:row>
    <x:row r="11828">
      <x:c r="A11828" s="85"/>
      <x:c r="B11828" s="86"/>
    </x:row>
    <x:row r="11829">
      <x:c r="A11829" s="85"/>
      <x:c r="B11829" s="86"/>
    </x:row>
    <x:row r="11830">
      <x:c r="A11830" s="85"/>
      <x:c r="B11830" s="86"/>
    </x:row>
    <x:row r="11831">
      <x:c r="A11831" s="85"/>
      <x:c r="B11831" s="86"/>
    </x:row>
    <x:row r="11832">
      <x:c r="A11832" s="85"/>
      <x:c r="B11832" s="86"/>
    </x:row>
    <x:row r="11833">
      <x:c r="A11833" s="85"/>
      <x:c r="B11833" s="86"/>
    </x:row>
    <x:row r="11834">
      <x:c r="A11834" s="85"/>
      <x:c r="B11834" s="86"/>
    </x:row>
    <x:row r="11835">
      <x:c r="A11835" s="85"/>
      <x:c r="B11835" s="86"/>
    </x:row>
    <x:row r="11836">
      <x:c r="A11836" s="85"/>
      <x:c r="B11836" s="86"/>
    </x:row>
    <x:row r="11837">
      <x:c r="A11837" s="85"/>
      <x:c r="B11837" s="86"/>
    </x:row>
    <x:row r="11838">
      <x:c r="A11838" s="85"/>
      <x:c r="B11838" s="86"/>
    </x:row>
    <x:row r="11839">
      <x:c r="A11839" s="85"/>
      <x:c r="B11839" s="86"/>
    </x:row>
    <x:row r="11840">
      <x:c r="A11840" s="85"/>
      <x:c r="B11840" s="86"/>
    </x:row>
    <x:row r="11841">
      <x:c r="A11841" s="85"/>
      <x:c r="B11841" s="86"/>
    </x:row>
    <x:row r="11842">
      <x:c r="A11842" s="85"/>
      <x:c r="B11842" s="86"/>
    </x:row>
    <x:row r="11843">
      <x:c r="A11843" s="85"/>
      <x:c r="B11843" s="86"/>
    </x:row>
    <x:row r="11844">
      <x:c r="A11844" s="85"/>
      <x:c r="B11844" s="86"/>
    </x:row>
    <x:row r="11845">
      <x:c r="A11845" s="85"/>
      <x:c r="B11845" s="86"/>
    </x:row>
    <x:row r="11846">
      <x:c r="A11846" s="85"/>
      <x:c r="B11846" s="86"/>
    </x:row>
    <x:row r="11847">
      <x:c r="A11847" s="85"/>
      <x:c r="B11847" s="86"/>
    </x:row>
    <x:row r="11848">
      <x:c r="A11848" s="85"/>
      <x:c r="B11848" s="86"/>
    </x:row>
    <x:row r="11849">
      <x:c r="A11849" s="85"/>
      <x:c r="B11849" s="86"/>
    </x:row>
    <x:row r="11850">
      <x:c r="A11850" s="85"/>
      <x:c r="B11850" s="86"/>
    </x:row>
    <x:row r="11851">
      <x:c r="A11851" s="85"/>
      <x:c r="B11851" s="86"/>
    </x:row>
    <x:row r="11852">
      <x:c r="A11852" s="85"/>
      <x:c r="B11852" s="86"/>
    </x:row>
    <x:row r="11853">
      <x:c r="A11853" s="85"/>
      <x:c r="B11853" s="86"/>
    </x:row>
    <x:row r="11854">
      <x:c r="A11854" s="85"/>
      <x:c r="B11854" s="86"/>
    </x:row>
    <x:row r="11855">
      <x:c r="A11855" s="85"/>
      <x:c r="B11855" s="86"/>
    </x:row>
    <x:row r="11856">
      <x:c r="A11856" s="85"/>
      <x:c r="B11856" s="86"/>
    </x:row>
    <x:row r="11857">
      <x:c r="A11857" s="85"/>
      <x:c r="B11857" s="86"/>
    </x:row>
    <x:row r="11858">
      <x:c r="A11858" s="85"/>
      <x:c r="B11858" s="86"/>
    </x:row>
    <x:row r="11859">
      <x:c r="A11859" s="85"/>
      <x:c r="B11859" s="86"/>
    </x:row>
    <x:row r="11860">
      <x:c r="A11860" s="85"/>
      <x:c r="B11860" s="86"/>
    </x:row>
    <x:row r="11861">
      <x:c r="A11861" s="85"/>
      <x:c r="B11861" s="86"/>
    </x:row>
    <x:row r="11862">
      <x:c r="A11862" s="85"/>
      <x:c r="B11862" s="86"/>
    </x:row>
    <x:row r="11863">
      <x:c r="A11863" s="85"/>
      <x:c r="B11863" s="86"/>
    </x:row>
    <x:row r="11864">
      <x:c r="A11864" s="85"/>
      <x:c r="B11864" s="86"/>
    </x:row>
    <x:row r="11865">
      <x:c r="A11865" s="85"/>
      <x:c r="B11865" s="86"/>
    </x:row>
    <x:row r="11866">
      <x:c r="A11866" s="85"/>
      <x:c r="B11866" s="86"/>
    </x:row>
    <x:row r="11867">
      <x:c r="A11867" s="85"/>
      <x:c r="B11867" s="86"/>
    </x:row>
    <x:row r="11868">
      <x:c r="A11868" s="85"/>
      <x:c r="B11868" s="86"/>
    </x:row>
    <x:row r="11869">
      <x:c r="A11869" s="85"/>
      <x:c r="B11869" s="86"/>
    </x:row>
    <x:row r="11870">
      <x:c r="A11870" s="85"/>
      <x:c r="B11870" s="86"/>
    </x:row>
    <x:row r="11871">
      <x:c r="A11871" s="85"/>
      <x:c r="B11871" s="86"/>
    </x:row>
    <x:row r="11872">
      <x:c r="A11872" s="85"/>
      <x:c r="B11872" s="86"/>
    </x:row>
    <x:row r="11873">
      <x:c r="A11873" s="85"/>
      <x:c r="B11873" s="86"/>
    </x:row>
    <x:row r="11874">
      <x:c r="A11874" s="85"/>
      <x:c r="B11874" s="86"/>
    </x:row>
    <x:row r="11875">
      <x:c r="A11875" s="85"/>
      <x:c r="B11875" s="86"/>
    </x:row>
    <x:row r="11876">
      <x:c r="A11876" s="85"/>
      <x:c r="B11876" s="86"/>
    </x:row>
    <x:row r="11877">
      <x:c r="A11877" s="85"/>
      <x:c r="B11877" s="86"/>
    </x:row>
    <x:row r="11878">
      <x:c r="A11878" s="85"/>
      <x:c r="B11878" s="86"/>
    </x:row>
    <x:row r="11879">
      <x:c r="A11879" s="85"/>
      <x:c r="B11879" s="86"/>
    </x:row>
    <x:row r="11880">
      <x:c r="A11880" s="85"/>
      <x:c r="B11880" s="86"/>
    </x:row>
    <x:row r="11881">
      <x:c r="A11881" s="85"/>
      <x:c r="B11881" s="86"/>
    </x:row>
    <x:row r="11882">
      <x:c r="A11882" s="85"/>
      <x:c r="B11882" s="86"/>
    </x:row>
    <x:row r="11883">
      <x:c r="A11883" s="85"/>
      <x:c r="B11883" s="86"/>
    </x:row>
    <x:row r="11884">
      <x:c r="A11884" s="85"/>
      <x:c r="B11884" s="86"/>
    </x:row>
    <x:row r="11885">
      <x:c r="A11885" s="85"/>
      <x:c r="B11885" s="86"/>
    </x:row>
    <x:row r="11886">
      <x:c r="A11886" s="85"/>
      <x:c r="B11886" s="86"/>
    </x:row>
    <x:row r="11887">
      <x:c r="A11887" s="85"/>
      <x:c r="B11887" s="86"/>
    </x:row>
    <x:row r="11888">
      <x:c r="A11888" s="85"/>
      <x:c r="B11888" s="86"/>
    </x:row>
    <x:row r="11889">
      <x:c r="A11889" s="85"/>
      <x:c r="B11889" s="86"/>
    </x:row>
    <x:row r="11890">
      <x:c r="A11890" s="85"/>
      <x:c r="B11890" s="86"/>
    </x:row>
    <x:row r="11891">
      <x:c r="A11891" s="85"/>
      <x:c r="B11891" s="86"/>
    </x:row>
    <x:row r="11892">
      <x:c r="A11892" s="85"/>
      <x:c r="B11892" s="86"/>
    </x:row>
    <x:row r="11893">
      <x:c r="A11893" s="85"/>
      <x:c r="B11893" s="86"/>
    </x:row>
    <x:row r="11894">
      <x:c r="A11894" s="85"/>
      <x:c r="B11894" s="86"/>
    </x:row>
    <x:row r="11895">
      <x:c r="A11895" s="85"/>
      <x:c r="B11895" s="86"/>
    </x:row>
    <x:row r="11896">
      <x:c r="A11896" s="85"/>
      <x:c r="B11896" s="86"/>
    </x:row>
    <x:row r="11897">
      <x:c r="A11897" s="85"/>
      <x:c r="B11897" s="86"/>
    </x:row>
    <x:row r="11898">
      <x:c r="A11898" s="85"/>
      <x:c r="B11898" s="86"/>
    </x:row>
    <x:row r="11899">
      <x:c r="A11899" s="85"/>
      <x:c r="B11899" s="86"/>
    </x:row>
    <x:row r="11900">
      <x:c r="A11900" s="85"/>
      <x:c r="B11900" s="86"/>
    </x:row>
    <x:row r="11901">
      <x:c r="A11901" s="85"/>
      <x:c r="B11901" s="86"/>
    </x:row>
    <x:row r="11902">
      <x:c r="A11902" s="85"/>
      <x:c r="B11902" s="86"/>
    </x:row>
    <x:row r="11903">
      <x:c r="A11903" s="85"/>
      <x:c r="B11903" s="86"/>
    </x:row>
    <x:row r="11904">
      <x:c r="A11904" s="85"/>
      <x:c r="B11904" s="86"/>
    </x:row>
    <x:row r="11905">
      <x:c r="A11905" s="85"/>
      <x:c r="B11905" s="86"/>
    </x:row>
    <x:row r="11906">
      <x:c r="A11906" s="85"/>
      <x:c r="B11906" s="86"/>
    </x:row>
    <x:row r="11907">
      <x:c r="A11907" s="85"/>
      <x:c r="B11907" s="86"/>
    </x:row>
    <x:row r="11908">
      <x:c r="A11908" s="85"/>
      <x:c r="B11908" s="86"/>
    </x:row>
    <x:row r="11909">
      <x:c r="A11909" s="85"/>
      <x:c r="B11909" s="86"/>
    </x:row>
    <x:row r="11910">
      <x:c r="A11910" s="85"/>
      <x:c r="B11910" s="86"/>
    </x:row>
    <x:row r="11911">
      <x:c r="A11911" s="85"/>
      <x:c r="B11911" s="86"/>
    </x:row>
    <x:row r="11912">
      <x:c r="A11912" s="85"/>
      <x:c r="B11912" s="86"/>
    </x:row>
    <x:row r="11913">
      <x:c r="A11913" s="85"/>
      <x:c r="B11913" s="86"/>
    </x:row>
    <x:row r="11914">
      <x:c r="A11914" s="85"/>
      <x:c r="B11914" s="86"/>
    </x:row>
    <x:row r="11915">
      <x:c r="A11915" s="85"/>
      <x:c r="B11915" s="86"/>
    </x:row>
    <x:row r="11916">
      <x:c r="A11916" s="85"/>
      <x:c r="B11916" s="86"/>
    </x:row>
    <x:row r="11917">
      <x:c r="A11917" s="85"/>
      <x:c r="B11917" s="86"/>
    </x:row>
    <x:row r="11918">
      <x:c r="A11918" s="85"/>
      <x:c r="B11918" s="86"/>
    </x:row>
    <x:row r="11919">
      <x:c r="A11919" s="85"/>
      <x:c r="B11919" s="86"/>
    </x:row>
    <x:row r="11920">
      <x:c r="A11920" s="85"/>
      <x:c r="B11920" s="86"/>
    </x:row>
    <x:row r="11921">
      <x:c r="A11921" s="85"/>
      <x:c r="B11921" s="86"/>
    </x:row>
    <x:row r="11922">
      <x:c r="A11922" s="85"/>
      <x:c r="B11922" s="86"/>
    </x:row>
    <x:row r="11923">
      <x:c r="A11923" s="85"/>
      <x:c r="B11923" s="86"/>
    </x:row>
    <x:row r="11924">
      <x:c r="A11924" s="85"/>
      <x:c r="B11924" s="86"/>
    </x:row>
    <x:row r="11925">
      <x:c r="A11925" s="85"/>
      <x:c r="B11925" s="86"/>
    </x:row>
    <x:row r="11926">
      <x:c r="A11926" s="85"/>
      <x:c r="B11926" s="86"/>
    </x:row>
    <x:row r="11927">
      <x:c r="A11927" s="85"/>
      <x:c r="B11927" s="86"/>
    </x:row>
    <x:row r="11928">
      <x:c r="A11928" s="85"/>
      <x:c r="B11928" s="86"/>
    </x:row>
    <x:row r="11929">
      <x:c r="A11929" s="85"/>
      <x:c r="B11929" s="86"/>
    </x:row>
    <x:row r="11930">
      <x:c r="A11930" s="85"/>
      <x:c r="B11930" s="86"/>
    </x:row>
    <x:row r="11931">
      <x:c r="A11931" s="85"/>
      <x:c r="B11931" s="86"/>
    </x:row>
    <x:row r="11932">
      <x:c r="A11932" s="85"/>
      <x:c r="B11932" s="86"/>
    </x:row>
    <x:row r="11933">
      <x:c r="A11933" s="85"/>
      <x:c r="B11933" s="86"/>
    </x:row>
    <x:row r="11934">
      <x:c r="A11934" s="85"/>
      <x:c r="B11934" s="86"/>
    </x:row>
    <x:row r="11935">
      <x:c r="A11935" s="85"/>
      <x:c r="B11935" s="86"/>
    </x:row>
    <x:row r="11936">
      <x:c r="A11936" s="85"/>
      <x:c r="B11936" s="86"/>
    </x:row>
    <x:row r="11937">
      <x:c r="A11937" s="85"/>
      <x:c r="B11937" s="86"/>
    </x:row>
    <x:row r="11938">
      <x:c r="A11938" s="85"/>
      <x:c r="B11938" s="86"/>
    </x:row>
    <x:row r="11939">
      <x:c r="A11939" s="85"/>
      <x:c r="B11939" s="86"/>
    </x:row>
    <x:row r="11940">
      <x:c r="A11940" s="85"/>
      <x:c r="B11940" s="86"/>
    </x:row>
    <x:row r="11941">
      <x:c r="A11941" s="85"/>
      <x:c r="B11941" s="86"/>
    </x:row>
    <x:row r="11942">
      <x:c r="A11942" s="85"/>
      <x:c r="B11942" s="86"/>
    </x:row>
    <x:row r="11943">
      <x:c r="A11943" s="85"/>
      <x:c r="B11943" s="86"/>
    </x:row>
    <x:row r="11944">
      <x:c r="A11944" s="85"/>
      <x:c r="B11944" s="86"/>
    </x:row>
    <x:row r="11945">
      <x:c r="A11945" s="85"/>
      <x:c r="B11945" s="86"/>
    </x:row>
    <x:row r="11946">
      <x:c r="A11946" s="85"/>
      <x:c r="B11946" s="86"/>
    </x:row>
    <x:row r="11947">
      <x:c r="A11947" s="85"/>
      <x:c r="B11947" s="86"/>
    </x:row>
    <x:row r="11948">
      <x:c r="A11948" s="85"/>
      <x:c r="B11948" s="86"/>
    </x:row>
    <x:row r="11949">
      <x:c r="A11949" s="85"/>
      <x:c r="B11949" s="86"/>
    </x:row>
    <x:row r="11950">
      <x:c r="A11950" s="85"/>
      <x:c r="B11950" s="86"/>
    </x:row>
    <x:row r="11951">
      <x:c r="A11951" s="85"/>
      <x:c r="B11951" s="86"/>
    </x:row>
    <x:row r="11952">
      <x:c r="A11952" s="85"/>
      <x:c r="B11952" s="86"/>
    </x:row>
    <x:row r="11953">
      <x:c r="A11953" s="85"/>
      <x:c r="B11953" s="86"/>
    </x:row>
    <x:row r="11954">
      <x:c r="A11954" s="85"/>
      <x:c r="B11954" s="86"/>
    </x:row>
    <x:row r="11955">
      <x:c r="A11955" s="85"/>
      <x:c r="B11955" s="86"/>
    </x:row>
    <x:row r="11956">
      <x:c r="A11956" s="85"/>
      <x:c r="B11956" s="86"/>
    </x:row>
    <x:row r="11957">
      <x:c r="A11957" s="85"/>
      <x:c r="B11957" s="86"/>
    </x:row>
    <x:row r="11958">
      <x:c r="A11958" s="85"/>
      <x:c r="B11958" s="86"/>
    </x:row>
    <x:row r="11959">
      <x:c r="A11959" s="85"/>
      <x:c r="B11959" s="86"/>
    </x:row>
    <x:row r="11960">
      <x:c r="A11960" s="85"/>
      <x:c r="B11960" s="86"/>
    </x:row>
    <x:row r="11961">
      <x:c r="A11961" s="85"/>
      <x:c r="B11961" s="86"/>
    </x:row>
    <x:row r="11962">
      <x:c r="A11962" s="85"/>
      <x:c r="B11962" s="86"/>
    </x:row>
    <x:row r="11963">
      <x:c r="A11963" s="85"/>
      <x:c r="B11963" s="86"/>
    </x:row>
    <x:row r="11964">
      <x:c r="A11964" s="85"/>
      <x:c r="B11964" s="86"/>
    </x:row>
    <x:row r="11965">
      <x:c r="A11965" s="85"/>
      <x:c r="B11965" s="86"/>
    </x:row>
    <x:row r="11966">
      <x:c r="A11966" s="85"/>
      <x:c r="B11966" s="86"/>
    </x:row>
    <x:row r="11967">
      <x:c r="A11967" s="85"/>
      <x:c r="B11967" s="86"/>
    </x:row>
    <x:row r="11968">
      <x:c r="A11968" s="85"/>
      <x:c r="B11968" s="86"/>
    </x:row>
    <x:row r="11969">
      <x:c r="A11969" s="85"/>
      <x:c r="B11969" s="86"/>
    </x:row>
    <x:row r="11970">
      <x:c r="A11970" s="85"/>
      <x:c r="B11970" s="86"/>
    </x:row>
    <x:row r="11971">
      <x:c r="A11971" s="85"/>
      <x:c r="B11971" s="86"/>
    </x:row>
    <x:row r="11972">
      <x:c r="A11972" s="85"/>
      <x:c r="B11972" s="86"/>
    </x:row>
    <x:row r="11973">
      <x:c r="A11973" s="85"/>
      <x:c r="B11973" s="86"/>
    </x:row>
    <x:row r="11974">
      <x:c r="A11974" s="85"/>
      <x:c r="B11974" s="86"/>
    </x:row>
    <x:row r="11975">
      <x:c r="A11975" s="85"/>
      <x:c r="B11975" s="86"/>
    </x:row>
    <x:row r="11976">
      <x:c r="A11976" s="85"/>
      <x:c r="B11976" s="86"/>
    </x:row>
    <x:row r="11977">
      <x:c r="A11977" s="85"/>
      <x:c r="B11977" s="86"/>
    </x:row>
    <x:row r="11978">
      <x:c r="A11978" s="85"/>
      <x:c r="B11978" s="86"/>
    </x:row>
    <x:row r="11979">
      <x:c r="A11979" s="85"/>
      <x:c r="B11979" s="86"/>
    </x:row>
    <x:row r="11980">
      <x:c r="A11980" s="85"/>
      <x:c r="B11980" s="86"/>
    </x:row>
    <x:row r="11981">
      <x:c r="A11981" s="85"/>
      <x:c r="B11981" s="86"/>
    </x:row>
    <x:row r="11982">
      <x:c r="A11982" s="85"/>
      <x:c r="B11982" s="86"/>
    </x:row>
    <x:row r="11983">
      <x:c r="A11983" s="85"/>
      <x:c r="B11983" s="86"/>
    </x:row>
    <x:row r="11984">
      <x:c r="A11984" s="85"/>
      <x:c r="B11984" s="86"/>
    </x:row>
    <x:row r="11985">
      <x:c r="A11985" s="85"/>
      <x:c r="B11985" s="86"/>
    </x:row>
    <x:row r="11986">
      <x:c r="A11986" s="85"/>
      <x:c r="B11986" s="86"/>
    </x:row>
    <x:row r="11987">
      <x:c r="A11987" s="85"/>
      <x:c r="B11987" s="86"/>
    </x:row>
    <x:row r="11988">
      <x:c r="A11988" s="85"/>
      <x:c r="B11988" s="86"/>
    </x:row>
    <x:row r="11989">
      <x:c r="A11989" s="85"/>
      <x:c r="B11989" s="86"/>
    </x:row>
    <x:row r="11990">
      <x:c r="A11990" s="85"/>
      <x:c r="B11990" s="86"/>
    </x:row>
    <x:row r="11991">
      <x:c r="A11991" s="85"/>
      <x:c r="B11991" s="86"/>
    </x:row>
    <x:row r="11992">
      <x:c r="A11992" s="85"/>
      <x:c r="B11992" s="86"/>
    </x:row>
    <x:row r="11993">
      <x:c r="A11993" s="85"/>
      <x:c r="B11993" s="86"/>
    </x:row>
    <x:row r="11994">
      <x:c r="A11994" s="85"/>
      <x:c r="B11994" s="86"/>
    </x:row>
    <x:row r="11995">
      <x:c r="A11995" s="85"/>
      <x:c r="B11995" s="86"/>
    </x:row>
    <x:row r="11996">
      <x:c r="A11996" s="85"/>
      <x:c r="B11996" s="86"/>
    </x:row>
    <x:row r="11997">
      <x:c r="A11997" s="85"/>
      <x:c r="B11997" s="86"/>
    </x:row>
    <x:row r="11998">
      <x:c r="A11998" s="85"/>
      <x:c r="B11998" s="86"/>
    </x:row>
    <x:row r="11999">
      <x:c r="A11999" s="85"/>
      <x:c r="B11999" s="86"/>
    </x:row>
    <x:row r="12000">
      <x:c r="A12000" s="85"/>
      <x:c r="B12000" s="86"/>
    </x:row>
    <x:row r="12001">
      <x:c r="A12001" s="85"/>
      <x:c r="B12001" s="86"/>
    </x:row>
    <x:row r="12002">
      <x:c r="A12002" s="85"/>
      <x:c r="B12002" s="86"/>
    </x:row>
    <x:row r="12003">
      <x:c r="A12003" s="85"/>
      <x:c r="B12003" s="86"/>
    </x:row>
    <x:row r="12004">
      <x:c r="A12004" s="85"/>
      <x:c r="B12004" s="86"/>
    </x:row>
    <x:row r="12005">
      <x:c r="A12005" s="85"/>
      <x:c r="B12005" s="86"/>
    </x:row>
    <x:row r="12006">
      <x:c r="A12006" s="85"/>
      <x:c r="B12006" s="86"/>
    </x:row>
    <x:row r="12007">
      <x:c r="A12007" s="85"/>
      <x:c r="B12007" s="86"/>
    </x:row>
    <x:row r="12008">
      <x:c r="A12008" s="85"/>
      <x:c r="B12008" s="86"/>
    </x:row>
    <x:row r="12009">
      <x:c r="A12009" s="85"/>
      <x:c r="B12009" s="86"/>
    </x:row>
    <x:row r="12010">
      <x:c r="A12010" s="85"/>
      <x:c r="B12010" s="86"/>
    </x:row>
    <x:row r="12011">
      <x:c r="A12011" s="85"/>
      <x:c r="B12011" s="86"/>
    </x:row>
    <x:row r="12012">
      <x:c r="A12012" s="85"/>
      <x:c r="B12012" s="86"/>
    </x:row>
    <x:row r="12013">
      <x:c r="A12013" s="85"/>
      <x:c r="B12013" s="86"/>
    </x:row>
    <x:row r="12014">
      <x:c r="A12014" s="85"/>
      <x:c r="B12014" s="86"/>
    </x:row>
    <x:row r="12015">
      <x:c r="A12015" s="85"/>
      <x:c r="B12015" s="86"/>
    </x:row>
    <x:row r="12016">
      <x:c r="A12016" s="85"/>
      <x:c r="B12016" s="86"/>
    </x:row>
    <x:row r="12017">
      <x:c r="A12017" s="85"/>
      <x:c r="B12017" s="86"/>
    </x:row>
    <x:row r="12018">
      <x:c r="A12018" s="85"/>
      <x:c r="B12018" s="86"/>
    </x:row>
    <x:row r="12019">
      <x:c r="A12019" s="85"/>
      <x:c r="B12019" s="86"/>
    </x:row>
    <x:row r="12020">
      <x:c r="A12020" s="85"/>
      <x:c r="B12020" s="86"/>
    </x:row>
    <x:row r="12021">
      <x:c r="A12021" s="85"/>
      <x:c r="B12021" s="86"/>
    </x:row>
    <x:row r="12022">
      <x:c r="A12022" s="85"/>
      <x:c r="B12022" s="86"/>
    </x:row>
    <x:row r="12023">
      <x:c r="A12023" s="85"/>
      <x:c r="B12023" s="86"/>
    </x:row>
    <x:row r="12024">
      <x:c r="A12024" s="85"/>
      <x:c r="B12024" s="86"/>
    </x:row>
    <x:row r="12025">
      <x:c r="A12025" s="85"/>
      <x:c r="B12025" s="86"/>
    </x:row>
    <x:row r="12026">
      <x:c r="A12026" s="85"/>
      <x:c r="B12026" s="86"/>
    </x:row>
    <x:row r="12027">
      <x:c r="A12027" s="85"/>
      <x:c r="B12027" s="86"/>
    </x:row>
    <x:row r="12028">
      <x:c r="A12028" s="85"/>
      <x:c r="B12028" s="86"/>
    </x:row>
    <x:row r="12029">
      <x:c r="A12029" s="85"/>
      <x:c r="B12029" s="86"/>
    </x:row>
    <x:row r="12030">
      <x:c r="A12030" s="85"/>
      <x:c r="B12030" s="86"/>
    </x:row>
    <x:row r="12031">
      <x:c r="A12031" s="85"/>
      <x:c r="B12031" s="86"/>
    </x:row>
    <x:row r="12032">
      <x:c r="A12032" s="85"/>
      <x:c r="B12032" s="86"/>
    </x:row>
    <x:row r="12033">
      <x:c r="A12033" s="85"/>
      <x:c r="B12033" s="86"/>
    </x:row>
    <x:row r="12034">
      <x:c r="A12034" s="85"/>
      <x:c r="B12034" s="86"/>
    </x:row>
    <x:row r="12035">
      <x:c r="A12035" s="85"/>
      <x:c r="B12035" s="86"/>
    </x:row>
    <x:row r="12036">
      <x:c r="A12036" s="85"/>
      <x:c r="B12036" s="86"/>
    </x:row>
    <x:row r="12037">
      <x:c r="A12037" s="85"/>
      <x:c r="B12037" s="86"/>
    </x:row>
    <x:row r="12038">
      <x:c r="A12038" s="85"/>
      <x:c r="B12038" s="86"/>
    </x:row>
    <x:row r="12039">
      <x:c r="A12039" s="85"/>
      <x:c r="B12039" s="86"/>
    </x:row>
    <x:row r="12040">
      <x:c r="A12040" s="85"/>
      <x:c r="B12040" s="86"/>
    </x:row>
    <x:row r="12041">
      <x:c r="A12041" s="85"/>
      <x:c r="B12041" s="86"/>
    </x:row>
    <x:row r="12042">
      <x:c r="A12042" s="85"/>
      <x:c r="B12042" s="86"/>
    </x:row>
    <x:row r="12043">
      <x:c r="A12043" s="85"/>
      <x:c r="B12043" s="86"/>
    </x:row>
    <x:row r="12044">
      <x:c r="A12044" s="85"/>
      <x:c r="B12044" s="86"/>
    </x:row>
    <x:row r="12045">
      <x:c r="A12045" s="85"/>
      <x:c r="B12045" s="86"/>
    </x:row>
    <x:row r="12046">
      <x:c r="A12046" s="85"/>
      <x:c r="B12046" s="86"/>
    </x:row>
    <x:row r="12047">
      <x:c r="A12047" s="85"/>
      <x:c r="B12047" s="86"/>
    </x:row>
    <x:row r="12048">
      <x:c r="A12048" s="85"/>
      <x:c r="B12048" s="86"/>
    </x:row>
    <x:row r="12049">
      <x:c r="A12049" s="85"/>
      <x:c r="B12049" s="86"/>
    </x:row>
    <x:row r="12050">
      <x:c r="A12050" s="85"/>
      <x:c r="B12050" s="86"/>
    </x:row>
    <x:row r="12051">
      <x:c r="A12051" s="85"/>
      <x:c r="B12051" s="86"/>
    </x:row>
    <x:row r="12052">
      <x:c r="A12052" s="85"/>
      <x:c r="B12052" s="86"/>
    </x:row>
    <x:row r="12053">
      <x:c r="A12053" s="85"/>
      <x:c r="B12053" s="86"/>
    </x:row>
    <x:row r="12054">
      <x:c r="A12054" s="85"/>
      <x:c r="B12054" s="86"/>
    </x:row>
    <x:row r="12055">
      <x:c r="A12055" s="85"/>
      <x:c r="B12055" s="86"/>
    </x:row>
    <x:row r="12056">
      <x:c r="A12056" s="85"/>
      <x:c r="B12056" s="86"/>
    </x:row>
    <x:row r="12057">
      <x:c r="A12057" s="85"/>
      <x:c r="B12057" s="86"/>
    </x:row>
    <x:row r="12058">
      <x:c r="A12058" s="85"/>
      <x:c r="B12058" s="86"/>
    </x:row>
    <x:row r="12059">
      <x:c r="A12059" s="85"/>
      <x:c r="B12059" s="86"/>
    </x:row>
    <x:row r="12060">
      <x:c r="A12060" s="85"/>
      <x:c r="B12060" s="86"/>
    </x:row>
    <x:row r="12061">
      <x:c r="A12061" s="85"/>
      <x:c r="B12061" s="86"/>
    </x:row>
    <x:row r="12062">
      <x:c r="A12062" s="85"/>
      <x:c r="B12062" s="86"/>
    </x:row>
    <x:row r="12063">
      <x:c r="A12063" s="85"/>
      <x:c r="B12063" s="86"/>
    </x:row>
    <x:row r="12064">
      <x:c r="A12064" s="85"/>
      <x:c r="B12064" s="86"/>
    </x:row>
    <x:row r="12065">
      <x:c r="A12065" s="85"/>
      <x:c r="B12065" s="86"/>
    </x:row>
    <x:row r="12066">
      <x:c r="A12066" s="85"/>
      <x:c r="B12066" s="86"/>
    </x:row>
    <x:row r="12067">
      <x:c r="A12067" s="85"/>
      <x:c r="B12067" s="86"/>
    </x:row>
    <x:row r="12068">
      <x:c r="A12068" s="85"/>
      <x:c r="B12068" s="86"/>
    </x:row>
    <x:row r="12069">
      <x:c r="A12069" s="85"/>
      <x:c r="B12069" s="86"/>
    </x:row>
    <x:row r="12070">
      <x:c r="A12070" s="85"/>
      <x:c r="B12070" s="86"/>
    </x:row>
    <x:row r="12071">
      <x:c r="A12071" s="85"/>
      <x:c r="B12071" s="86"/>
    </x:row>
    <x:row r="12072">
      <x:c r="A12072" s="85"/>
      <x:c r="B12072" s="86"/>
    </x:row>
    <x:row r="12073">
      <x:c r="A12073" s="85"/>
      <x:c r="B12073" s="86"/>
    </x:row>
    <x:row r="12074">
      <x:c r="A12074" s="85"/>
      <x:c r="B12074" s="86"/>
    </x:row>
    <x:row r="12075">
      <x:c r="A12075" s="85"/>
      <x:c r="B12075" s="86"/>
    </x:row>
    <x:row r="12076">
      <x:c r="A12076" s="85"/>
      <x:c r="B12076" s="86"/>
    </x:row>
    <x:row r="12077">
      <x:c r="A12077" s="85"/>
      <x:c r="B12077" s="86"/>
    </x:row>
    <x:row r="12078">
      <x:c r="A12078" s="85"/>
      <x:c r="B12078" s="86"/>
    </x:row>
    <x:row r="12079">
      <x:c r="A12079" s="85"/>
      <x:c r="B12079" s="86"/>
    </x:row>
    <x:row r="12080">
      <x:c r="A12080" s="85"/>
      <x:c r="B12080" s="86"/>
    </x:row>
    <x:row r="12081">
      <x:c r="A12081" s="85"/>
      <x:c r="B12081" s="86"/>
    </x:row>
    <x:row r="12082">
      <x:c r="A12082" s="85"/>
      <x:c r="B12082" s="86"/>
    </x:row>
    <x:row r="12083">
      <x:c r="A12083" s="85"/>
      <x:c r="B12083" s="86"/>
    </x:row>
    <x:row r="12084">
      <x:c r="A12084" s="85"/>
      <x:c r="B12084" s="86"/>
    </x:row>
    <x:row r="12085">
      <x:c r="A12085" s="85"/>
      <x:c r="B12085" s="86"/>
    </x:row>
    <x:row r="12086">
      <x:c r="A12086" s="85"/>
      <x:c r="B12086" s="86"/>
    </x:row>
    <x:row r="12087">
      <x:c r="A12087" s="85"/>
      <x:c r="B12087" s="86"/>
    </x:row>
    <x:row r="12088">
      <x:c r="A12088" s="85"/>
      <x:c r="B12088" s="86"/>
    </x:row>
    <x:row r="12089">
      <x:c r="A12089" s="85"/>
      <x:c r="B12089" s="86"/>
    </x:row>
    <x:row r="12090">
      <x:c r="A12090" s="85"/>
      <x:c r="B12090" s="86"/>
    </x:row>
    <x:row r="12091">
      <x:c r="A12091" s="85"/>
      <x:c r="B12091" s="86"/>
    </x:row>
    <x:row r="12092">
      <x:c r="A12092" s="85"/>
      <x:c r="B12092" s="86"/>
    </x:row>
    <x:row r="12093">
      <x:c r="A12093" s="85"/>
      <x:c r="B12093" s="86"/>
    </x:row>
    <x:row r="12094">
      <x:c r="A12094" s="85"/>
      <x:c r="B12094" s="86"/>
    </x:row>
    <x:row r="12095">
      <x:c r="A12095" s="85"/>
      <x:c r="B12095" s="86"/>
    </x:row>
    <x:row r="12096">
      <x:c r="A12096" s="85"/>
      <x:c r="B12096" s="86"/>
    </x:row>
    <x:row r="12097">
      <x:c r="A12097" s="85"/>
      <x:c r="B12097" s="86"/>
    </x:row>
    <x:row r="12098">
      <x:c r="A12098" s="85"/>
      <x:c r="B12098" s="86"/>
    </x:row>
    <x:row r="12099">
      <x:c r="A12099" s="85"/>
      <x:c r="B12099" s="86"/>
    </x:row>
    <x:row r="12100">
      <x:c r="A12100" s="85"/>
      <x:c r="B12100" s="86"/>
    </x:row>
    <x:row r="12101">
      <x:c r="A12101" s="85"/>
      <x:c r="B12101" s="86"/>
    </x:row>
    <x:row r="12102">
      <x:c r="A12102" s="85"/>
      <x:c r="B12102" s="86"/>
    </x:row>
    <x:row r="12103">
      <x:c r="A12103" s="85"/>
      <x:c r="B12103" s="86"/>
    </x:row>
    <x:row r="12104">
      <x:c r="A12104" s="85"/>
      <x:c r="B12104" s="86"/>
    </x:row>
    <x:row r="12105">
      <x:c r="A12105" s="85"/>
      <x:c r="B12105" s="86"/>
    </x:row>
    <x:row r="12106">
      <x:c r="A12106" s="85"/>
      <x:c r="B12106" s="86"/>
    </x:row>
    <x:row r="12107">
      <x:c r="A12107" s="85"/>
      <x:c r="B12107" s="86"/>
    </x:row>
    <x:row r="12108">
      <x:c r="A12108" s="85"/>
      <x:c r="B12108" s="86"/>
    </x:row>
    <x:row r="12109">
      <x:c r="A12109" s="85"/>
      <x:c r="B12109" s="86"/>
    </x:row>
    <x:row r="12110">
      <x:c r="A12110" s="85"/>
      <x:c r="B12110" s="86"/>
    </x:row>
    <x:row r="12111">
      <x:c r="A12111" s="85"/>
      <x:c r="B12111" s="86"/>
    </x:row>
    <x:row r="12112">
      <x:c r="A12112" s="85"/>
      <x:c r="B12112" s="86"/>
    </x:row>
    <x:row r="12113">
      <x:c r="A12113" s="85"/>
      <x:c r="B12113" s="86"/>
    </x:row>
    <x:row r="12114">
      <x:c r="A12114" s="85"/>
      <x:c r="B12114" s="86"/>
    </x:row>
    <x:row r="12115">
      <x:c r="A12115" s="85"/>
      <x:c r="B12115" s="86"/>
    </x:row>
    <x:row r="12116">
      <x:c r="A12116" s="85"/>
      <x:c r="B12116" s="86"/>
    </x:row>
    <x:row r="12117">
      <x:c r="A12117" s="85"/>
      <x:c r="B12117" s="86"/>
    </x:row>
    <x:row r="12118">
      <x:c r="A12118" s="85"/>
      <x:c r="B12118" s="86"/>
    </x:row>
    <x:row r="12119">
      <x:c r="A12119" s="85"/>
      <x:c r="B12119" s="86"/>
    </x:row>
    <x:row r="12120">
      <x:c r="A12120" s="85"/>
      <x:c r="B12120" s="86"/>
    </x:row>
    <x:row r="12121">
      <x:c r="A12121" s="85"/>
      <x:c r="B12121" s="86"/>
    </x:row>
    <x:row r="12122">
      <x:c r="A12122" s="85"/>
      <x:c r="B12122" s="86"/>
    </x:row>
    <x:row r="12123">
      <x:c r="A12123" s="85"/>
      <x:c r="B12123" s="86"/>
    </x:row>
    <x:row r="12124">
      <x:c r="A12124" s="85"/>
      <x:c r="B12124" s="86"/>
    </x:row>
    <x:row r="12125">
      <x:c r="A12125" s="85"/>
      <x:c r="B12125" s="86"/>
    </x:row>
    <x:row r="12126">
      <x:c r="A12126" s="85"/>
      <x:c r="B12126" s="86"/>
    </x:row>
    <x:row r="12127">
      <x:c r="A12127" s="85"/>
      <x:c r="B12127" s="86"/>
    </x:row>
    <x:row r="12128">
      <x:c r="A12128" s="85"/>
      <x:c r="B12128" s="86"/>
    </x:row>
    <x:row r="12129">
      <x:c r="A12129" s="85"/>
      <x:c r="B12129" s="86"/>
    </x:row>
    <x:row r="12130">
      <x:c r="A12130" s="85"/>
      <x:c r="B12130" s="86"/>
    </x:row>
    <x:row r="12131">
      <x:c r="A12131" s="85"/>
      <x:c r="B12131" s="86"/>
    </x:row>
    <x:row r="12132">
      <x:c r="A12132" s="85"/>
      <x:c r="B12132" s="86"/>
    </x:row>
    <x:row r="12133">
      <x:c r="A12133" s="85"/>
      <x:c r="B12133" s="86"/>
    </x:row>
    <x:row r="12134">
      <x:c r="A12134" s="85"/>
      <x:c r="B12134" s="86"/>
    </x:row>
    <x:row r="12135">
      <x:c r="A12135" s="85"/>
      <x:c r="B12135" s="86"/>
    </x:row>
    <x:row r="12136">
      <x:c r="A12136" s="85"/>
      <x:c r="B12136" s="86"/>
    </x:row>
    <x:row r="12137">
      <x:c r="A12137" s="85"/>
      <x:c r="B12137" s="86"/>
    </x:row>
    <x:row r="12138">
      <x:c r="A12138" s="85"/>
      <x:c r="B12138" s="86"/>
    </x:row>
    <x:row r="12139">
      <x:c r="A12139" s="85"/>
      <x:c r="B12139" s="86"/>
    </x:row>
    <x:row r="12140">
      <x:c r="A12140" s="85"/>
      <x:c r="B12140" s="86"/>
    </x:row>
    <x:row r="12141">
      <x:c r="A12141" s="85"/>
      <x:c r="B12141" s="86"/>
    </x:row>
    <x:row r="12142">
      <x:c r="A12142" s="85"/>
      <x:c r="B12142" s="86"/>
    </x:row>
    <x:row r="12143">
      <x:c r="A12143" s="85"/>
      <x:c r="B12143" s="86"/>
    </x:row>
    <x:row r="12144">
      <x:c r="A12144" s="85"/>
      <x:c r="B12144" s="86"/>
    </x:row>
    <x:row r="12145">
      <x:c r="A12145" s="85"/>
      <x:c r="B12145" s="86"/>
    </x:row>
    <x:row r="12146">
      <x:c r="A12146" s="85"/>
      <x:c r="B12146" s="86"/>
    </x:row>
    <x:row r="12147">
      <x:c r="A12147" s="85"/>
      <x:c r="B12147" s="86"/>
    </x:row>
    <x:row r="12148">
      <x:c r="A12148" s="85"/>
      <x:c r="B12148" s="86"/>
    </x:row>
    <x:row r="12149">
      <x:c r="A12149" s="85"/>
      <x:c r="B12149" s="86"/>
    </x:row>
    <x:row r="12150">
      <x:c r="A12150" s="85"/>
      <x:c r="B12150" s="86"/>
    </x:row>
    <x:row r="12151">
      <x:c r="A12151" s="85"/>
      <x:c r="B12151" s="86"/>
    </x:row>
    <x:row r="12152">
      <x:c r="A12152" s="85"/>
      <x:c r="B12152" s="86"/>
    </x:row>
    <x:row r="12153">
      <x:c r="A12153" s="85"/>
      <x:c r="B12153" s="86"/>
    </x:row>
    <x:row r="12154">
      <x:c r="A12154" s="85"/>
      <x:c r="B12154" s="86"/>
    </x:row>
    <x:row r="12155">
      <x:c r="A12155" s="85"/>
      <x:c r="B12155" s="86"/>
    </x:row>
    <x:row r="12156">
      <x:c r="A12156" s="85"/>
      <x:c r="B12156" s="86"/>
    </x:row>
    <x:row r="12157">
      <x:c r="A12157" s="85"/>
      <x:c r="B12157" s="86"/>
    </x:row>
    <x:row r="12158">
      <x:c r="A12158" s="85"/>
      <x:c r="B12158" s="86"/>
    </x:row>
    <x:row r="12159">
      <x:c r="A12159" s="85"/>
      <x:c r="B12159" s="86"/>
    </x:row>
    <x:row r="12160">
      <x:c r="A12160" s="85"/>
      <x:c r="B12160" s="86"/>
    </x:row>
    <x:row r="12161">
      <x:c r="A12161" s="85"/>
      <x:c r="B12161" s="86"/>
    </x:row>
    <x:row r="12162">
      <x:c r="A12162" s="85"/>
      <x:c r="B12162" s="86"/>
    </x:row>
    <x:row r="12163">
      <x:c r="A12163" s="85"/>
      <x:c r="B12163" s="86"/>
    </x:row>
    <x:row r="12164">
      <x:c r="A12164" s="85"/>
      <x:c r="B12164" s="86"/>
    </x:row>
    <x:row r="12165">
      <x:c r="A12165" s="85"/>
      <x:c r="B12165" s="86"/>
    </x:row>
    <x:row r="12166">
      <x:c r="A12166" s="85"/>
      <x:c r="B12166" s="86"/>
    </x:row>
    <x:row r="12167">
      <x:c r="A12167" s="85"/>
      <x:c r="B12167" s="86"/>
    </x:row>
    <x:row r="12168">
      <x:c r="A12168" s="85"/>
      <x:c r="B12168" s="86"/>
    </x:row>
    <x:row r="12169">
      <x:c r="A12169" s="85"/>
      <x:c r="B12169" s="86"/>
    </x:row>
    <x:row r="12170">
      <x:c r="A12170" s="85"/>
      <x:c r="B12170" s="86"/>
    </x:row>
    <x:row r="12171">
      <x:c r="A12171" s="85"/>
      <x:c r="B12171" s="86"/>
    </x:row>
    <x:row r="12172">
      <x:c r="A12172" s="85"/>
      <x:c r="B12172" s="86"/>
    </x:row>
    <x:row r="12173">
      <x:c r="A12173" s="85"/>
      <x:c r="B12173" s="86"/>
    </x:row>
    <x:row r="12174">
      <x:c r="A12174" s="85"/>
      <x:c r="B12174" s="86"/>
    </x:row>
    <x:row r="12175">
      <x:c r="A12175" s="85"/>
      <x:c r="B12175" s="86"/>
    </x:row>
    <x:row r="12176">
      <x:c r="A12176" s="85"/>
      <x:c r="B12176" s="86"/>
    </x:row>
    <x:row r="12177">
      <x:c r="A12177" s="85"/>
      <x:c r="B12177" s="86"/>
    </x:row>
    <x:row r="12178">
      <x:c r="A12178" s="85"/>
      <x:c r="B12178" s="86"/>
    </x:row>
    <x:row r="12179">
      <x:c r="A12179" s="85"/>
      <x:c r="B12179" s="86"/>
    </x:row>
    <x:row r="12180">
      <x:c r="A12180" s="85"/>
      <x:c r="B12180" s="86"/>
    </x:row>
    <x:row r="12181">
      <x:c r="A12181" s="85"/>
      <x:c r="B12181" s="86"/>
    </x:row>
    <x:row r="12182">
      <x:c r="A12182" s="85"/>
      <x:c r="B12182" s="86"/>
    </x:row>
    <x:row r="12183">
      <x:c r="A12183" s="85"/>
      <x:c r="B12183" s="86"/>
    </x:row>
    <x:row r="12184">
      <x:c r="A12184" s="85"/>
      <x:c r="B12184" s="86"/>
    </x:row>
    <x:row r="12185">
      <x:c r="A12185" s="85"/>
      <x:c r="B12185" s="86"/>
    </x:row>
    <x:row r="12186">
      <x:c r="A12186" s="85"/>
      <x:c r="B12186" s="86"/>
    </x:row>
    <x:row r="12187">
      <x:c r="A12187" s="85"/>
      <x:c r="B12187" s="86"/>
    </x:row>
    <x:row r="12188">
      <x:c r="A12188" s="85"/>
      <x:c r="B12188" s="86"/>
    </x:row>
    <x:row r="12189">
      <x:c r="A12189" s="85"/>
      <x:c r="B12189" s="86"/>
    </x:row>
    <x:row r="12190">
      <x:c r="A12190" s="85"/>
      <x:c r="B12190" s="86"/>
    </x:row>
    <x:row r="12191">
      <x:c r="A12191" s="85"/>
      <x:c r="B12191" s="86"/>
    </x:row>
    <x:row r="12192">
      <x:c r="A12192" s="85"/>
      <x:c r="B12192" s="86"/>
    </x:row>
    <x:row r="12193">
      <x:c r="A12193" s="85"/>
      <x:c r="B12193" s="86"/>
    </x:row>
    <x:row r="12194">
      <x:c r="A12194" s="85"/>
      <x:c r="B12194" s="86"/>
    </x:row>
    <x:row r="12195">
      <x:c r="A12195" s="85"/>
      <x:c r="B12195" s="86"/>
    </x:row>
    <x:row r="12196">
      <x:c r="A12196" s="85"/>
      <x:c r="B12196" s="86"/>
    </x:row>
    <x:row r="12197">
      <x:c r="A12197" s="85"/>
      <x:c r="B12197" s="86"/>
    </x:row>
    <x:row r="12198">
      <x:c r="A12198" s="85"/>
      <x:c r="B12198" s="86"/>
    </x:row>
    <x:row r="12199">
      <x:c r="A12199" s="85"/>
      <x:c r="B12199" s="86"/>
    </x:row>
    <x:row r="12200">
      <x:c r="A12200" s="85"/>
      <x:c r="B12200" s="86"/>
    </x:row>
    <x:row r="12201">
      <x:c r="A12201" s="85"/>
      <x:c r="B12201" s="86"/>
    </x:row>
    <x:row r="12202">
      <x:c r="A12202" s="85"/>
      <x:c r="B12202" s="86"/>
    </x:row>
    <x:row r="12203">
      <x:c r="A12203" s="85"/>
      <x:c r="B12203" s="86"/>
    </x:row>
    <x:row r="12204">
      <x:c r="A12204" s="85"/>
      <x:c r="B12204" s="86"/>
    </x:row>
    <x:row r="12205">
      <x:c r="A12205" s="85"/>
      <x:c r="B12205" s="86"/>
    </x:row>
    <x:row r="12206">
      <x:c r="A12206" s="85"/>
      <x:c r="B12206" s="86"/>
    </x:row>
    <x:row r="12207">
      <x:c r="A12207" s="85"/>
      <x:c r="B12207" s="86"/>
    </x:row>
    <x:row r="12208">
      <x:c r="A12208" s="85"/>
      <x:c r="B12208" s="86"/>
    </x:row>
    <x:row r="12209">
      <x:c r="A12209" s="85"/>
      <x:c r="B12209" s="86"/>
    </x:row>
    <x:row r="12210">
      <x:c r="A12210" s="85"/>
      <x:c r="B12210" s="86"/>
    </x:row>
    <x:row r="12211">
      <x:c r="A12211" s="85"/>
      <x:c r="B12211" s="86"/>
    </x:row>
    <x:row r="12212">
      <x:c r="A12212" s="85"/>
      <x:c r="B12212" s="86"/>
    </x:row>
    <x:row r="12213">
      <x:c r="A12213" s="85"/>
      <x:c r="B12213" s="86"/>
    </x:row>
    <x:row r="12214">
      <x:c r="A12214" s="85"/>
      <x:c r="B12214" s="86"/>
    </x:row>
    <x:row r="12215">
      <x:c r="A12215" s="85"/>
      <x:c r="B12215" s="86"/>
    </x:row>
    <x:row r="12216">
      <x:c r="A12216" s="85"/>
      <x:c r="B12216" s="86"/>
    </x:row>
    <x:row r="12217">
      <x:c r="A12217" s="85"/>
      <x:c r="B12217" s="86"/>
    </x:row>
    <x:row r="12218">
      <x:c r="A12218" s="85"/>
      <x:c r="B12218" s="86"/>
    </x:row>
    <x:row r="12219">
      <x:c r="A12219" s="85"/>
      <x:c r="B12219" s="86"/>
    </x:row>
    <x:row r="12220">
      <x:c r="A12220" s="85"/>
      <x:c r="B12220" s="86"/>
    </x:row>
    <x:row r="12221">
      <x:c r="A12221" s="85"/>
      <x:c r="B12221" s="86"/>
    </x:row>
    <x:row r="12222">
      <x:c r="A12222" s="85"/>
      <x:c r="B12222" s="86"/>
    </x:row>
    <x:row r="12223">
      <x:c r="A12223" s="85"/>
      <x:c r="B12223" s="86"/>
    </x:row>
    <x:row r="12224">
      <x:c r="A12224" s="85"/>
      <x:c r="B12224" s="86"/>
    </x:row>
    <x:row r="12225">
      <x:c r="A12225" s="85"/>
      <x:c r="B12225" s="86"/>
    </x:row>
    <x:row r="12226">
      <x:c r="A12226" s="85"/>
      <x:c r="B12226" s="86"/>
    </x:row>
    <x:row r="12227">
      <x:c r="A12227" s="85"/>
      <x:c r="B12227" s="86"/>
    </x:row>
    <x:row r="12228">
      <x:c r="A12228" s="85"/>
      <x:c r="B12228" s="86"/>
    </x:row>
    <x:row r="12229">
      <x:c r="A12229" s="85"/>
      <x:c r="B12229" s="86"/>
    </x:row>
    <x:row r="12230">
      <x:c r="A12230" s="85"/>
      <x:c r="B12230" s="86"/>
    </x:row>
    <x:row r="12231">
      <x:c r="A12231" s="85"/>
      <x:c r="B12231" s="86"/>
    </x:row>
    <x:row r="12232">
      <x:c r="A12232" s="85"/>
      <x:c r="B12232" s="86"/>
    </x:row>
    <x:row r="12233">
      <x:c r="A12233" s="85"/>
      <x:c r="B12233" s="86"/>
    </x:row>
    <x:row r="12234">
      <x:c r="A12234" s="85"/>
      <x:c r="B12234" s="86"/>
    </x:row>
    <x:row r="12235">
      <x:c r="A12235" s="85"/>
      <x:c r="B12235" s="86"/>
    </x:row>
    <x:row r="12236">
      <x:c r="A12236" s="85"/>
      <x:c r="B12236" s="86"/>
    </x:row>
    <x:row r="12237">
      <x:c r="A12237" s="85"/>
      <x:c r="B12237" s="86"/>
    </x:row>
    <x:row r="12238">
      <x:c r="A12238" s="85"/>
      <x:c r="B12238" s="86"/>
    </x:row>
    <x:row r="12239">
      <x:c r="A12239" s="85"/>
      <x:c r="B12239" s="86"/>
    </x:row>
    <x:row r="12240">
      <x:c r="A12240" s="85"/>
      <x:c r="B12240" s="86"/>
    </x:row>
    <x:row r="12241">
      <x:c r="A12241" s="85"/>
      <x:c r="B12241" s="86"/>
    </x:row>
    <x:row r="12242">
      <x:c r="A12242" s="85"/>
      <x:c r="B12242" s="86"/>
    </x:row>
    <x:row r="12243">
      <x:c r="A12243" s="85"/>
      <x:c r="B12243" s="86"/>
    </x:row>
    <x:row r="12244">
      <x:c r="A12244" s="85"/>
      <x:c r="B12244" s="86"/>
    </x:row>
    <x:row r="12245">
      <x:c r="A12245" s="85"/>
      <x:c r="B12245" s="86"/>
    </x:row>
    <x:row r="12246">
      <x:c r="A12246" s="85"/>
      <x:c r="B12246" s="86"/>
    </x:row>
    <x:row r="12247">
      <x:c r="A12247" s="85"/>
      <x:c r="B12247" s="86"/>
    </x:row>
    <x:row r="12248">
      <x:c r="A12248" s="85"/>
      <x:c r="B12248" s="86"/>
    </x:row>
    <x:row r="12249">
      <x:c r="A12249" s="85"/>
      <x:c r="B12249" s="86"/>
    </x:row>
    <x:row r="12250">
      <x:c r="A12250" s="85"/>
      <x:c r="B12250" s="86"/>
    </x:row>
    <x:row r="12251">
      <x:c r="A12251" s="85"/>
      <x:c r="B12251" s="86"/>
    </x:row>
    <x:row r="12252">
      <x:c r="A12252" s="85"/>
      <x:c r="B12252" s="86"/>
    </x:row>
    <x:row r="12253">
      <x:c r="A12253" s="85"/>
      <x:c r="B12253" s="86"/>
    </x:row>
    <x:row r="12254">
      <x:c r="A12254" s="85"/>
      <x:c r="B12254" s="86"/>
    </x:row>
    <x:row r="12255">
      <x:c r="A12255" s="85"/>
      <x:c r="B12255" s="86"/>
    </x:row>
    <x:row r="12256">
      <x:c r="A12256" s="85"/>
      <x:c r="B12256" s="86"/>
    </x:row>
    <x:row r="12257">
      <x:c r="A12257" s="85"/>
      <x:c r="B12257" s="86"/>
    </x:row>
    <x:row r="12258">
      <x:c r="A12258" s="85"/>
      <x:c r="B12258" s="86"/>
    </x:row>
    <x:row r="12259">
      <x:c r="A12259" s="85"/>
      <x:c r="B12259" s="86"/>
    </x:row>
    <x:row r="12260">
      <x:c r="A12260" s="85"/>
      <x:c r="B12260" s="86"/>
    </x:row>
    <x:row r="12261">
      <x:c r="A12261" s="85"/>
      <x:c r="B12261" s="86"/>
    </x:row>
    <x:row r="12262">
      <x:c r="A12262" s="85"/>
      <x:c r="B12262" s="86"/>
    </x:row>
    <x:row r="12263">
      <x:c r="A12263" s="85"/>
      <x:c r="B12263" s="86"/>
    </x:row>
    <x:row r="12264">
      <x:c r="A12264" s="85"/>
      <x:c r="B12264" s="86"/>
    </x:row>
    <x:row r="12265">
      <x:c r="A12265" s="85"/>
      <x:c r="B12265" s="86"/>
    </x:row>
    <x:row r="12266">
      <x:c r="A12266" s="85"/>
      <x:c r="B12266" s="86"/>
    </x:row>
    <x:row r="12267">
      <x:c r="A12267" s="85"/>
      <x:c r="B12267" s="86"/>
    </x:row>
    <x:row r="12268">
      <x:c r="A12268" s="85"/>
      <x:c r="B12268" s="86"/>
    </x:row>
    <x:row r="12269">
      <x:c r="A12269" s="85"/>
      <x:c r="B12269" s="86"/>
    </x:row>
    <x:row r="12270">
      <x:c r="A12270" s="85"/>
      <x:c r="B12270" s="86"/>
    </x:row>
    <x:row r="12271">
      <x:c r="A12271" s="85"/>
      <x:c r="B12271" s="86"/>
    </x:row>
    <x:row r="12272">
      <x:c r="A12272" s="85"/>
      <x:c r="B12272" s="86"/>
    </x:row>
    <x:row r="12273">
      <x:c r="A12273" s="85"/>
      <x:c r="B12273" s="86"/>
    </x:row>
    <x:row r="12274">
      <x:c r="A12274" s="85"/>
      <x:c r="B12274" s="86"/>
    </x:row>
    <x:row r="12275">
      <x:c r="A12275" s="85"/>
      <x:c r="B12275" s="86"/>
    </x:row>
    <x:row r="12276">
      <x:c r="A12276" s="85"/>
      <x:c r="B12276" s="86"/>
    </x:row>
    <x:row r="12277">
      <x:c r="A12277" s="85"/>
      <x:c r="B12277" s="86"/>
    </x:row>
    <x:row r="12278">
      <x:c r="A12278" s="85"/>
      <x:c r="B12278" s="86"/>
    </x:row>
    <x:row r="12279">
      <x:c r="A12279" s="85"/>
      <x:c r="B12279" s="86"/>
    </x:row>
    <x:row r="12280">
      <x:c r="A12280" s="85"/>
      <x:c r="B12280" s="86"/>
    </x:row>
    <x:row r="12281">
      <x:c r="A12281" s="85"/>
      <x:c r="B12281" s="86"/>
    </x:row>
    <x:row r="12282">
      <x:c r="A12282" s="85"/>
      <x:c r="B12282" s="86"/>
    </x:row>
    <x:row r="12283">
      <x:c r="A12283" s="85"/>
      <x:c r="B12283" s="86"/>
    </x:row>
    <x:row r="12284">
      <x:c r="A12284" s="85"/>
      <x:c r="B12284" s="86"/>
    </x:row>
    <x:row r="12285">
      <x:c r="A12285" s="85"/>
      <x:c r="B12285" s="86"/>
    </x:row>
    <x:row r="12286">
      <x:c r="A12286" s="85"/>
      <x:c r="B12286" s="86"/>
    </x:row>
    <x:row r="12287">
      <x:c r="A12287" s="85"/>
      <x:c r="B12287" s="86"/>
    </x:row>
    <x:row r="12288">
      <x:c r="A12288" s="85"/>
      <x:c r="B12288" s="86"/>
    </x:row>
    <x:row r="12289">
      <x:c r="A12289" s="85"/>
      <x:c r="B12289" s="86"/>
    </x:row>
    <x:row r="12290">
      <x:c r="A12290" s="85"/>
      <x:c r="B12290" s="86"/>
    </x:row>
    <x:row r="12291">
      <x:c r="A12291" s="85"/>
      <x:c r="B12291" s="86"/>
    </x:row>
    <x:row r="12292">
      <x:c r="A12292" s="85"/>
      <x:c r="B12292" s="86"/>
    </x:row>
    <x:row r="12293">
      <x:c r="A12293" s="85"/>
      <x:c r="B12293" s="86"/>
    </x:row>
    <x:row r="12294">
      <x:c r="A12294" s="85"/>
      <x:c r="B12294" s="86"/>
    </x:row>
    <x:row r="12295">
      <x:c r="A12295" s="85"/>
      <x:c r="B12295" s="86"/>
    </x:row>
    <x:row r="12296">
      <x:c r="A12296" s="85"/>
      <x:c r="B12296" s="86"/>
    </x:row>
    <x:row r="12297">
      <x:c r="A12297" s="85"/>
      <x:c r="B12297" s="86"/>
    </x:row>
    <x:row r="12298">
      <x:c r="A12298" s="85"/>
      <x:c r="B12298" s="86"/>
    </x:row>
    <x:row r="12299">
      <x:c r="A12299" s="85"/>
      <x:c r="B12299" s="86"/>
    </x:row>
    <x:row r="12300">
      <x:c r="A12300" s="85"/>
      <x:c r="B12300" s="86"/>
    </x:row>
    <x:row r="12301">
      <x:c r="A12301" s="85"/>
      <x:c r="B12301" s="86"/>
    </x:row>
    <x:row r="12302">
      <x:c r="A12302" s="85"/>
      <x:c r="B12302" s="86"/>
    </x:row>
    <x:row r="12303">
      <x:c r="A12303" s="85"/>
      <x:c r="B12303" s="86"/>
    </x:row>
    <x:row r="12304">
      <x:c r="A12304" s="85"/>
      <x:c r="B12304" s="86"/>
    </x:row>
    <x:row r="12305">
      <x:c r="A12305" s="85"/>
      <x:c r="B12305" s="86"/>
    </x:row>
    <x:row r="12306">
      <x:c r="A12306" s="85"/>
      <x:c r="B12306" s="86"/>
    </x:row>
    <x:row r="12307">
      <x:c r="A12307" s="85"/>
      <x:c r="B12307" s="86"/>
    </x:row>
    <x:row r="12308">
      <x:c r="A12308" s="85"/>
      <x:c r="B12308" s="86"/>
    </x:row>
    <x:row r="12309">
      <x:c r="A12309" s="85"/>
      <x:c r="B12309" s="86"/>
    </x:row>
    <x:row r="12310">
      <x:c r="A12310" s="85"/>
      <x:c r="B12310" s="86"/>
    </x:row>
    <x:row r="12311">
      <x:c r="A12311" s="85"/>
      <x:c r="B12311" s="86"/>
    </x:row>
    <x:row r="12312">
      <x:c r="A12312" s="85"/>
      <x:c r="B12312" s="86"/>
    </x:row>
    <x:row r="12313">
      <x:c r="A12313" s="85"/>
      <x:c r="B12313" s="86"/>
    </x:row>
    <x:row r="12314">
      <x:c r="A12314" s="85"/>
      <x:c r="B12314" s="86"/>
    </x:row>
    <x:row r="12315">
      <x:c r="A12315" s="85"/>
      <x:c r="B12315" s="86"/>
    </x:row>
    <x:row r="12316">
      <x:c r="A12316" s="85"/>
      <x:c r="B12316" s="86"/>
    </x:row>
    <x:row r="12317">
      <x:c r="A12317" s="85"/>
      <x:c r="B12317" s="86"/>
    </x:row>
    <x:row r="12318">
      <x:c r="A12318" s="85"/>
      <x:c r="B12318" s="86"/>
    </x:row>
    <x:row r="12319">
      <x:c r="A12319" s="85"/>
      <x:c r="B12319" s="86"/>
    </x:row>
    <x:row r="12320">
      <x:c r="A12320" s="85"/>
      <x:c r="B12320" s="86"/>
    </x:row>
    <x:row r="12321">
      <x:c r="A12321" s="85"/>
      <x:c r="B12321" s="86"/>
    </x:row>
    <x:row r="12322">
      <x:c r="A12322" s="85"/>
      <x:c r="B12322" s="86"/>
    </x:row>
    <x:row r="12323">
      <x:c r="A12323" s="85"/>
      <x:c r="B12323" s="86"/>
    </x:row>
    <x:row r="12324">
      <x:c r="A12324" s="85"/>
      <x:c r="B12324" s="86"/>
    </x:row>
    <x:row r="12325">
      <x:c r="A12325" s="85"/>
      <x:c r="B12325" s="86"/>
    </x:row>
    <x:row r="12326">
      <x:c r="A12326" s="85"/>
      <x:c r="B12326" s="86"/>
    </x:row>
    <x:row r="12327">
      <x:c r="A12327" s="85"/>
      <x:c r="B12327" s="86"/>
    </x:row>
    <x:row r="12328">
      <x:c r="A12328" s="85"/>
      <x:c r="B12328" s="86"/>
    </x:row>
    <x:row r="12329">
      <x:c r="A12329" s="85"/>
      <x:c r="B12329" s="86"/>
    </x:row>
    <x:row r="12330">
      <x:c r="A12330" s="85"/>
      <x:c r="B12330" s="86"/>
    </x:row>
    <x:row r="12331">
      <x:c r="A12331" s="85"/>
      <x:c r="B12331" s="86"/>
    </x:row>
    <x:row r="12332">
      <x:c r="A12332" s="85"/>
      <x:c r="B12332" s="86"/>
    </x:row>
    <x:row r="12333">
      <x:c r="A12333" s="85"/>
      <x:c r="B12333" s="86"/>
    </x:row>
    <x:row r="12334">
      <x:c r="A12334" s="85"/>
      <x:c r="B12334" s="86"/>
    </x:row>
    <x:row r="12335">
      <x:c r="A12335" s="85"/>
      <x:c r="B12335" s="86"/>
    </x:row>
    <x:row r="12336">
      <x:c r="A12336" s="85"/>
      <x:c r="B12336" s="86"/>
    </x:row>
    <x:row r="12337">
      <x:c r="A12337" s="85"/>
      <x:c r="B12337" s="86"/>
    </x:row>
    <x:row r="12338">
      <x:c r="A12338" s="85"/>
      <x:c r="B12338" s="86"/>
    </x:row>
    <x:row r="12339">
      <x:c r="A12339" s="85"/>
      <x:c r="B12339" s="86"/>
    </x:row>
    <x:row r="12340">
      <x:c r="A12340" s="85"/>
      <x:c r="B12340" s="86"/>
    </x:row>
    <x:row r="12341">
      <x:c r="A12341" s="85"/>
      <x:c r="B12341" s="86"/>
    </x:row>
    <x:row r="12342">
      <x:c r="A12342" s="85"/>
      <x:c r="B12342" s="86"/>
    </x:row>
    <x:row r="12343">
      <x:c r="A12343" s="85"/>
      <x:c r="B12343" s="86"/>
    </x:row>
    <x:row r="12344">
      <x:c r="A12344" s="85"/>
      <x:c r="B12344" s="86"/>
    </x:row>
    <x:row r="12345">
      <x:c r="A12345" s="85"/>
      <x:c r="B12345" s="86"/>
    </x:row>
    <x:row r="12346">
      <x:c r="A12346" s="85"/>
      <x:c r="B12346" s="86"/>
    </x:row>
    <x:row r="12347">
      <x:c r="A12347" s="85"/>
      <x:c r="B12347" s="86"/>
    </x:row>
    <x:row r="12348">
      <x:c r="A12348" s="85"/>
      <x:c r="B12348" s="86"/>
    </x:row>
    <x:row r="12349">
      <x:c r="A12349" s="85"/>
      <x:c r="B12349" s="86"/>
    </x:row>
    <x:row r="12350">
      <x:c r="A12350" s="85"/>
      <x:c r="B12350" s="86"/>
    </x:row>
    <x:row r="12351">
      <x:c r="A12351" s="85"/>
      <x:c r="B12351" s="86"/>
    </x:row>
    <x:row r="12352">
      <x:c r="A12352" s="85"/>
      <x:c r="B12352" s="86"/>
    </x:row>
    <x:row r="12353">
      <x:c r="A12353" s="85"/>
      <x:c r="B12353" s="86"/>
    </x:row>
    <x:row r="12354">
      <x:c r="A12354" s="85"/>
      <x:c r="B12354" s="86"/>
    </x:row>
    <x:row r="12355">
      <x:c r="A12355" s="85"/>
      <x:c r="B12355" s="86"/>
    </x:row>
    <x:row r="12356">
      <x:c r="A12356" s="85"/>
      <x:c r="B12356" s="86"/>
    </x:row>
    <x:row r="12357">
      <x:c r="A12357" s="85"/>
      <x:c r="B12357" s="86"/>
    </x:row>
    <x:row r="12358">
      <x:c r="A12358" s="85"/>
      <x:c r="B12358" s="86"/>
    </x:row>
    <x:row r="12359">
      <x:c r="A12359" s="85"/>
      <x:c r="B12359" s="86"/>
    </x:row>
    <x:row r="12360">
      <x:c r="A12360" s="85"/>
      <x:c r="B12360" s="86"/>
    </x:row>
    <x:row r="12361">
      <x:c r="A12361" s="85"/>
      <x:c r="B12361" s="86"/>
    </x:row>
    <x:row r="12362">
      <x:c r="A12362" s="85"/>
      <x:c r="B12362" s="86"/>
    </x:row>
    <x:row r="12363">
      <x:c r="A12363" s="85"/>
      <x:c r="B12363" s="86"/>
    </x:row>
    <x:row r="12364">
      <x:c r="A12364" s="85"/>
      <x:c r="B12364" s="86"/>
    </x:row>
    <x:row r="12365">
      <x:c r="A12365" s="85"/>
      <x:c r="B12365" s="86"/>
    </x:row>
    <x:row r="12366">
      <x:c r="A12366" s="85"/>
      <x:c r="B12366" s="86"/>
    </x:row>
    <x:row r="12367">
      <x:c r="A12367" s="85"/>
      <x:c r="B12367" s="86"/>
    </x:row>
    <x:row r="12368">
      <x:c r="A12368" s="85"/>
      <x:c r="B12368" s="86"/>
    </x:row>
    <x:row r="12369">
      <x:c r="A12369" s="85"/>
      <x:c r="B12369" s="86"/>
    </x:row>
    <x:row r="12370">
      <x:c r="A12370" s="85"/>
      <x:c r="B12370" s="86"/>
    </x:row>
    <x:row r="12371">
      <x:c r="A12371" s="85"/>
      <x:c r="B12371" s="86"/>
    </x:row>
    <x:row r="12372">
      <x:c r="A12372" s="85"/>
      <x:c r="B12372" s="86"/>
    </x:row>
    <x:row r="12373">
      <x:c r="A12373" s="85"/>
      <x:c r="B12373" s="86"/>
    </x:row>
    <x:row r="12374">
      <x:c r="A12374" s="85"/>
      <x:c r="B12374" s="86"/>
    </x:row>
    <x:row r="12375">
      <x:c r="A12375" s="85"/>
      <x:c r="B12375" s="86"/>
    </x:row>
    <x:row r="12376">
      <x:c r="A12376" s="85"/>
      <x:c r="B12376" s="86"/>
    </x:row>
    <x:row r="12377">
      <x:c r="A12377" s="85"/>
      <x:c r="B12377" s="86"/>
    </x:row>
    <x:row r="12378">
      <x:c r="A12378" s="85"/>
      <x:c r="B12378" s="86"/>
    </x:row>
    <x:row r="12379">
      <x:c r="A12379" s="85"/>
      <x:c r="B12379" s="86"/>
    </x:row>
    <x:row r="12380">
      <x:c r="A12380" s="85"/>
      <x:c r="B12380" s="86"/>
    </x:row>
    <x:row r="12381">
      <x:c r="A12381" s="85"/>
      <x:c r="B12381" s="86"/>
    </x:row>
    <x:row r="12382">
      <x:c r="A12382" s="85"/>
      <x:c r="B12382" s="86"/>
    </x:row>
    <x:row r="12383">
      <x:c r="A12383" s="85"/>
      <x:c r="B12383" s="86"/>
    </x:row>
    <x:row r="12384">
      <x:c r="A12384" s="85"/>
      <x:c r="B12384" s="86"/>
    </x:row>
    <x:row r="12385">
      <x:c r="A12385" s="85"/>
      <x:c r="B12385" s="86"/>
    </x:row>
    <x:row r="12386">
      <x:c r="A12386" s="85"/>
      <x:c r="B12386" s="86"/>
    </x:row>
    <x:row r="12387">
      <x:c r="A12387" s="85"/>
      <x:c r="B12387" s="86"/>
    </x:row>
    <x:row r="12388">
      <x:c r="A12388" s="85"/>
      <x:c r="B12388" s="86"/>
    </x:row>
    <x:row r="12389">
      <x:c r="A12389" s="85"/>
      <x:c r="B12389" s="86"/>
    </x:row>
    <x:row r="12390">
      <x:c r="A12390" s="85"/>
      <x:c r="B12390" s="86"/>
    </x:row>
    <x:row r="12391">
      <x:c r="A12391" s="85"/>
      <x:c r="B12391" s="86"/>
    </x:row>
    <x:row r="12392">
      <x:c r="A12392" s="85"/>
      <x:c r="B12392" s="86"/>
    </x:row>
    <x:row r="12393">
      <x:c r="A12393" s="85"/>
      <x:c r="B12393" s="86"/>
    </x:row>
    <x:row r="12394">
      <x:c r="A12394" s="85"/>
      <x:c r="B12394" s="86"/>
    </x:row>
    <x:row r="12395">
      <x:c r="A12395" s="85"/>
      <x:c r="B12395" s="86"/>
    </x:row>
    <x:row r="12396">
      <x:c r="A12396" s="85"/>
      <x:c r="B12396" s="86"/>
    </x:row>
    <x:row r="12397">
      <x:c r="A12397" s="85"/>
      <x:c r="B12397" s="86"/>
    </x:row>
    <x:row r="12398">
      <x:c r="A12398" s="85"/>
      <x:c r="B12398" s="86"/>
    </x:row>
    <x:row r="12399">
      <x:c r="A12399" s="85"/>
      <x:c r="B12399" s="86"/>
    </x:row>
    <x:row r="12400">
      <x:c r="A12400" s="85"/>
      <x:c r="B12400" s="86"/>
    </x:row>
    <x:row r="12401">
      <x:c r="A12401" s="85"/>
      <x:c r="B12401" s="86"/>
    </x:row>
    <x:row r="12402">
      <x:c r="A12402" s="85"/>
      <x:c r="B12402" s="86"/>
    </x:row>
    <x:row r="12403">
      <x:c r="A12403" s="85"/>
      <x:c r="B12403" s="86"/>
    </x:row>
    <x:row r="12404">
      <x:c r="A12404" s="85"/>
      <x:c r="B12404" s="86"/>
    </x:row>
    <x:row r="12405">
      <x:c r="A12405" s="85"/>
      <x:c r="B12405" s="86"/>
    </x:row>
    <x:row r="12406">
      <x:c r="A12406" s="85"/>
      <x:c r="B12406" s="86"/>
    </x:row>
    <x:row r="12407">
      <x:c r="A12407" s="85"/>
      <x:c r="B12407" s="86"/>
    </x:row>
    <x:row r="12408">
      <x:c r="A12408" s="85"/>
      <x:c r="B12408" s="86"/>
    </x:row>
    <x:row r="12409">
      <x:c r="A12409" s="85"/>
      <x:c r="B12409" s="86"/>
    </x:row>
    <x:row r="12410">
      <x:c r="A12410" s="85"/>
      <x:c r="B12410" s="86"/>
    </x:row>
    <x:row r="12411">
      <x:c r="A12411" s="85"/>
      <x:c r="B12411" s="86"/>
    </x:row>
    <x:row r="12412">
      <x:c r="A12412" s="85"/>
      <x:c r="B12412" s="86"/>
    </x:row>
    <x:row r="12413">
      <x:c r="A12413" s="85"/>
      <x:c r="B12413" s="86"/>
    </x:row>
    <x:row r="12414">
      <x:c r="A12414" s="85"/>
      <x:c r="B12414" s="86"/>
    </x:row>
    <x:row r="12415">
      <x:c r="A12415" s="85"/>
      <x:c r="B12415" s="86"/>
    </x:row>
    <x:row r="12416">
      <x:c r="A12416" s="85"/>
      <x:c r="B12416" s="86"/>
    </x:row>
    <x:row r="12417">
      <x:c r="A12417" s="85"/>
      <x:c r="B12417" s="86"/>
    </x:row>
    <x:row r="12418">
      <x:c r="A12418" s="85"/>
      <x:c r="B12418" s="86"/>
    </x:row>
    <x:row r="12419">
      <x:c r="A12419" s="85"/>
      <x:c r="B12419" s="86"/>
    </x:row>
    <x:row r="12420">
      <x:c r="A12420" s="85"/>
      <x:c r="B12420" s="86"/>
    </x:row>
    <x:row r="12421">
      <x:c r="A12421" s="85"/>
      <x:c r="B12421" s="86"/>
    </x:row>
    <x:row r="12422">
      <x:c r="A12422" s="85"/>
      <x:c r="B12422" s="86"/>
    </x:row>
    <x:row r="12423">
      <x:c r="A12423" s="85"/>
      <x:c r="B12423" s="86"/>
    </x:row>
    <x:row r="12424">
      <x:c r="A12424" s="85"/>
      <x:c r="B12424" s="86"/>
    </x:row>
    <x:row r="12425">
      <x:c r="A12425" s="85"/>
      <x:c r="B12425" s="86"/>
    </x:row>
    <x:row r="12426">
      <x:c r="A12426" s="85"/>
      <x:c r="B12426" s="86"/>
    </x:row>
    <x:row r="12427">
      <x:c r="A12427" s="85"/>
      <x:c r="B12427" s="86"/>
    </x:row>
    <x:row r="12428">
      <x:c r="A12428" s="85"/>
      <x:c r="B12428" s="86"/>
    </x:row>
    <x:row r="12429">
      <x:c r="A12429" s="85"/>
      <x:c r="B12429" s="86"/>
    </x:row>
    <x:row r="12430">
      <x:c r="A12430" s="85"/>
      <x:c r="B12430" s="86"/>
    </x:row>
    <x:row r="12431">
      <x:c r="A12431" s="85"/>
      <x:c r="B12431" s="86"/>
    </x:row>
    <x:row r="12432">
      <x:c r="A12432" s="85"/>
      <x:c r="B12432" s="86"/>
    </x:row>
    <x:row r="12433">
      <x:c r="A12433" s="85"/>
      <x:c r="B12433" s="86"/>
    </x:row>
    <x:row r="12434">
      <x:c r="A12434" s="85"/>
      <x:c r="B12434" s="86"/>
    </x:row>
    <x:row r="12435">
      <x:c r="A12435" s="85"/>
      <x:c r="B12435" s="86"/>
    </x:row>
    <x:row r="12436">
      <x:c r="A12436" s="85"/>
      <x:c r="B12436" s="86"/>
    </x:row>
    <x:row r="12437">
      <x:c r="A12437" s="85"/>
      <x:c r="B12437" s="86"/>
    </x:row>
    <x:row r="12438">
      <x:c r="A12438" s="85"/>
      <x:c r="B12438" s="86"/>
    </x:row>
    <x:row r="12439">
      <x:c r="A12439" s="85"/>
      <x:c r="B12439" s="86"/>
    </x:row>
    <x:row r="12440">
      <x:c r="A12440" s="85"/>
      <x:c r="B12440" s="86"/>
    </x:row>
    <x:row r="12441">
      <x:c r="A12441" s="85"/>
      <x:c r="B12441" s="86"/>
    </x:row>
    <x:row r="12442">
      <x:c r="A12442" s="85"/>
      <x:c r="B12442" s="86"/>
    </x:row>
    <x:row r="12443">
      <x:c r="A12443" s="85"/>
      <x:c r="B12443" s="86"/>
    </x:row>
    <x:row r="12444">
      <x:c r="A12444" s="85"/>
      <x:c r="B12444" s="86"/>
    </x:row>
    <x:row r="12445">
      <x:c r="A12445" s="85"/>
      <x:c r="B12445" s="86"/>
    </x:row>
    <x:row r="12446">
      <x:c r="A12446" s="85"/>
      <x:c r="B12446" s="86"/>
    </x:row>
    <x:row r="12447">
      <x:c r="A12447" s="85"/>
      <x:c r="B12447" s="86"/>
    </x:row>
    <x:row r="12448">
      <x:c r="A12448" s="85"/>
      <x:c r="B12448" s="86"/>
    </x:row>
    <x:row r="12449">
      <x:c r="A12449" s="85"/>
      <x:c r="B12449" s="86"/>
    </x:row>
    <x:row r="12450">
      <x:c r="A12450" s="85"/>
      <x:c r="B12450" s="86"/>
    </x:row>
    <x:row r="12451">
      <x:c r="A12451" s="85"/>
      <x:c r="B12451" s="86"/>
    </x:row>
    <x:row r="12452">
      <x:c r="A12452" s="85"/>
      <x:c r="B12452" s="86"/>
    </x:row>
    <x:row r="12453">
      <x:c r="A12453" s="85"/>
      <x:c r="B12453" s="86"/>
    </x:row>
    <x:row r="12454">
      <x:c r="A12454" s="85"/>
      <x:c r="B12454" s="86"/>
    </x:row>
    <x:row r="12455">
      <x:c r="A12455" s="85"/>
      <x:c r="B12455" s="86"/>
    </x:row>
    <x:row r="12456">
      <x:c r="A12456" s="85"/>
      <x:c r="B12456" s="86"/>
    </x:row>
    <x:row r="12457">
      <x:c r="A12457" s="85"/>
      <x:c r="B12457" s="86"/>
    </x:row>
    <x:row r="12458">
      <x:c r="A12458" s="85"/>
      <x:c r="B12458" s="86"/>
    </x:row>
    <x:row r="12459">
      <x:c r="A12459" s="85"/>
      <x:c r="B12459" s="86"/>
    </x:row>
    <x:row r="12460">
      <x:c r="A12460" s="85"/>
      <x:c r="B12460" s="86"/>
    </x:row>
    <x:row r="12461">
      <x:c r="A12461" s="85"/>
      <x:c r="B12461" s="86"/>
    </x:row>
    <x:row r="12462">
      <x:c r="A12462" s="85"/>
      <x:c r="B12462" s="86"/>
    </x:row>
    <x:row r="12463">
      <x:c r="A12463" s="85"/>
      <x:c r="B12463" s="86"/>
    </x:row>
    <x:row r="12464">
      <x:c r="A12464" s="85"/>
      <x:c r="B12464" s="86"/>
    </x:row>
    <x:row r="12465">
      <x:c r="A12465" s="85"/>
      <x:c r="B12465" s="86"/>
    </x:row>
    <x:row r="12466">
      <x:c r="A12466" s="85"/>
      <x:c r="B12466" s="86"/>
    </x:row>
    <x:row r="12467">
      <x:c r="A12467" s="85"/>
      <x:c r="B12467" s="86"/>
    </x:row>
    <x:row r="12468">
      <x:c r="A12468" s="85"/>
      <x:c r="B12468" s="86"/>
    </x:row>
    <x:row r="12469">
      <x:c r="A12469" s="85"/>
      <x:c r="B12469" s="86"/>
    </x:row>
    <x:row r="12470">
      <x:c r="A12470" s="85"/>
      <x:c r="B12470" s="86"/>
    </x:row>
    <x:row r="12471">
      <x:c r="A12471" s="85"/>
      <x:c r="B12471" s="86"/>
    </x:row>
    <x:row r="12472">
      <x:c r="A12472" s="85"/>
      <x:c r="B12472" s="86"/>
    </x:row>
    <x:row r="12473">
      <x:c r="A12473" s="85"/>
      <x:c r="B12473" s="86"/>
    </x:row>
    <x:row r="12474">
      <x:c r="A12474" s="85"/>
      <x:c r="B12474" s="86"/>
    </x:row>
    <x:row r="12475">
      <x:c r="A12475" s="85"/>
      <x:c r="B12475" s="86"/>
    </x:row>
    <x:row r="12476">
      <x:c r="A12476" s="85"/>
      <x:c r="B12476" s="86"/>
    </x:row>
    <x:row r="12477">
      <x:c r="A12477" s="85"/>
      <x:c r="B12477" s="86"/>
    </x:row>
    <x:row r="12478">
      <x:c r="A12478" s="85"/>
      <x:c r="B12478" s="86"/>
    </x:row>
    <x:row r="12479">
      <x:c r="A12479" s="85"/>
      <x:c r="B12479" s="86"/>
    </x:row>
    <x:row r="12480">
      <x:c r="A12480" s="85"/>
      <x:c r="B12480" s="86"/>
    </x:row>
    <x:row r="12481">
      <x:c r="A12481" s="85"/>
      <x:c r="B12481" s="86"/>
    </x:row>
    <x:row r="12482">
      <x:c r="A12482" s="85"/>
      <x:c r="B12482" s="86"/>
    </x:row>
    <x:row r="12483">
      <x:c r="A12483" s="85"/>
      <x:c r="B12483" s="86"/>
    </x:row>
    <x:row r="12484">
      <x:c r="A12484" s="85"/>
      <x:c r="B12484" s="86"/>
    </x:row>
    <x:row r="12485">
      <x:c r="A12485" s="85"/>
      <x:c r="B12485" s="86"/>
    </x:row>
    <x:row r="12486">
      <x:c r="A12486" s="85"/>
      <x:c r="B12486" s="86"/>
    </x:row>
    <x:row r="12487">
      <x:c r="A12487" s="85"/>
      <x:c r="B12487" s="86"/>
    </x:row>
    <x:row r="12488">
      <x:c r="A12488" s="85"/>
      <x:c r="B12488" s="86"/>
    </x:row>
    <x:row r="12489">
      <x:c r="A12489" s="85"/>
      <x:c r="B12489" s="86"/>
    </x:row>
    <x:row r="12490">
      <x:c r="A12490" s="85"/>
      <x:c r="B12490" s="86"/>
    </x:row>
    <x:row r="12491">
      <x:c r="A12491" s="85"/>
      <x:c r="B12491" s="86"/>
    </x:row>
    <x:row r="12492">
      <x:c r="A12492" s="85"/>
      <x:c r="B12492" s="86"/>
    </x:row>
    <x:row r="12493">
      <x:c r="A12493" s="85"/>
      <x:c r="B12493" s="86"/>
    </x:row>
    <x:row r="12494">
      <x:c r="A12494" s="85"/>
      <x:c r="B12494" s="86"/>
    </x:row>
    <x:row r="12495">
      <x:c r="A12495" s="85"/>
      <x:c r="B12495" s="86"/>
    </x:row>
    <x:row r="12496">
      <x:c r="A12496" s="85"/>
      <x:c r="B12496" s="86"/>
    </x:row>
    <x:row r="12497">
      <x:c r="A12497" s="85"/>
      <x:c r="B12497" s="86"/>
    </x:row>
    <x:row r="12498">
      <x:c r="A12498" s="85"/>
      <x:c r="B12498" s="86"/>
    </x:row>
    <x:row r="12499">
      <x:c r="A12499" s="85"/>
      <x:c r="B12499" s="86"/>
    </x:row>
    <x:row r="12500">
      <x:c r="A12500" s="85"/>
      <x:c r="B12500" s="86"/>
    </x:row>
    <x:row r="12501">
      <x:c r="A12501" s="85"/>
      <x:c r="B12501" s="86"/>
    </x:row>
    <x:row r="12502">
      <x:c r="A12502" s="85"/>
      <x:c r="B12502" s="86"/>
    </x:row>
    <x:row r="12503">
      <x:c r="A12503" s="85"/>
      <x:c r="B12503" s="86"/>
    </x:row>
    <x:row r="12504">
      <x:c r="A12504" s="85"/>
      <x:c r="B12504" s="86"/>
    </x:row>
    <x:row r="12505">
      <x:c r="A12505" s="85"/>
      <x:c r="B12505" s="86"/>
    </x:row>
    <x:row r="12506">
      <x:c r="A12506" s="85"/>
      <x:c r="B12506" s="86"/>
    </x:row>
    <x:row r="12507">
      <x:c r="A12507" s="85"/>
      <x:c r="B12507" s="86"/>
    </x:row>
    <x:row r="12508">
      <x:c r="A12508" s="85"/>
      <x:c r="B12508" s="86"/>
    </x:row>
    <x:row r="12509">
      <x:c r="A12509" s="85"/>
      <x:c r="B12509" s="86"/>
    </x:row>
    <x:row r="12510">
      <x:c r="A12510" s="85"/>
      <x:c r="B12510" s="86"/>
    </x:row>
    <x:row r="12511">
      <x:c r="A12511" s="85"/>
      <x:c r="B12511" s="86"/>
    </x:row>
    <x:row r="12512">
      <x:c r="A12512" s="85"/>
      <x:c r="B12512" s="86"/>
    </x:row>
    <x:row r="12513">
      <x:c r="A12513" s="85"/>
      <x:c r="B12513" s="86"/>
    </x:row>
    <x:row r="12514">
      <x:c r="A12514" s="85"/>
      <x:c r="B12514" s="86"/>
    </x:row>
    <x:row r="12515">
      <x:c r="A12515" s="85"/>
      <x:c r="B12515" s="86"/>
    </x:row>
    <x:row r="12516">
      <x:c r="A12516" s="85"/>
      <x:c r="B12516" s="86"/>
    </x:row>
    <x:row r="12517">
      <x:c r="A12517" s="85"/>
      <x:c r="B12517" s="86"/>
    </x:row>
    <x:row r="12518">
      <x:c r="A12518" s="85"/>
      <x:c r="B12518" s="86"/>
    </x:row>
    <x:row r="12519">
      <x:c r="A12519" s="85"/>
      <x:c r="B12519" s="86"/>
    </x:row>
    <x:row r="12520">
      <x:c r="A12520" s="85"/>
      <x:c r="B12520" s="86"/>
    </x:row>
    <x:row r="12521">
      <x:c r="A12521" s="85"/>
      <x:c r="B12521" s="86"/>
    </x:row>
    <x:row r="12522">
      <x:c r="A12522" s="85"/>
      <x:c r="B12522" s="86"/>
    </x:row>
    <x:row r="12523">
      <x:c r="A12523" s="85"/>
      <x:c r="B12523" s="86"/>
    </x:row>
    <x:row r="12524">
      <x:c r="A12524" s="85"/>
      <x:c r="B12524" s="86"/>
    </x:row>
    <x:row r="12525">
      <x:c r="A12525" s="85"/>
      <x:c r="B12525" s="86"/>
    </x:row>
    <x:row r="12526">
      <x:c r="A12526" s="85"/>
      <x:c r="B12526" s="86"/>
    </x:row>
    <x:row r="12527">
      <x:c r="A12527" s="85"/>
      <x:c r="B12527" s="86"/>
    </x:row>
    <x:row r="12528">
      <x:c r="A12528" s="85"/>
      <x:c r="B12528" s="86"/>
    </x:row>
    <x:row r="12529">
      <x:c r="A12529" s="85"/>
      <x:c r="B12529" s="86"/>
    </x:row>
    <x:row r="12530">
      <x:c r="A12530" s="85"/>
      <x:c r="B12530" s="86"/>
    </x:row>
    <x:row r="12531">
      <x:c r="A12531" s="85"/>
      <x:c r="B12531" s="86"/>
    </x:row>
    <x:row r="12532">
      <x:c r="A12532" s="85"/>
      <x:c r="B12532" s="86"/>
    </x:row>
    <x:row r="12533">
      <x:c r="A12533" s="85"/>
      <x:c r="B12533" s="86"/>
    </x:row>
    <x:row r="12534">
      <x:c r="A12534" s="85"/>
      <x:c r="B12534" s="86"/>
    </x:row>
    <x:row r="12535">
      <x:c r="A12535" s="85"/>
      <x:c r="B12535" s="86"/>
    </x:row>
    <x:row r="12536">
      <x:c r="A12536" s="85"/>
      <x:c r="B12536" s="86"/>
    </x:row>
    <x:row r="12537">
      <x:c r="A12537" s="85"/>
      <x:c r="B12537" s="86"/>
    </x:row>
    <x:row r="12538">
      <x:c r="A12538" s="85"/>
      <x:c r="B12538" s="86"/>
    </x:row>
    <x:row r="12539">
      <x:c r="A12539" s="85"/>
      <x:c r="B12539" s="86"/>
    </x:row>
    <x:row r="12540">
      <x:c r="A12540" s="85"/>
      <x:c r="B12540" s="86"/>
    </x:row>
    <x:row r="12541">
      <x:c r="A12541" s="85"/>
      <x:c r="B12541" s="86"/>
    </x:row>
    <x:row r="12542">
      <x:c r="A12542" s="85"/>
      <x:c r="B12542" s="86"/>
    </x:row>
    <x:row r="12543">
      <x:c r="A12543" s="85"/>
      <x:c r="B12543" s="86"/>
    </x:row>
    <x:row r="12544">
      <x:c r="A12544" s="85"/>
      <x:c r="B12544" s="86"/>
    </x:row>
    <x:row r="12545">
      <x:c r="A12545" s="85"/>
      <x:c r="B12545" s="86"/>
    </x:row>
    <x:row r="12546">
      <x:c r="A12546" s="85"/>
      <x:c r="B12546" s="86"/>
    </x:row>
    <x:row r="12547">
      <x:c r="A12547" s="85"/>
      <x:c r="B12547" s="86"/>
    </x:row>
    <x:row r="12548">
      <x:c r="A12548" s="85"/>
      <x:c r="B12548" s="86"/>
    </x:row>
    <x:row r="12549">
      <x:c r="A12549" s="85"/>
      <x:c r="B12549" s="86"/>
    </x:row>
    <x:row r="12550">
      <x:c r="A12550" s="85"/>
      <x:c r="B12550" s="86"/>
    </x:row>
    <x:row r="12551">
      <x:c r="A12551" s="85"/>
      <x:c r="B12551" s="86"/>
    </x:row>
    <x:row r="12552">
      <x:c r="A12552" s="85"/>
      <x:c r="B12552" s="86"/>
    </x:row>
    <x:row r="12553">
      <x:c r="A12553" s="85"/>
      <x:c r="B12553" s="86"/>
    </x:row>
    <x:row r="12554">
      <x:c r="A12554" s="85"/>
      <x:c r="B12554" s="86"/>
    </x:row>
    <x:row r="12555">
      <x:c r="A12555" s="85"/>
      <x:c r="B12555" s="86"/>
    </x:row>
    <x:row r="12556">
      <x:c r="A12556" s="85"/>
      <x:c r="B12556" s="86"/>
    </x:row>
    <x:row r="12557">
      <x:c r="A12557" s="85"/>
      <x:c r="B12557" s="86"/>
    </x:row>
    <x:row r="12558">
      <x:c r="A12558" s="85"/>
      <x:c r="B12558" s="86"/>
    </x:row>
    <x:row r="12559">
      <x:c r="A12559" s="85"/>
      <x:c r="B12559" s="86"/>
    </x:row>
    <x:row r="12560">
      <x:c r="A12560" s="85"/>
      <x:c r="B12560" s="86"/>
    </x:row>
    <x:row r="12561">
      <x:c r="A12561" s="85"/>
      <x:c r="B12561" s="86"/>
    </x:row>
    <x:row r="12562">
      <x:c r="A12562" s="85"/>
      <x:c r="B12562" s="86"/>
    </x:row>
    <x:row r="12563">
      <x:c r="A12563" s="85"/>
      <x:c r="B12563" s="86"/>
    </x:row>
    <x:row r="12564">
      <x:c r="A12564" s="85"/>
      <x:c r="B12564" s="86"/>
    </x:row>
    <x:row r="12565">
      <x:c r="A12565" s="85"/>
      <x:c r="B12565" s="86"/>
    </x:row>
    <x:row r="12566">
      <x:c r="A12566" s="85"/>
      <x:c r="B12566" s="86"/>
    </x:row>
    <x:row r="12567">
      <x:c r="A12567" s="85"/>
      <x:c r="B12567" s="86"/>
    </x:row>
    <x:row r="12568">
      <x:c r="A12568" s="85"/>
      <x:c r="B12568" s="86"/>
    </x:row>
    <x:row r="12569">
      <x:c r="A12569" s="85"/>
      <x:c r="B12569" s="86"/>
    </x:row>
    <x:row r="12570">
      <x:c r="A12570" s="85"/>
      <x:c r="B12570" s="86"/>
    </x:row>
    <x:row r="12571">
      <x:c r="A12571" s="85"/>
      <x:c r="B12571" s="86"/>
    </x:row>
    <x:row r="12572">
      <x:c r="A12572" s="85"/>
      <x:c r="B12572" s="86"/>
    </x:row>
    <x:row r="12573">
      <x:c r="A12573" s="85"/>
      <x:c r="B12573" s="86"/>
    </x:row>
    <x:row r="12574">
      <x:c r="A12574" s="85"/>
      <x:c r="B12574" s="86"/>
    </x:row>
    <x:row r="12575">
      <x:c r="A12575" s="85"/>
      <x:c r="B12575" s="86"/>
    </x:row>
    <x:row r="12576">
      <x:c r="A12576" s="85"/>
      <x:c r="B12576" s="86"/>
    </x:row>
    <x:row r="12577">
      <x:c r="A12577" s="85"/>
      <x:c r="B12577" s="86"/>
    </x:row>
    <x:row r="12578">
      <x:c r="A12578" s="85"/>
      <x:c r="B12578" s="86"/>
    </x:row>
    <x:row r="12579">
      <x:c r="A12579" s="85"/>
      <x:c r="B12579" s="86"/>
    </x:row>
    <x:row r="12580">
      <x:c r="A12580" s="85"/>
      <x:c r="B12580" s="86"/>
    </x:row>
    <x:row r="12581">
      <x:c r="A12581" s="85"/>
      <x:c r="B12581" s="86"/>
    </x:row>
    <x:row r="12582">
      <x:c r="A12582" s="85"/>
      <x:c r="B12582" s="86"/>
    </x:row>
    <x:row r="12583">
      <x:c r="A12583" s="85"/>
      <x:c r="B12583" s="86"/>
    </x:row>
    <x:row r="12584">
      <x:c r="A12584" s="85"/>
      <x:c r="B12584" s="86"/>
    </x:row>
    <x:row r="12585">
      <x:c r="A12585" s="85"/>
      <x:c r="B12585" s="86"/>
    </x:row>
    <x:row r="12586">
      <x:c r="A12586" s="85"/>
      <x:c r="B12586" s="86"/>
    </x:row>
    <x:row r="12587">
      <x:c r="A12587" s="85"/>
      <x:c r="B12587" s="86"/>
    </x:row>
    <x:row r="12588">
      <x:c r="A12588" s="85"/>
      <x:c r="B12588" s="86"/>
    </x:row>
    <x:row r="12589">
      <x:c r="A12589" s="85"/>
      <x:c r="B12589" s="86"/>
    </x:row>
    <x:row r="12590">
      <x:c r="A12590" s="85"/>
      <x:c r="B12590" s="86"/>
    </x:row>
    <x:row r="12591">
      <x:c r="A12591" s="85"/>
      <x:c r="B12591" s="86"/>
    </x:row>
    <x:row r="12592">
      <x:c r="A12592" s="85"/>
      <x:c r="B12592" s="86"/>
    </x:row>
    <x:row r="12593">
      <x:c r="A12593" s="85"/>
      <x:c r="B12593" s="86"/>
    </x:row>
    <x:row r="12594">
      <x:c r="A12594" s="85"/>
      <x:c r="B12594" s="86"/>
    </x:row>
    <x:row r="12595">
      <x:c r="A12595" s="85"/>
      <x:c r="B12595" s="86"/>
    </x:row>
    <x:row r="12596">
      <x:c r="A12596" s="85"/>
      <x:c r="B12596" s="86"/>
    </x:row>
    <x:row r="12597">
      <x:c r="A12597" s="85"/>
      <x:c r="B12597" s="86"/>
    </x:row>
    <x:row r="12598">
      <x:c r="A12598" s="85"/>
      <x:c r="B12598" s="86"/>
    </x:row>
    <x:row r="12599">
      <x:c r="A12599" s="85"/>
      <x:c r="B12599" s="86"/>
    </x:row>
    <x:row r="12600">
      <x:c r="A12600" s="85"/>
      <x:c r="B12600" s="86"/>
    </x:row>
    <x:row r="12601">
      <x:c r="A12601" s="85"/>
      <x:c r="B12601" s="86"/>
    </x:row>
    <x:row r="12602">
      <x:c r="A12602" s="85"/>
      <x:c r="B12602" s="86"/>
    </x:row>
    <x:row r="12603">
      <x:c r="A12603" s="85"/>
      <x:c r="B12603" s="86"/>
    </x:row>
    <x:row r="12604">
      <x:c r="A12604" s="85"/>
      <x:c r="B12604" s="86"/>
    </x:row>
    <x:row r="12605">
      <x:c r="A12605" s="85"/>
      <x:c r="B12605" s="86"/>
    </x:row>
    <x:row r="12606">
      <x:c r="A12606" s="85"/>
      <x:c r="B12606" s="86"/>
    </x:row>
    <x:row r="12607">
      <x:c r="A12607" s="85"/>
      <x:c r="B12607" s="86"/>
    </x:row>
    <x:row r="12608">
      <x:c r="A12608" s="85"/>
      <x:c r="B12608" s="86"/>
    </x:row>
    <x:row r="12609">
      <x:c r="A12609" s="85"/>
      <x:c r="B12609" s="86"/>
    </x:row>
    <x:row r="12610">
      <x:c r="A12610" s="85"/>
      <x:c r="B12610" s="86"/>
    </x:row>
    <x:row r="12611">
      <x:c r="A12611" s="85"/>
      <x:c r="B12611" s="86"/>
    </x:row>
    <x:row r="12612">
      <x:c r="A12612" s="85"/>
      <x:c r="B12612" s="86"/>
    </x:row>
    <x:row r="12613">
      <x:c r="A12613" s="85"/>
      <x:c r="B12613" s="86"/>
    </x:row>
    <x:row r="12614">
      <x:c r="A12614" s="85"/>
      <x:c r="B12614" s="86"/>
    </x:row>
    <x:row r="12615">
      <x:c r="A12615" s="85"/>
      <x:c r="B12615" s="86"/>
    </x:row>
    <x:row r="12616">
      <x:c r="A12616" s="85"/>
      <x:c r="B12616" s="86"/>
    </x:row>
    <x:row r="12617">
      <x:c r="A12617" s="85"/>
      <x:c r="B12617" s="86"/>
    </x:row>
    <x:row r="12618">
      <x:c r="A12618" s="85"/>
      <x:c r="B12618" s="86"/>
    </x:row>
    <x:row r="12619">
      <x:c r="A12619" s="85"/>
      <x:c r="B12619" s="86"/>
    </x:row>
    <x:row r="12620">
      <x:c r="A12620" s="85"/>
      <x:c r="B12620" s="86"/>
    </x:row>
    <x:row r="12621">
      <x:c r="A12621" s="85"/>
      <x:c r="B12621" s="86"/>
    </x:row>
    <x:row r="12622">
      <x:c r="A12622" s="85"/>
      <x:c r="B12622" s="86"/>
    </x:row>
    <x:row r="12623">
      <x:c r="A12623" s="85"/>
      <x:c r="B12623" s="86"/>
    </x:row>
    <x:row r="12624">
      <x:c r="A12624" s="85"/>
      <x:c r="B12624" s="86"/>
    </x:row>
    <x:row r="12625">
      <x:c r="A12625" s="85"/>
      <x:c r="B12625" s="86"/>
    </x:row>
    <x:row r="12626">
      <x:c r="A12626" s="85"/>
      <x:c r="B12626" s="86"/>
    </x:row>
    <x:row r="12627">
      <x:c r="A12627" s="85"/>
      <x:c r="B12627" s="86"/>
    </x:row>
    <x:row r="12628">
      <x:c r="A12628" s="85"/>
      <x:c r="B12628" s="86"/>
    </x:row>
    <x:row r="12629">
      <x:c r="A12629" s="85"/>
      <x:c r="B12629" s="86"/>
    </x:row>
    <x:row r="12630">
      <x:c r="A12630" s="85"/>
      <x:c r="B12630" s="86"/>
    </x:row>
    <x:row r="12631">
      <x:c r="A12631" s="85"/>
      <x:c r="B12631" s="86"/>
    </x:row>
    <x:row r="12632">
      <x:c r="A12632" s="85"/>
      <x:c r="B12632" s="86"/>
    </x:row>
    <x:row r="12633">
      <x:c r="A12633" s="85"/>
      <x:c r="B12633" s="86"/>
    </x:row>
    <x:row r="12634">
      <x:c r="A12634" s="85"/>
      <x:c r="B12634" s="86"/>
    </x:row>
    <x:row r="12635">
      <x:c r="A12635" s="85"/>
      <x:c r="B12635" s="86"/>
    </x:row>
    <x:row r="12636">
      <x:c r="A12636" s="85"/>
      <x:c r="B12636" s="86"/>
    </x:row>
    <x:row r="12637">
      <x:c r="A12637" s="85"/>
      <x:c r="B12637" s="86"/>
    </x:row>
    <x:row r="12638">
      <x:c r="A12638" s="85"/>
      <x:c r="B12638" s="86"/>
    </x:row>
    <x:row r="12639">
      <x:c r="A12639" s="85"/>
      <x:c r="B12639" s="86"/>
    </x:row>
    <x:row r="12640">
      <x:c r="A12640" s="85"/>
      <x:c r="B12640" s="86"/>
    </x:row>
    <x:row r="12641">
      <x:c r="A12641" s="85"/>
      <x:c r="B12641" s="86"/>
    </x:row>
    <x:row r="12642">
      <x:c r="A12642" s="85"/>
      <x:c r="B12642" s="86"/>
    </x:row>
    <x:row r="12643">
      <x:c r="A12643" s="85"/>
      <x:c r="B12643" s="86"/>
    </x:row>
    <x:row r="12644">
      <x:c r="A12644" s="85"/>
      <x:c r="B12644" s="86"/>
    </x:row>
    <x:row r="12645">
      <x:c r="A12645" s="85"/>
      <x:c r="B12645" s="86"/>
    </x:row>
    <x:row r="12646">
      <x:c r="A12646" s="85"/>
      <x:c r="B12646" s="86"/>
    </x:row>
    <x:row r="12647">
      <x:c r="A12647" s="85"/>
      <x:c r="B12647" s="86"/>
    </x:row>
    <x:row r="12648">
      <x:c r="A12648" s="85"/>
      <x:c r="B12648" s="86"/>
    </x:row>
    <x:row r="12649">
      <x:c r="A12649" s="85"/>
      <x:c r="B12649" s="86"/>
    </x:row>
    <x:row r="12650">
      <x:c r="A12650" s="85"/>
      <x:c r="B12650" s="86"/>
    </x:row>
    <x:row r="12651">
      <x:c r="A12651" s="85"/>
      <x:c r="B12651" s="86"/>
    </x:row>
    <x:row r="12652">
      <x:c r="A12652" s="85"/>
      <x:c r="B12652" s="86"/>
    </x:row>
    <x:row r="12653">
      <x:c r="A12653" s="85"/>
      <x:c r="B12653" s="86"/>
    </x:row>
    <x:row r="12654">
      <x:c r="A12654" s="85"/>
      <x:c r="B12654" s="86"/>
    </x:row>
    <x:row r="12655">
      <x:c r="A12655" s="85"/>
      <x:c r="B12655" s="86"/>
    </x:row>
    <x:row r="12656">
      <x:c r="A12656" s="85"/>
      <x:c r="B12656" s="86"/>
    </x:row>
    <x:row r="12657">
      <x:c r="A12657" s="85"/>
      <x:c r="B12657" s="86"/>
    </x:row>
    <x:row r="12658">
      <x:c r="A12658" s="85"/>
      <x:c r="B12658" s="86"/>
    </x:row>
    <x:row r="12659">
      <x:c r="A12659" s="85"/>
      <x:c r="B12659" s="86"/>
    </x:row>
    <x:row r="12660">
      <x:c r="A12660" s="85"/>
      <x:c r="B12660" s="86"/>
    </x:row>
    <x:row r="12661">
      <x:c r="A12661" s="85"/>
      <x:c r="B12661" s="86"/>
    </x:row>
    <x:row r="12662">
      <x:c r="A12662" s="85"/>
      <x:c r="B12662" s="86"/>
    </x:row>
    <x:row r="12663">
      <x:c r="A12663" s="85"/>
      <x:c r="B12663" s="86"/>
    </x:row>
    <x:row r="12664">
      <x:c r="A12664" s="85"/>
      <x:c r="B12664" s="86"/>
    </x:row>
    <x:row r="12665">
      <x:c r="A12665" s="85"/>
      <x:c r="B12665" s="86"/>
    </x:row>
    <x:row r="12666">
      <x:c r="A12666" s="85"/>
      <x:c r="B12666" s="86"/>
    </x:row>
    <x:row r="12667">
      <x:c r="A12667" s="85"/>
      <x:c r="B12667" s="86"/>
    </x:row>
    <x:row r="12668">
      <x:c r="A12668" s="85"/>
      <x:c r="B12668" s="86"/>
    </x:row>
    <x:row r="12669">
      <x:c r="A12669" s="85"/>
      <x:c r="B12669" s="86"/>
    </x:row>
    <x:row r="12670">
      <x:c r="A12670" s="85"/>
      <x:c r="B12670" s="86"/>
    </x:row>
    <x:row r="12671">
      <x:c r="A12671" s="85"/>
      <x:c r="B12671" s="86"/>
    </x:row>
    <x:row r="12672">
      <x:c r="A12672" s="85"/>
      <x:c r="B12672" s="86"/>
    </x:row>
    <x:row r="12673">
      <x:c r="A12673" s="85"/>
      <x:c r="B12673" s="86"/>
    </x:row>
    <x:row r="12674">
      <x:c r="A12674" s="85"/>
      <x:c r="B12674" s="86"/>
    </x:row>
    <x:row r="12675">
      <x:c r="A12675" s="85"/>
      <x:c r="B12675" s="86"/>
    </x:row>
    <x:row r="12676">
      <x:c r="A12676" s="85"/>
      <x:c r="B12676" s="86"/>
    </x:row>
    <x:row r="12677">
      <x:c r="A12677" s="85"/>
      <x:c r="B12677" s="86"/>
    </x:row>
    <x:row r="12678">
      <x:c r="A12678" s="85"/>
      <x:c r="B12678" s="86"/>
    </x:row>
    <x:row r="12679">
      <x:c r="A12679" s="85"/>
      <x:c r="B12679" s="86"/>
    </x:row>
    <x:row r="12680">
      <x:c r="A12680" s="85"/>
      <x:c r="B12680" s="86"/>
    </x:row>
    <x:row r="12681">
      <x:c r="A12681" s="85"/>
      <x:c r="B12681" s="86"/>
    </x:row>
    <x:row r="12682">
      <x:c r="A12682" s="85"/>
      <x:c r="B12682" s="86"/>
    </x:row>
    <x:row r="12683">
      <x:c r="A12683" s="85"/>
      <x:c r="B12683" s="86"/>
    </x:row>
    <x:row r="12684">
      <x:c r="A12684" s="85"/>
      <x:c r="B12684" s="86"/>
    </x:row>
    <x:row r="12685">
      <x:c r="A12685" s="85"/>
      <x:c r="B12685" s="86"/>
    </x:row>
    <x:row r="12686">
      <x:c r="A12686" s="85"/>
      <x:c r="B12686" s="86"/>
    </x:row>
    <x:row r="12687">
      <x:c r="A12687" s="85"/>
      <x:c r="B12687" s="86"/>
    </x:row>
    <x:row r="12688">
      <x:c r="A12688" s="85"/>
      <x:c r="B12688" s="86"/>
    </x:row>
    <x:row r="12689">
      <x:c r="A12689" s="85"/>
      <x:c r="B12689" s="86"/>
    </x:row>
    <x:row r="12690">
      <x:c r="A12690" s="85"/>
      <x:c r="B12690" s="86"/>
    </x:row>
    <x:row r="12691">
      <x:c r="A12691" s="85"/>
      <x:c r="B12691" s="86"/>
    </x:row>
    <x:row r="12692">
      <x:c r="A12692" s="85"/>
      <x:c r="B12692" s="86"/>
    </x:row>
    <x:row r="12693">
      <x:c r="A12693" s="85"/>
      <x:c r="B12693" s="86"/>
    </x:row>
    <x:row r="12694">
      <x:c r="A12694" s="85"/>
      <x:c r="B12694" s="86"/>
    </x:row>
    <x:row r="12695">
      <x:c r="A12695" s="85"/>
      <x:c r="B12695" s="86"/>
    </x:row>
    <x:row r="12696">
      <x:c r="A12696" s="85"/>
      <x:c r="B12696" s="86"/>
    </x:row>
    <x:row r="12697">
      <x:c r="A12697" s="85"/>
      <x:c r="B12697" s="86"/>
    </x:row>
    <x:row r="12698">
      <x:c r="A12698" s="85"/>
      <x:c r="B12698" s="86"/>
    </x:row>
    <x:row r="12699">
      <x:c r="A12699" s="85"/>
      <x:c r="B12699" s="86"/>
    </x:row>
    <x:row r="12700">
      <x:c r="A12700" s="85"/>
      <x:c r="B12700" s="86"/>
    </x:row>
    <x:row r="12701">
      <x:c r="A12701" s="85"/>
      <x:c r="B12701" s="86"/>
    </x:row>
    <x:row r="12702">
      <x:c r="A12702" s="85"/>
      <x:c r="B12702" s="86"/>
    </x:row>
    <x:row r="12703">
      <x:c r="A12703" s="85"/>
      <x:c r="B12703" s="86"/>
    </x:row>
    <x:row r="12704">
      <x:c r="A12704" s="85"/>
      <x:c r="B12704" s="86"/>
    </x:row>
    <x:row r="12705">
      <x:c r="A12705" s="85"/>
      <x:c r="B12705" s="86"/>
    </x:row>
    <x:row r="12706">
      <x:c r="A12706" s="85"/>
      <x:c r="B12706" s="86"/>
    </x:row>
    <x:row r="12707">
      <x:c r="A12707" s="85"/>
      <x:c r="B12707" s="86"/>
    </x:row>
    <x:row r="12708">
      <x:c r="A12708" s="85"/>
      <x:c r="B12708" s="86"/>
    </x:row>
    <x:row r="12709">
      <x:c r="A12709" s="85"/>
      <x:c r="B12709" s="86"/>
    </x:row>
    <x:row r="12710">
      <x:c r="A12710" s="85"/>
      <x:c r="B12710" s="86"/>
    </x:row>
    <x:row r="12711">
      <x:c r="A12711" s="85"/>
      <x:c r="B12711" s="86"/>
    </x:row>
    <x:row r="12712">
      <x:c r="A12712" s="85"/>
      <x:c r="B12712" s="86"/>
    </x:row>
    <x:row r="12713">
      <x:c r="A12713" s="85"/>
      <x:c r="B12713" s="86"/>
    </x:row>
    <x:row r="12714">
      <x:c r="A12714" s="85"/>
      <x:c r="B12714" s="86"/>
    </x:row>
    <x:row r="12715">
      <x:c r="A12715" s="85"/>
      <x:c r="B12715" s="86"/>
    </x:row>
    <x:row r="12716">
      <x:c r="A12716" s="85"/>
      <x:c r="B12716" s="86"/>
    </x:row>
    <x:row r="12717">
      <x:c r="A12717" s="85"/>
      <x:c r="B12717" s="86"/>
    </x:row>
    <x:row r="12718">
      <x:c r="A12718" s="85"/>
      <x:c r="B12718" s="86"/>
    </x:row>
    <x:row r="12719">
      <x:c r="A12719" s="85"/>
      <x:c r="B12719" s="86"/>
    </x:row>
    <x:row r="12720">
      <x:c r="A12720" s="85"/>
      <x:c r="B12720" s="86"/>
    </x:row>
    <x:row r="12721">
      <x:c r="A12721" s="85"/>
      <x:c r="B12721" s="86"/>
    </x:row>
    <x:row r="12722">
      <x:c r="A12722" s="85"/>
      <x:c r="B12722" s="86"/>
    </x:row>
    <x:row r="12723">
      <x:c r="A12723" s="85"/>
      <x:c r="B12723" s="86"/>
    </x:row>
    <x:row r="12724">
      <x:c r="A12724" s="85"/>
      <x:c r="B12724" s="86"/>
    </x:row>
    <x:row r="12725">
      <x:c r="A12725" s="85"/>
      <x:c r="B12725" s="86"/>
    </x:row>
    <x:row r="12726">
      <x:c r="A12726" s="85"/>
      <x:c r="B12726" s="86"/>
    </x:row>
    <x:row r="12727">
      <x:c r="A12727" s="85"/>
      <x:c r="B12727" s="86"/>
    </x:row>
    <x:row r="12728">
      <x:c r="A12728" s="85"/>
      <x:c r="B12728" s="86"/>
    </x:row>
    <x:row r="12729">
      <x:c r="A12729" s="85"/>
      <x:c r="B12729" s="86"/>
    </x:row>
    <x:row r="12730">
      <x:c r="A12730" s="85"/>
      <x:c r="B12730" s="86"/>
    </x:row>
    <x:row r="12731">
      <x:c r="A12731" s="85"/>
      <x:c r="B12731" s="86"/>
    </x:row>
    <x:row r="12732">
      <x:c r="A12732" s="85"/>
      <x:c r="B12732" s="86"/>
    </x:row>
    <x:row r="12733">
      <x:c r="A12733" s="85"/>
      <x:c r="B12733" s="86"/>
    </x:row>
    <x:row r="12734">
      <x:c r="A12734" s="85"/>
      <x:c r="B12734" s="86"/>
    </x:row>
    <x:row r="12735">
      <x:c r="A12735" s="85"/>
      <x:c r="B12735" s="86"/>
    </x:row>
    <x:row r="12736">
      <x:c r="A12736" s="85"/>
      <x:c r="B12736" s="86"/>
    </x:row>
    <x:row r="12737">
      <x:c r="A12737" s="85"/>
      <x:c r="B12737" s="86"/>
    </x:row>
    <x:row r="12738">
      <x:c r="A12738" s="85"/>
      <x:c r="B12738" s="86"/>
    </x:row>
    <x:row r="12739">
      <x:c r="A12739" s="85"/>
      <x:c r="B12739" s="86"/>
    </x:row>
    <x:row r="12740">
      <x:c r="A12740" s="85"/>
      <x:c r="B12740" s="86"/>
    </x:row>
    <x:row r="12741">
      <x:c r="A12741" s="85"/>
      <x:c r="B12741" s="86"/>
    </x:row>
    <x:row r="12742">
      <x:c r="A12742" s="85"/>
      <x:c r="B12742" s="86"/>
    </x:row>
    <x:row r="12743">
      <x:c r="A12743" s="85"/>
      <x:c r="B12743" s="86"/>
    </x:row>
    <x:row r="12744">
      <x:c r="A12744" s="85"/>
      <x:c r="B12744" s="86"/>
    </x:row>
    <x:row r="12745">
      <x:c r="A12745" s="85"/>
      <x:c r="B12745" s="86"/>
    </x:row>
    <x:row r="12746">
      <x:c r="A12746" s="85"/>
      <x:c r="B12746" s="86"/>
    </x:row>
    <x:row r="12747">
      <x:c r="A12747" s="85"/>
      <x:c r="B12747" s="86"/>
    </x:row>
    <x:row r="12748">
      <x:c r="A12748" s="85"/>
      <x:c r="B12748" s="86"/>
    </x:row>
    <x:row r="12749">
      <x:c r="A12749" s="85"/>
      <x:c r="B12749" s="86"/>
    </x:row>
    <x:row r="12750">
      <x:c r="A12750" s="85"/>
      <x:c r="B12750" s="86"/>
    </x:row>
    <x:row r="12751">
      <x:c r="A12751" s="85"/>
      <x:c r="B12751" s="86"/>
    </x:row>
    <x:row r="12752">
      <x:c r="A12752" s="85"/>
      <x:c r="B12752" s="86"/>
    </x:row>
    <x:row r="12753">
      <x:c r="A12753" s="85"/>
      <x:c r="B12753" s="86"/>
    </x:row>
    <x:row r="12754">
      <x:c r="A12754" s="85"/>
      <x:c r="B12754" s="86"/>
    </x:row>
    <x:row r="12755">
      <x:c r="A12755" s="85"/>
      <x:c r="B12755" s="86"/>
    </x:row>
    <x:row r="12756">
      <x:c r="A12756" s="85"/>
      <x:c r="B12756" s="86"/>
    </x:row>
    <x:row r="12757">
      <x:c r="A12757" s="85"/>
      <x:c r="B12757" s="86"/>
    </x:row>
    <x:row r="12758">
      <x:c r="A12758" s="85"/>
      <x:c r="B12758" s="86"/>
    </x:row>
    <x:row r="12759">
      <x:c r="A12759" s="85"/>
      <x:c r="B12759" s="86"/>
    </x:row>
    <x:row r="12760">
      <x:c r="A12760" s="85"/>
      <x:c r="B12760" s="86"/>
    </x:row>
    <x:row r="12761">
      <x:c r="A12761" s="85"/>
      <x:c r="B12761" s="86"/>
    </x:row>
    <x:row r="12762">
      <x:c r="A12762" s="85"/>
      <x:c r="B12762" s="86"/>
    </x:row>
    <x:row r="12763">
      <x:c r="A12763" s="85"/>
      <x:c r="B12763" s="86"/>
    </x:row>
    <x:row r="12764">
      <x:c r="A12764" s="85"/>
      <x:c r="B12764" s="86"/>
    </x:row>
    <x:row r="12765">
      <x:c r="A12765" s="85"/>
      <x:c r="B12765" s="86"/>
    </x:row>
    <x:row r="12766">
      <x:c r="A12766" s="85"/>
      <x:c r="B12766" s="86"/>
    </x:row>
    <x:row r="12767">
      <x:c r="A12767" s="85"/>
      <x:c r="B12767" s="86"/>
    </x:row>
    <x:row r="12768">
      <x:c r="A12768" s="85"/>
      <x:c r="B12768" s="86"/>
    </x:row>
    <x:row r="12769">
      <x:c r="A12769" s="85"/>
      <x:c r="B12769" s="86"/>
    </x:row>
    <x:row r="12770">
      <x:c r="A12770" s="85"/>
      <x:c r="B12770" s="86"/>
    </x:row>
    <x:row r="12771">
      <x:c r="A12771" s="85"/>
      <x:c r="B12771" s="86"/>
    </x:row>
    <x:row r="12772">
      <x:c r="A12772" s="85"/>
      <x:c r="B12772" s="86"/>
    </x:row>
    <x:row r="12773">
      <x:c r="A12773" s="85"/>
      <x:c r="B12773" s="86"/>
    </x:row>
    <x:row r="12774">
      <x:c r="A12774" s="85"/>
      <x:c r="B12774" s="86"/>
    </x:row>
    <x:row r="12775">
      <x:c r="A12775" s="85"/>
      <x:c r="B12775" s="86"/>
    </x:row>
    <x:row r="12776">
      <x:c r="A12776" s="85"/>
      <x:c r="B12776" s="86"/>
    </x:row>
    <x:row r="12777">
      <x:c r="A12777" s="85"/>
      <x:c r="B12777" s="86"/>
    </x:row>
    <x:row r="12778">
      <x:c r="A12778" s="85"/>
      <x:c r="B12778" s="86"/>
    </x:row>
    <x:row r="12779">
      <x:c r="A12779" s="85"/>
      <x:c r="B12779" s="86"/>
    </x:row>
    <x:row r="12780">
      <x:c r="A12780" s="85"/>
      <x:c r="B12780" s="86"/>
    </x:row>
    <x:row r="12781">
      <x:c r="A12781" s="85"/>
      <x:c r="B12781" s="86"/>
    </x:row>
    <x:row r="12782">
      <x:c r="A12782" s="85"/>
      <x:c r="B12782" s="86"/>
    </x:row>
    <x:row r="12783">
      <x:c r="A12783" s="85"/>
      <x:c r="B12783" s="86"/>
    </x:row>
    <x:row r="12784">
      <x:c r="A12784" s="85"/>
      <x:c r="B12784" s="86"/>
    </x:row>
    <x:row r="12785">
      <x:c r="A12785" s="85"/>
      <x:c r="B12785" s="86"/>
    </x:row>
    <x:row r="12786">
      <x:c r="A12786" s="85"/>
      <x:c r="B12786" s="86"/>
    </x:row>
    <x:row r="12787">
      <x:c r="A12787" s="85"/>
      <x:c r="B12787" s="86"/>
    </x:row>
    <x:row r="12788">
      <x:c r="A12788" s="85"/>
      <x:c r="B12788" s="86"/>
    </x:row>
    <x:row r="12789">
      <x:c r="A12789" s="85"/>
      <x:c r="B12789" s="86"/>
    </x:row>
    <x:row r="12790">
      <x:c r="A12790" s="85"/>
      <x:c r="B12790" s="86"/>
    </x:row>
    <x:row r="12791">
      <x:c r="A12791" s="85"/>
      <x:c r="B12791" s="86"/>
    </x:row>
    <x:row r="12792">
      <x:c r="A12792" s="85"/>
      <x:c r="B12792" s="86"/>
    </x:row>
    <x:row r="12793">
      <x:c r="A12793" s="85"/>
      <x:c r="B12793" s="86"/>
    </x:row>
    <x:row r="12794">
      <x:c r="A12794" s="85"/>
      <x:c r="B12794" s="86"/>
    </x:row>
    <x:row r="12795">
      <x:c r="A12795" s="85"/>
      <x:c r="B12795" s="86"/>
    </x:row>
    <x:row r="12796">
      <x:c r="A12796" s="85"/>
      <x:c r="B12796" s="86"/>
    </x:row>
    <x:row r="12797">
      <x:c r="A12797" s="85"/>
      <x:c r="B12797" s="86"/>
    </x:row>
    <x:row r="12798">
      <x:c r="A12798" s="85"/>
      <x:c r="B12798" s="86"/>
    </x:row>
    <x:row r="12799">
      <x:c r="A12799" s="85"/>
      <x:c r="B12799" s="86"/>
    </x:row>
    <x:row r="12800">
      <x:c r="A12800" s="85"/>
      <x:c r="B12800" s="86"/>
    </x:row>
    <x:row r="12801">
      <x:c r="A12801" s="85"/>
      <x:c r="B12801" s="86"/>
    </x:row>
    <x:row r="12802">
      <x:c r="A12802" s="85"/>
      <x:c r="B12802" s="86"/>
    </x:row>
    <x:row r="12803">
      <x:c r="A12803" s="85"/>
      <x:c r="B12803" s="86"/>
    </x:row>
    <x:row r="12804">
      <x:c r="A12804" s="85"/>
      <x:c r="B12804" s="86"/>
    </x:row>
    <x:row r="12805">
      <x:c r="A12805" s="85"/>
      <x:c r="B12805" s="86"/>
    </x:row>
    <x:row r="12806">
      <x:c r="A12806" s="85"/>
      <x:c r="B12806" s="86"/>
    </x:row>
    <x:row r="12807">
      <x:c r="A12807" s="85"/>
      <x:c r="B12807" s="86"/>
    </x:row>
    <x:row r="12808">
      <x:c r="A12808" s="85"/>
      <x:c r="B12808" s="86"/>
    </x:row>
    <x:row r="12809">
      <x:c r="A12809" s="85"/>
      <x:c r="B12809" s="86"/>
    </x:row>
    <x:row r="12810">
      <x:c r="A12810" s="85"/>
      <x:c r="B12810" s="86"/>
    </x:row>
    <x:row r="12811">
      <x:c r="A12811" s="85"/>
      <x:c r="B12811" s="86"/>
    </x:row>
    <x:row r="12812">
      <x:c r="A12812" s="85"/>
      <x:c r="B12812" s="86"/>
    </x:row>
    <x:row r="12813">
      <x:c r="A12813" s="85"/>
      <x:c r="B12813" s="86"/>
    </x:row>
    <x:row r="12814">
      <x:c r="A12814" s="85"/>
      <x:c r="B12814" s="86"/>
    </x:row>
    <x:row r="12815">
      <x:c r="A12815" s="85"/>
      <x:c r="B12815" s="86"/>
    </x:row>
    <x:row r="12816">
      <x:c r="A12816" s="85"/>
      <x:c r="B12816" s="86"/>
    </x:row>
    <x:row r="12817">
      <x:c r="A12817" s="85"/>
      <x:c r="B12817" s="86"/>
    </x:row>
    <x:row r="12818">
      <x:c r="A12818" s="85"/>
      <x:c r="B12818" s="86"/>
    </x:row>
    <x:row r="12819">
      <x:c r="A12819" s="85"/>
      <x:c r="B12819" s="86"/>
    </x:row>
    <x:row r="12820">
      <x:c r="A12820" s="85"/>
      <x:c r="B12820" s="86"/>
    </x:row>
    <x:row r="12821">
      <x:c r="A12821" s="85"/>
      <x:c r="B12821" s="86"/>
    </x:row>
    <x:row r="12822">
      <x:c r="A12822" s="85"/>
      <x:c r="B12822" s="86"/>
    </x:row>
    <x:row r="12823">
      <x:c r="A12823" s="85"/>
      <x:c r="B12823" s="86"/>
    </x:row>
    <x:row r="12824">
      <x:c r="A12824" s="85"/>
      <x:c r="B12824" s="86"/>
    </x:row>
    <x:row r="12825">
      <x:c r="A12825" s="85"/>
      <x:c r="B12825" s="86"/>
    </x:row>
    <x:row r="12826">
      <x:c r="A12826" s="85"/>
      <x:c r="B12826" s="86"/>
    </x:row>
    <x:row r="12827">
      <x:c r="A12827" s="85"/>
      <x:c r="B12827" s="86"/>
    </x:row>
    <x:row r="12828">
      <x:c r="A12828" s="85"/>
      <x:c r="B12828" s="86"/>
    </x:row>
    <x:row r="12829">
      <x:c r="A12829" s="85"/>
      <x:c r="B12829" s="86"/>
    </x:row>
    <x:row r="12830">
      <x:c r="A12830" s="85"/>
      <x:c r="B12830" s="86"/>
    </x:row>
    <x:row r="12831">
      <x:c r="A12831" s="85"/>
      <x:c r="B12831" s="86"/>
    </x:row>
    <x:row r="12832">
      <x:c r="A12832" s="85"/>
      <x:c r="B12832" s="86"/>
    </x:row>
    <x:row r="12833">
      <x:c r="A12833" s="85"/>
      <x:c r="B12833" s="86"/>
    </x:row>
    <x:row r="12834">
      <x:c r="A12834" s="85"/>
      <x:c r="B12834" s="86"/>
    </x:row>
    <x:row r="12835">
      <x:c r="A12835" s="85"/>
      <x:c r="B12835" s="86"/>
    </x:row>
    <x:row r="12836">
      <x:c r="A12836" s="85"/>
      <x:c r="B12836" s="86"/>
    </x:row>
    <x:row r="12837">
      <x:c r="A12837" s="85"/>
      <x:c r="B12837" s="86"/>
    </x:row>
    <x:row r="12838">
      <x:c r="A12838" s="85"/>
      <x:c r="B12838" s="86"/>
    </x:row>
    <x:row r="12839">
      <x:c r="A12839" s="85"/>
      <x:c r="B12839" s="86"/>
    </x:row>
    <x:row r="12840">
      <x:c r="A12840" s="85"/>
      <x:c r="B12840" s="86"/>
    </x:row>
    <x:row r="12841">
      <x:c r="A12841" s="85"/>
      <x:c r="B12841" s="86"/>
    </x:row>
    <x:row r="12842">
      <x:c r="A12842" s="85"/>
      <x:c r="B12842" s="86"/>
    </x:row>
    <x:row r="12843">
      <x:c r="A12843" s="85"/>
      <x:c r="B12843" s="86"/>
    </x:row>
    <x:row r="12844">
      <x:c r="A12844" s="85"/>
      <x:c r="B12844" s="86"/>
    </x:row>
    <x:row r="12845">
      <x:c r="A12845" s="85"/>
      <x:c r="B12845" s="86"/>
    </x:row>
    <x:row r="12846">
      <x:c r="A12846" s="85"/>
      <x:c r="B12846" s="86"/>
    </x:row>
    <x:row r="12847">
      <x:c r="A12847" s="85"/>
      <x:c r="B12847" s="86"/>
    </x:row>
    <x:row r="12848">
      <x:c r="A12848" s="85"/>
      <x:c r="B12848" s="86"/>
    </x:row>
    <x:row r="12849">
      <x:c r="A12849" s="85"/>
      <x:c r="B12849" s="86"/>
    </x:row>
    <x:row r="12850">
      <x:c r="A12850" s="85"/>
      <x:c r="B12850" s="86"/>
    </x:row>
    <x:row r="12851">
      <x:c r="A12851" s="85"/>
      <x:c r="B12851" s="86"/>
    </x:row>
    <x:row r="12852">
      <x:c r="A12852" s="85"/>
      <x:c r="B12852" s="86"/>
    </x:row>
    <x:row r="12853">
      <x:c r="A12853" s="85"/>
      <x:c r="B12853" s="86"/>
    </x:row>
    <x:row r="12854">
      <x:c r="A12854" s="85"/>
      <x:c r="B12854" s="86"/>
    </x:row>
    <x:row r="12855">
      <x:c r="A12855" s="85"/>
      <x:c r="B12855" s="86"/>
    </x:row>
    <x:row r="12856">
      <x:c r="A12856" s="85"/>
      <x:c r="B12856" s="86"/>
    </x:row>
    <x:row r="12857">
      <x:c r="A12857" s="85"/>
      <x:c r="B12857" s="86"/>
    </x:row>
    <x:row r="12858">
      <x:c r="A12858" s="85"/>
      <x:c r="B12858" s="86"/>
    </x:row>
    <x:row r="12859">
      <x:c r="A12859" s="85"/>
      <x:c r="B12859" s="86"/>
    </x:row>
    <x:row r="12860">
      <x:c r="A12860" s="85"/>
      <x:c r="B12860" s="86"/>
    </x:row>
    <x:row r="12861">
      <x:c r="A12861" s="85"/>
      <x:c r="B12861" s="86"/>
    </x:row>
    <x:row r="12862">
      <x:c r="A12862" s="85"/>
      <x:c r="B12862" s="86"/>
    </x:row>
    <x:row r="12863">
      <x:c r="A12863" s="85"/>
      <x:c r="B12863" s="86"/>
    </x:row>
    <x:row r="12864">
      <x:c r="A12864" s="85"/>
      <x:c r="B12864" s="86"/>
    </x:row>
    <x:row r="12865">
      <x:c r="A12865" s="85"/>
      <x:c r="B12865" s="86"/>
    </x:row>
    <x:row r="12866">
      <x:c r="A12866" s="85"/>
      <x:c r="B12866" s="86"/>
    </x:row>
    <x:row r="12867">
      <x:c r="A12867" s="85"/>
      <x:c r="B12867" s="86"/>
    </x:row>
    <x:row r="12868">
      <x:c r="A12868" s="85"/>
      <x:c r="B12868" s="86"/>
    </x:row>
    <x:row r="12869">
      <x:c r="A12869" s="85"/>
      <x:c r="B12869" s="86"/>
    </x:row>
    <x:row r="12870">
      <x:c r="A12870" s="85"/>
      <x:c r="B12870" s="86"/>
    </x:row>
    <x:row r="12871">
      <x:c r="A12871" s="85"/>
      <x:c r="B12871" s="86"/>
    </x:row>
    <x:row r="12872">
      <x:c r="A12872" s="85"/>
      <x:c r="B12872" s="86"/>
    </x:row>
    <x:row r="12873">
      <x:c r="A12873" s="85"/>
      <x:c r="B12873" s="86"/>
    </x:row>
    <x:row r="12874">
      <x:c r="A12874" s="85"/>
      <x:c r="B12874" s="86"/>
    </x:row>
    <x:row r="12875">
      <x:c r="A12875" s="85"/>
      <x:c r="B12875" s="86"/>
    </x:row>
    <x:row r="12876">
      <x:c r="A12876" s="85"/>
      <x:c r="B12876" s="86"/>
    </x:row>
    <x:row r="12877">
      <x:c r="A12877" s="85"/>
      <x:c r="B12877" s="86"/>
    </x:row>
    <x:row r="12878">
      <x:c r="A12878" s="85"/>
      <x:c r="B12878" s="86"/>
    </x:row>
    <x:row r="12879">
      <x:c r="A12879" s="85"/>
      <x:c r="B12879" s="86"/>
    </x:row>
    <x:row r="12880">
      <x:c r="A12880" s="85"/>
      <x:c r="B12880" s="86"/>
    </x:row>
    <x:row r="12881">
      <x:c r="A12881" s="85"/>
      <x:c r="B12881" s="86"/>
    </x:row>
    <x:row r="12882">
      <x:c r="A12882" s="85"/>
      <x:c r="B12882" s="86"/>
    </x:row>
    <x:row r="12883">
      <x:c r="A12883" s="85"/>
      <x:c r="B12883" s="86"/>
    </x:row>
    <x:row r="12884">
      <x:c r="A12884" s="85"/>
      <x:c r="B12884" s="86"/>
    </x:row>
    <x:row r="12885">
      <x:c r="A12885" s="85"/>
      <x:c r="B12885" s="86"/>
    </x:row>
    <x:row r="12886">
      <x:c r="A12886" s="85"/>
      <x:c r="B12886" s="86"/>
    </x:row>
    <x:row r="12887">
      <x:c r="A12887" s="85"/>
      <x:c r="B12887" s="86"/>
    </x:row>
    <x:row r="12888">
      <x:c r="A12888" s="85"/>
      <x:c r="B12888" s="86"/>
    </x:row>
    <x:row r="12889">
      <x:c r="A12889" s="85"/>
      <x:c r="B12889" s="86"/>
    </x:row>
    <x:row r="12890">
      <x:c r="A12890" s="85"/>
      <x:c r="B12890" s="86"/>
    </x:row>
    <x:row r="12891">
      <x:c r="A12891" s="85"/>
      <x:c r="B12891" s="86"/>
    </x:row>
    <x:row r="12892">
      <x:c r="A12892" s="85"/>
      <x:c r="B12892" s="86"/>
    </x:row>
    <x:row r="12893">
      <x:c r="A12893" s="85"/>
      <x:c r="B12893" s="86"/>
    </x:row>
    <x:row r="12894">
      <x:c r="A12894" s="85"/>
      <x:c r="B12894" s="86"/>
    </x:row>
    <x:row r="12895">
      <x:c r="A12895" s="85"/>
      <x:c r="B12895" s="86"/>
    </x:row>
    <x:row r="12896">
      <x:c r="A12896" s="85"/>
      <x:c r="B12896" s="86"/>
    </x:row>
    <x:row r="12897">
      <x:c r="A12897" s="85"/>
      <x:c r="B12897" s="86"/>
    </x:row>
    <x:row r="12898">
      <x:c r="A12898" s="85"/>
      <x:c r="B12898" s="86"/>
    </x:row>
    <x:row r="12899">
      <x:c r="A12899" s="85"/>
      <x:c r="B12899" s="86"/>
    </x:row>
    <x:row r="12900">
      <x:c r="A12900" s="85"/>
      <x:c r="B12900" s="86"/>
    </x:row>
    <x:row r="12901">
      <x:c r="A12901" s="85"/>
      <x:c r="B12901" s="86"/>
    </x:row>
    <x:row r="12902">
      <x:c r="A12902" s="85"/>
      <x:c r="B12902" s="86"/>
    </x:row>
    <x:row r="12903">
      <x:c r="A12903" s="85"/>
      <x:c r="B12903" s="86"/>
    </x:row>
    <x:row r="12904">
      <x:c r="A12904" s="85"/>
      <x:c r="B12904" s="86"/>
    </x:row>
    <x:row r="12905">
      <x:c r="A12905" s="85"/>
      <x:c r="B12905" s="86"/>
    </x:row>
    <x:row r="12906">
      <x:c r="A12906" s="85"/>
      <x:c r="B12906" s="86"/>
    </x:row>
    <x:row r="12907">
      <x:c r="A12907" s="85"/>
      <x:c r="B12907" s="86"/>
    </x:row>
    <x:row r="12908">
      <x:c r="A12908" s="85"/>
      <x:c r="B12908" s="86"/>
    </x:row>
    <x:row r="12909">
      <x:c r="A12909" s="85"/>
      <x:c r="B12909" s="86"/>
    </x:row>
    <x:row r="12910">
      <x:c r="A12910" s="85"/>
      <x:c r="B12910" s="86"/>
    </x:row>
    <x:row r="12911">
      <x:c r="A12911" s="85"/>
      <x:c r="B12911" s="86"/>
    </x:row>
    <x:row r="12912">
      <x:c r="A12912" s="85"/>
      <x:c r="B12912" s="86"/>
    </x:row>
    <x:row r="12913">
      <x:c r="A12913" s="85"/>
      <x:c r="B12913" s="86"/>
    </x:row>
    <x:row r="12914">
      <x:c r="A12914" s="85"/>
      <x:c r="B12914" s="86"/>
    </x:row>
    <x:row r="12915">
      <x:c r="A12915" s="85"/>
      <x:c r="B12915" s="86"/>
    </x:row>
    <x:row r="12916">
      <x:c r="A12916" s="85"/>
      <x:c r="B12916" s="86"/>
    </x:row>
    <x:row r="12917">
      <x:c r="A12917" s="85"/>
      <x:c r="B12917" s="86"/>
    </x:row>
    <x:row r="12918">
      <x:c r="A12918" s="85"/>
      <x:c r="B12918" s="86"/>
    </x:row>
    <x:row r="12919">
      <x:c r="A12919" s="85"/>
      <x:c r="B12919" s="86"/>
    </x:row>
    <x:row r="12920">
      <x:c r="A12920" s="85"/>
      <x:c r="B12920" s="86"/>
    </x:row>
    <x:row r="12921">
      <x:c r="A12921" s="85"/>
      <x:c r="B12921" s="86"/>
    </x:row>
    <x:row r="12922">
      <x:c r="A12922" s="85"/>
      <x:c r="B12922" s="86"/>
    </x:row>
    <x:row r="12923">
      <x:c r="A12923" s="85"/>
      <x:c r="B12923" s="86"/>
    </x:row>
    <x:row r="12924">
      <x:c r="A12924" s="85"/>
      <x:c r="B12924" s="86"/>
    </x:row>
    <x:row r="12925">
      <x:c r="A12925" s="85"/>
      <x:c r="B12925" s="86"/>
    </x:row>
    <x:row r="12926">
      <x:c r="A12926" s="85"/>
      <x:c r="B12926" s="86"/>
    </x:row>
    <x:row r="12927">
      <x:c r="A12927" s="85"/>
      <x:c r="B12927" s="86"/>
    </x:row>
    <x:row r="12928">
      <x:c r="A12928" s="85"/>
      <x:c r="B12928" s="86"/>
    </x:row>
    <x:row r="12929">
      <x:c r="A12929" s="85"/>
      <x:c r="B12929" s="86"/>
    </x:row>
    <x:row r="12930">
      <x:c r="A12930" s="85"/>
      <x:c r="B12930" s="86"/>
    </x:row>
    <x:row r="12931">
      <x:c r="A12931" s="85"/>
      <x:c r="B12931" s="86"/>
    </x:row>
    <x:row r="12932">
      <x:c r="A12932" s="85"/>
      <x:c r="B12932" s="86"/>
    </x:row>
    <x:row r="12933">
      <x:c r="A12933" s="85"/>
      <x:c r="B12933" s="86"/>
    </x:row>
    <x:row r="12934">
      <x:c r="A12934" s="85"/>
      <x:c r="B12934" s="86"/>
    </x:row>
    <x:row r="12935">
      <x:c r="A12935" s="85"/>
      <x:c r="B12935" s="86"/>
    </x:row>
    <x:row r="12936">
      <x:c r="A12936" s="85"/>
      <x:c r="B12936" s="86"/>
    </x:row>
    <x:row r="12937">
      <x:c r="A12937" s="85"/>
      <x:c r="B12937" s="86"/>
    </x:row>
    <x:row r="12938">
      <x:c r="A12938" s="85"/>
      <x:c r="B12938" s="86"/>
    </x:row>
    <x:row r="12939">
      <x:c r="A12939" s="85"/>
      <x:c r="B12939" s="86"/>
    </x:row>
    <x:row r="12940">
      <x:c r="A12940" s="85"/>
      <x:c r="B12940" s="86"/>
    </x:row>
    <x:row r="12941">
      <x:c r="A12941" s="85"/>
      <x:c r="B12941" s="86"/>
    </x:row>
    <x:row r="12942">
      <x:c r="A12942" s="85"/>
      <x:c r="B12942" s="86"/>
    </x:row>
    <x:row r="12943">
      <x:c r="A12943" s="85"/>
      <x:c r="B12943" s="86"/>
    </x:row>
    <x:row r="12944">
      <x:c r="A12944" s="85"/>
      <x:c r="B12944" s="86"/>
    </x:row>
    <x:row r="12945">
      <x:c r="A12945" s="85"/>
      <x:c r="B12945" s="86"/>
    </x:row>
    <x:row r="12946">
      <x:c r="A12946" s="85"/>
      <x:c r="B12946" s="86"/>
    </x:row>
    <x:row r="12947">
      <x:c r="A12947" s="85"/>
      <x:c r="B12947" s="86"/>
    </x:row>
    <x:row r="12948">
      <x:c r="A12948" s="85"/>
      <x:c r="B12948" s="86"/>
    </x:row>
    <x:row r="12949">
      <x:c r="A12949" s="85"/>
      <x:c r="B12949" s="86"/>
    </x:row>
    <x:row r="12950">
      <x:c r="A12950" s="85"/>
      <x:c r="B12950" s="86"/>
    </x:row>
    <x:row r="12951">
      <x:c r="A12951" s="85"/>
      <x:c r="B12951" s="86"/>
    </x:row>
    <x:row r="12952">
      <x:c r="A12952" s="85"/>
      <x:c r="B12952" s="86"/>
    </x:row>
    <x:row r="12953">
      <x:c r="A12953" s="85"/>
      <x:c r="B12953" s="86"/>
    </x:row>
    <x:row r="12954">
      <x:c r="A12954" s="85"/>
      <x:c r="B12954" s="86"/>
    </x:row>
    <x:row r="12955">
      <x:c r="A12955" s="85"/>
      <x:c r="B12955" s="86"/>
    </x:row>
    <x:row r="12956">
      <x:c r="A12956" s="85"/>
      <x:c r="B12956" s="86"/>
    </x:row>
    <x:row r="12957">
      <x:c r="A12957" s="85"/>
      <x:c r="B12957" s="86"/>
    </x:row>
    <x:row r="12958">
      <x:c r="A12958" s="85"/>
      <x:c r="B12958" s="86"/>
    </x:row>
    <x:row r="12959">
      <x:c r="A12959" s="85"/>
      <x:c r="B12959" s="86"/>
    </x:row>
    <x:row r="12960">
      <x:c r="A12960" s="85"/>
      <x:c r="B12960" s="86"/>
    </x:row>
    <x:row r="12961">
      <x:c r="A12961" s="85"/>
      <x:c r="B12961" s="86"/>
    </x:row>
    <x:row r="12962">
      <x:c r="A12962" s="85"/>
      <x:c r="B12962" s="86"/>
    </x:row>
    <x:row r="12963">
      <x:c r="A12963" s="85"/>
      <x:c r="B12963" s="86"/>
    </x:row>
    <x:row r="12964">
      <x:c r="A12964" s="85"/>
      <x:c r="B12964" s="86"/>
    </x:row>
    <x:row r="12965">
      <x:c r="A12965" s="85"/>
      <x:c r="B12965" s="86"/>
    </x:row>
    <x:row r="12966">
      <x:c r="A12966" s="85"/>
      <x:c r="B12966" s="86"/>
    </x:row>
    <x:row r="12967">
      <x:c r="A12967" s="85"/>
      <x:c r="B12967" s="86"/>
    </x:row>
    <x:row r="12968">
      <x:c r="A12968" s="85"/>
      <x:c r="B12968" s="86"/>
    </x:row>
    <x:row r="12969">
      <x:c r="A12969" s="85"/>
      <x:c r="B12969" s="86"/>
    </x:row>
    <x:row r="12970">
      <x:c r="A12970" s="85"/>
      <x:c r="B12970" s="86"/>
    </x:row>
    <x:row r="12971">
      <x:c r="A12971" s="85"/>
      <x:c r="B12971" s="86"/>
    </x:row>
    <x:row r="12972">
      <x:c r="A12972" s="85"/>
      <x:c r="B12972" s="86"/>
    </x:row>
    <x:row r="12973">
      <x:c r="A12973" s="85"/>
      <x:c r="B12973" s="86"/>
    </x:row>
    <x:row r="12974">
      <x:c r="A12974" s="85"/>
      <x:c r="B12974" s="86"/>
    </x:row>
    <x:row r="12975">
      <x:c r="A12975" s="85"/>
      <x:c r="B12975" s="86"/>
    </x:row>
    <x:row r="12976">
      <x:c r="A12976" s="85"/>
      <x:c r="B12976" s="86"/>
    </x:row>
    <x:row r="12977">
      <x:c r="A12977" s="85"/>
      <x:c r="B12977" s="86"/>
    </x:row>
    <x:row r="12978">
      <x:c r="A12978" s="85"/>
      <x:c r="B12978" s="86"/>
    </x:row>
    <x:row r="12979">
      <x:c r="A12979" s="85"/>
      <x:c r="B12979" s="86"/>
    </x:row>
    <x:row r="12980">
      <x:c r="A12980" s="85"/>
      <x:c r="B12980" s="86"/>
    </x:row>
    <x:row r="12981">
      <x:c r="A12981" s="85"/>
      <x:c r="B12981" s="86"/>
    </x:row>
    <x:row r="12982">
      <x:c r="A12982" s="85"/>
      <x:c r="B12982" s="86"/>
    </x:row>
    <x:row r="12983">
      <x:c r="A12983" s="85"/>
      <x:c r="B12983" s="86"/>
    </x:row>
    <x:row r="12984">
      <x:c r="A12984" s="85"/>
      <x:c r="B12984" s="86"/>
    </x:row>
    <x:row r="12985">
      <x:c r="A12985" s="85"/>
      <x:c r="B12985" s="86"/>
    </x:row>
    <x:row r="12986">
      <x:c r="A12986" s="85"/>
      <x:c r="B12986" s="86"/>
    </x:row>
    <x:row r="12987">
      <x:c r="A12987" s="85"/>
      <x:c r="B12987" s="86"/>
    </x:row>
    <x:row r="12988">
      <x:c r="A12988" s="85"/>
      <x:c r="B12988" s="86"/>
    </x:row>
    <x:row r="12989">
      <x:c r="A12989" s="85"/>
      <x:c r="B12989" s="86"/>
    </x:row>
    <x:row r="12990">
      <x:c r="A12990" s="85"/>
      <x:c r="B12990" s="86"/>
    </x:row>
    <x:row r="12991">
      <x:c r="A12991" s="85"/>
      <x:c r="B12991" s="86"/>
    </x:row>
    <x:row r="12992">
      <x:c r="A12992" s="85"/>
      <x:c r="B12992" s="86"/>
    </x:row>
    <x:row r="12993">
      <x:c r="A12993" s="85"/>
      <x:c r="B12993" s="86"/>
    </x:row>
    <x:row r="12994">
      <x:c r="A12994" s="85"/>
      <x:c r="B12994" s="86"/>
    </x:row>
    <x:row r="12995">
      <x:c r="A12995" s="85"/>
      <x:c r="B12995" s="86"/>
    </x:row>
    <x:row r="12996">
      <x:c r="A12996" s="85"/>
      <x:c r="B12996" s="86"/>
    </x:row>
    <x:row r="12997">
      <x:c r="A12997" s="85"/>
      <x:c r="B12997" s="86"/>
    </x:row>
    <x:row r="12998">
      <x:c r="A12998" s="85"/>
      <x:c r="B12998" s="86"/>
    </x:row>
    <x:row r="12999">
      <x:c r="A12999" s="85"/>
      <x:c r="B12999" s="86"/>
    </x:row>
    <x:row r="13000">
      <x:c r="A13000" s="85"/>
      <x:c r="B13000" s="86"/>
    </x:row>
    <x:row r="13001">
      <x:c r="A13001" s="85"/>
      <x:c r="B13001" s="86"/>
    </x:row>
    <x:row r="13002">
      <x:c r="A13002" s="85"/>
      <x:c r="B13002" s="86"/>
    </x:row>
    <x:row r="13003">
      <x:c r="A13003" s="85"/>
      <x:c r="B13003" s="86"/>
    </x:row>
    <x:row r="13004">
      <x:c r="A13004" s="85"/>
      <x:c r="B13004" s="86"/>
    </x:row>
    <x:row r="13005">
      <x:c r="A13005" s="85"/>
      <x:c r="B13005" s="86"/>
    </x:row>
    <x:row r="13006">
      <x:c r="A13006" s="85"/>
      <x:c r="B13006" s="86"/>
    </x:row>
    <x:row r="13007">
      <x:c r="A13007" s="85"/>
      <x:c r="B13007" s="86"/>
    </x:row>
    <x:row r="13008">
      <x:c r="A13008" s="85"/>
      <x:c r="B13008" s="86"/>
    </x:row>
    <x:row r="13009">
      <x:c r="A13009" s="85"/>
      <x:c r="B13009" s="86"/>
    </x:row>
    <x:row r="13010">
      <x:c r="A13010" s="85"/>
      <x:c r="B13010" s="86"/>
    </x:row>
    <x:row r="13011">
      <x:c r="A13011" s="85"/>
      <x:c r="B13011" s="86"/>
    </x:row>
    <x:row r="13012">
      <x:c r="A13012" s="85"/>
      <x:c r="B13012" s="86"/>
    </x:row>
    <x:row r="13013">
      <x:c r="A13013" s="85"/>
      <x:c r="B13013" s="86"/>
    </x:row>
    <x:row r="13014">
      <x:c r="A13014" s="85"/>
      <x:c r="B13014" s="86"/>
    </x:row>
    <x:row r="13015">
      <x:c r="A13015" s="85"/>
      <x:c r="B13015" s="86"/>
    </x:row>
    <x:row r="13016">
      <x:c r="A13016" s="85"/>
      <x:c r="B13016" s="86"/>
    </x:row>
    <x:row r="13017">
      <x:c r="A13017" s="85"/>
      <x:c r="B13017" s="86"/>
    </x:row>
    <x:row r="13018">
      <x:c r="A13018" s="85"/>
      <x:c r="B13018" s="86"/>
    </x:row>
    <x:row r="13019">
      <x:c r="A13019" s="85"/>
      <x:c r="B13019" s="86"/>
    </x:row>
    <x:row r="13020">
      <x:c r="A13020" s="85"/>
      <x:c r="B13020" s="86"/>
    </x:row>
    <x:row r="13021">
      <x:c r="A13021" s="85"/>
      <x:c r="B13021" s="86"/>
    </x:row>
    <x:row r="13022">
      <x:c r="A13022" s="85"/>
      <x:c r="B13022" s="86"/>
    </x:row>
    <x:row r="13023">
      <x:c r="A13023" s="85"/>
      <x:c r="B13023" s="86"/>
    </x:row>
    <x:row r="13024">
      <x:c r="A13024" s="85"/>
      <x:c r="B13024" s="86"/>
    </x:row>
    <x:row r="13025">
      <x:c r="A13025" s="85"/>
      <x:c r="B13025" s="86"/>
    </x:row>
    <x:row r="13026">
      <x:c r="A13026" s="85"/>
      <x:c r="B13026" s="86"/>
    </x:row>
    <x:row r="13027">
      <x:c r="A13027" s="85"/>
      <x:c r="B13027" s="86"/>
    </x:row>
    <x:row r="13028">
      <x:c r="A13028" s="85"/>
      <x:c r="B13028" s="86"/>
    </x:row>
    <x:row r="13029">
      <x:c r="A13029" s="85"/>
      <x:c r="B13029" s="86"/>
    </x:row>
    <x:row r="13030">
      <x:c r="A13030" s="85"/>
      <x:c r="B13030" s="86"/>
    </x:row>
    <x:row r="13031">
      <x:c r="A13031" s="85"/>
      <x:c r="B13031" s="86"/>
    </x:row>
    <x:row r="13032">
      <x:c r="A13032" s="85"/>
      <x:c r="B13032" s="86"/>
    </x:row>
    <x:row r="13033">
      <x:c r="A13033" s="85"/>
      <x:c r="B13033" s="86"/>
    </x:row>
    <x:row r="13034">
      <x:c r="A13034" s="85"/>
      <x:c r="B13034" s="86"/>
    </x:row>
    <x:row r="13035">
      <x:c r="A13035" s="85"/>
      <x:c r="B13035" s="86"/>
    </x:row>
    <x:row r="13036">
      <x:c r="A13036" s="85"/>
      <x:c r="B13036" s="86"/>
    </x:row>
    <x:row r="13037">
      <x:c r="A13037" s="85"/>
      <x:c r="B13037" s="86"/>
    </x:row>
    <x:row r="13038">
      <x:c r="A13038" s="85"/>
      <x:c r="B13038" s="86"/>
    </x:row>
    <x:row r="13039">
      <x:c r="A13039" s="85"/>
      <x:c r="B13039" s="86"/>
    </x:row>
    <x:row r="13040">
      <x:c r="A13040" s="85"/>
      <x:c r="B13040" s="86"/>
    </x:row>
    <x:row r="13041">
      <x:c r="A13041" s="85"/>
      <x:c r="B13041" s="86"/>
    </x:row>
    <x:row r="13042">
      <x:c r="A13042" s="85"/>
      <x:c r="B13042" s="86"/>
    </x:row>
    <x:row r="13043">
      <x:c r="A13043" s="85"/>
      <x:c r="B13043" s="86"/>
    </x:row>
    <x:row r="13044">
      <x:c r="A13044" s="85"/>
      <x:c r="B13044" s="86"/>
    </x:row>
    <x:row r="13045">
      <x:c r="A13045" s="85"/>
      <x:c r="B13045" s="86"/>
    </x:row>
    <x:row r="13046">
      <x:c r="A13046" s="85"/>
      <x:c r="B13046" s="86"/>
    </x:row>
    <x:row r="13047">
      <x:c r="A13047" s="85"/>
      <x:c r="B13047" s="86"/>
    </x:row>
    <x:row r="13048">
      <x:c r="A13048" s="85"/>
      <x:c r="B13048" s="86"/>
    </x:row>
    <x:row r="13049">
      <x:c r="A13049" s="85"/>
      <x:c r="B13049" s="86"/>
    </x:row>
    <x:row r="13050">
      <x:c r="A13050" s="85"/>
      <x:c r="B13050" s="86"/>
    </x:row>
    <x:row r="13051">
      <x:c r="A13051" s="85"/>
      <x:c r="B13051" s="86"/>
    </x:row>
    <x:row r="13052">
      <x:c r="A13052" s="85"/>
      <x:c r="B13052" s="86"/>
    </x:row>
    <x:row r="13053">
      <x:c r="A13053" s="85"/>
      <x:c r="B13053" s="86"/>
    </x:row>
    <x:row r="13054">
      <x:c r="A13054" s="85"/>
      <x:c r="B13054" s="86"/>
    </x:row>
    <x:row r="13055">
      <x:c r="A13055" s="85"/>
      <x:c r="B13055" s="86"/>
    </x:row>
    <x:row r="13056">
      <x:c r="A13056" s="85"/>
      <x:c r="B13056" s="86"/>
    </x:row>
    <x:row r="13057">
      <x:c r="A13057" s="85"/>
      <x:c r="B13057" s="86"/>
    </x:row>
    <x:row r="13058">
      <x:c r="A13058" s="85"/>
      <x:c r="B13058" s="86"/>
    </x:row>
    <x:row r="13059">
      <x:c r="A13059" s="85"/>
      <x:c r="B13059" s="86"/>
    </x:row>
    <x:row r="13060">
      <x:c r="A13060" s="85"/>
      <x:c r="B13060" s="86"/>
    </x:row>
    <x:row r="13061">
      <x:c r="A13061" s="85"/>
      <x:c r="B13061" s="86"/>
    </x:row>
    <x:row r="13062">
      <x:c r="A13062" s="85"/>
      <x:c r="B13062" s="86"/>
    </x:row>
    <x:row r="13063">
      <x:c r="A13063" s="85"/>
      <x:c r="B13063" s="86"/>
    </x:row>
    <x:row r="13064">
      <x:c r="A13064" s="85"/>
      <x:c r="B13064" s="86"/>
    </x:row>
    <x:row r="13065">
      <x:c r="A13065" s="85"/>
      <x:c r="B13065" s="86"/>
    </x:row>
    <x:row r="13066">
      <x:c r="A13066" s="85"/>
      <x:c r="B13066" s="86"/>
    </x:row>
    <x:row r="13067">
      <x:c r="A13067" s="85"/>
      <x:c r="B13067" s="86"/>
    </x:row>
    <x:row r="13068">
      <x:c r="A13068" s="85"/>
      <x:c r="B13068" s="86"/>
    </x:row>
    <x:row r="13069">
      <x:c r="A13069" s="85"/>
      <x:c r="B13069" s="86"/>
    </x:row>
    <x:row r="13070">
      <x:c r="A13070" s="85"/>
      <x:c r="B13070" s="86"/>
    </x:row>
    <x:row r="13071">
      <x:c r="A13071" s="85"/>
      <x:c r="B13071" s="86"/>
    </x:row>
    <x:row r="13072">
      <x:c r="A13072" s="85"/>
      <x:c r="B13072" s="86"/>
    </x:row>
    <x:row r="13073">
      <x:c r="A13073" s="85"/>
      <x:c r="B13073" s="86"/>
    </x:row>
    <x:row r="13074">
      <x:c r="A13074" s="85"/>
      <x:c r="B13074" s="86"/>
    </x:row>
    <x:row r="13075">
      <x:c r="A13075" s="85"/>
      <x:c r="B13075" s="86"/>
    </x:row>
    <x:row r="13076">
      <x:c r="A13076" s="85"/>
      <x:c r="B13076" s="86"/>
    </x:row>
    <x:row r="13077">
      <x:c r="A13077" s="85"/>
      <x:c r="B13077" s="86"/>
    </x:row>
    <x:row r="13078">
      <x:c r="A13078" s="85"/>
      <x:c r="B13078" s="86"/>
    </x:row>
    <x:row r="13079">
      <x:c r="A13079" s="85"/>
      <x:c r="B13079" s="86"/>
    </x:row>
    <x:row r="13080">
      <x:c r="A13080" s="85"/>
      <x:c r="B13080" s="86"/>
    </x:row>
    <x:row r="13081">
      <x:c r="A13081" s="85"/>
      <x:c r="B13081" s="86"/>
    </x:row>
    <x:row r="13082">
      <x:c r="A13082" s="85"/>
      <x:c r="B13082" s="86"/>
    </x:row>
    <x:row r="13083">
      <x:c r="A13083" s="85"/>
      <x:c r="B13083" s="86"/>
    </x:row>
    <x:row r="13084">
      <x:c r="A13084" s="85"/>
      <x:c r="B13084" s="86"/>
    </x:row>
    <x:row r="13085">
      <x:c r="A13085" s="85"/>
      <x:c r="B13085" s="86"/>
    </x:row>
    <x:row r="13086">
      <x:c r="A13086" s="85"/>
      <x:c r="B13086" s="86"/>
    </x:row>
    <x:row r="13087">
      <x:c r="A13087" s="85"/>
      <x:c r="B13087" s="86"/>
    </x:row>
    <x:row r="13088">
      <x:c r="A13088" s="85"/>
      <x:c r="B13088" s="86"/>
    </x:row>
    <x:row r="13089">
      <x:c r="A13089" s="85"/>
      <x:c r="B13089" s="86"/>
    </x:row>
    <x:row r="13090">
      <x:c r="A13090" s="85"/>
      <x:c r="B13090" s="86"/>
    </x:row>
    <x:row r="13091">
      <x:c r="A13091" s="85"/>
      <x:c r="B13091" s="86"/>
    </x:row>
    <x:row r="13092">
      <x:c r="A13092" s="85"/>
      <x:c r="B13092" s="86"/>
    </x:row>
    <x:row r="13093">
      <x:c r="A13093" s="85"/>
      <x:c r="B13093" s="86"/>
    </x:row>
    <x:row r="13094">
      <x:c r="A13094" s="85"/>
      <x:c r="B13094" s="86"/>
    </x:row>
    <x:row r="13095">
      <x:c r="A13095" s="85"/>
      <x:c r="B13095" s="86"/>
    </x:row>
    <x:row r="13096">
      <x:c r="A13096" s="85"/>
      <x:c r="B13096" s="86"/>
    </x:row>
    <x:row r="13097">
      <x:c r="A13097" s="85"/>
      <x:c r="B13097" s="86"/>
    </x:row>
    <x:row r="13098">
      <x:c r="A13098" s="85"/>
      <x:c r="B13098" s="86"/>
    </x:row>
    <x:row r="13099">
      <x:c r="A13099" s="85"/>
      <x:c r="B13099" s="86"/>
    </x:row>
    <x:row r="13100">
      <x:c r="A13100" s="85"/>
      <x:c r="B13100" s="86"/>
    </x:row>
    <x:row r="13101">
      <x:c r="A13101" s="85"/>
      <x:c r="B13101" s="86"/>
    </x:row>
    <x:row r="13102">
      <x:c r="A13102" s="85"/>
      <x:c r="B13102" s="86"/>
    </x:row>
    <x:row r="13103">
      <x:c r="A13103" s="85"/>
      <x:c r="B13103" s="86"/>
    </x:row>
    <x:row r="13104">
      <x:c r="A13104" s="85"/>
      <x:c r="B13104" s="86"/>
    </x:row>
    <x:row r="13105">
      <x:c r="A13105" s="85"/>
      <x:c r="B13105" s="86"/>
    </x:row>
    <x:row r="13106">
      <x:c r="A13106" s="85"/>
      <x:c r="B13106" s="86"/>
    </x:row>
    <x:row r="13107">
      <x:c r="A13107" s="85"/>
      <x:c r="B13107" s="86"/>
    </x:row>
    <x:row r="13108">
      <x:c r="A13108" s="85"/>
      <x:c r="B13108" s="86"/>
    </x:row>
    <x:row r="13109">
      <x:c r="A13109" s="85"/>
      <x:c r="B13109" s="86"/>
    </x:row>
    <x:row r="13110">
      <x:c r="A13110" s="85"/>
      <x:c r="B13110" s="86"/>
    </x:row>
    <x:row r="13111">
      <x:c r="A13111" s="85"/>
      <x:c r="B13111" s="86"/>
    </x:row>
    <x:row r="13112">
      <x:c r="A13112" s="85"/>
      <x:c r="B13112" s="86"/>
    </x:row>
    <x:row r="13113">
      <x:c r="A13113" s="85"/>
      <x:c r="B13113" s="86"/>
    </x:row>
    <x:row r="13114">
      <x:c r="A13114" s="85"/>
      <x:c r="B13114" s="86"/>
    </x:row>
    <x:row r="13115">
      <x:c r="A13115" s="85"/>
      <x:c r="B13115" s="86"/>
    </x:row>
    <x:row r="13116">
      <x:c r="A13116" s="85"/>
      <x:c r="B13116" s="86"/>
    </x:row>
    <x:row r="13117">
      <x:c r="A13117" s="85"/>
      <x:c r="B13117" s="86"/>
    </x:row>
    <x:row r="13118">
      <x:c r="A13118" s="85"/>
      <x:c r="B13118" s="86"/>
    </x:row>
    <x:row r="13119">
      <x:c r="A13119" s="85"/>
      <x:c r="B13119" s="86"/>
    </x:row>
    <x:row r="13120">
      <x:c r="A13120" s="85"/>
      <x:c r="B13120" s="86"/>
    </x:row>
    <x:row r="13121">
      <x:c r="A13121" s="85"/>
      <x:c r="B13121" s="86"/>
    </x:row>
    <x:row r="13122">
      <x:c r="A13122" s="85"/>
      <x:c r="B13122" s="86"/>
    </x:row>
    <x:row r="13123">
      <x:c r="A13123" s="85"/>
      <x:c r="B13123" s="86"/>
    </x:row>
    <x:row r="13124">
      <x:c r="A13124" s="85"/>
      <x:c r="B13124" s="86"/>
    </x:row>
    <x:row r="13125">
      <x:c r="A13125" s="85"/>
      <x:c r="B13125" s="86"/>
    </x:row>
    <x:row r="13126">
      <x:c r="A13126" s="85"/>
      <x:c r="B13126" s="86"/>
    </x:row>
    <x:row r="13127">
      <x:c r="A13127" s="85"/>
      <x:c r="B13127" s="86"/>
    </x:row>
    <x:row r="13128">
      <x:c r="A13128" s="85"/>
      <x:c r="B13128" s="86"/>
    </x:row>
    <x:row r="13129">
      <x:c r="A13129" s="85"/>
      <x:c r="B13129" s="86"/>
    </x:row>
    <x:row r="13130">
      <x:c r="A13130" s="85"/>
      <x:c r="B13130" s="86"/>
    </x:row>
    <x:row r="13131">
      <x:c r="A13131" s="85"/>
      <x:c r="B13131" s="86"/>
    </x:row>
    <x:row r="13132">
      <x:c r="A13132" s="85"/>
      <x:c r="B13132" s="86"/>
    </x:row>
    <x:row r="13133">
      <x:c r="A13133" s="85"/>
      <x:c r="B13133" s="86"/>
    </x:row>
    <x:row r="13134">
      <x:c r="A13134" s="85"/>
      <x:c r="B13134" s="86"/>
    </x:row>
    <x:row r="13135">
      <x:c r="A13135" s="85"/>
      <x:c r="B13135" s="86"/>
    </x:row>
    <x:row r="13136">
      <x:c r="A13136" s="85"/>
      <x:c r="B13136" s="86"/>
    </x:row>
    <x:row r="13137">
      <x:c r="A13137" s="85"/>
      <x:c r="B13137" s="86"/>
    </x:row>
    <x:row r="13138">
      <x:c r="A13138" s="85"/>
      <x:c r="B13138" s="86"/>
    </x:row>
    <x:row r="13139">
      <x:c r="A13139" s="85"/>
      <x:c r="B13139" s="86"/>
    </x:row>
    <x:row r="13140">
      <x:c r="A13140" s="85"/>
      <x:c r="B13140" s="86"/>
    </x:row>
    <x:row r="13141">
      <x:c r="A13141" s="85"/>
      <x:c r="B13141" s="86"/>
    </x:row>
    <x:row r="13142">
      <x:c r="A13142" s="85"/>
      <x:c r="B13142" s="86"/>
    </x:row>
    <x:row r="13143">
      <x:c r="A13143" s="85"/>
      <x:c r="B13143" s="86"/>
    </x:row>
    <x:row r="13144">
      <x:c r="A13144" s="85"/>
      <x:c r="B13144" s="86"/>
    </x:row>
    <x:row r="13145">
      <x:c r="A13145" s="85"/>
      <x:c r="B13145" s="86"/>
    </x:row>
    <x:row r="13146">
      <x:c r="A13146" s="85"/>
      <x:c r="B13146" s="86"/>
    </x:row>
    <x:row r="13147">
      <x:c r="A13147" s="85"/>
      <x:c r="B13147" s="86"/>
    </x:row>
    <x:row r="13148">
      <x:c r="A13148" s="85"/>
      <x:c r="B13148" s="86"/>
    </x:row>
    <x:row r="13149">
      <x:c r="A13149" s="85"/>
      <x:c r="B13149" s="86"/>
    </x:row>
    <x:row r="13150">
      <x:c r="A13150" s="85"/>
      <x:c r="B13150" s="86"/>
    </x:row>
    <x:row r="13151">
      <x:c r="A13151" s="85"/>
      <x:c r="B13151" s="86"/>
    </x:row>
    <x:row r="13152">
      <x:c r="A13152" s="85"/>
      <x:c r="B13152" s="86"/>
    </x:row>
    <x:row r="13153">
      <x:c r="A13153" s="85"/>
      <x:c r="B13153" s="86"/>
    </x:row>
    <x:row r="13154">
      <x:c r="A13154" s="85"/>
      <x:c r="B13154" s="86"/>
    </x:row>
    <x:row r="13155">
      <x:c r="A13155" s="85"/>
      <x:c r="B13155" s="86"/>
    </x:row>
    <x:row r="13156">
      <x:c r="A13156" s="85"/>
      <x:c r="B13156" s="86"/>
    </x:row>
    <x:row r="13157">
      <x:c r="A13157" s="85"/>
      <x:c r="B13157" s="86"/>
    </x:row>
    <x:row r="13158">
      <x:c r="A13158" s="85"/>
      <x:c r="B13158" s="86"/>
    </x:row>
    <x:row r="13159">
      <x:c r="A13159" s="85"/>
      <x:c r="B13159" s="86"/>
    </x:row>
    <x:row r="13160">
      <x:c r="A13160" s="85"/>
      <x:c r="B13160" s="86"/>
    </x:row>
    <x:row r="13161">
      <x:c r="A13161" s="85"/>
      <x:c r="B13161" s="86"/>
    </x:row>
    <x:row r="13162">
      <x:c r="A13162" s="85"/>
      <x:c r="B13162" s="86"/>
    </x:row>
    <x:row r="13163">
      <x:c r="A13163" s="85"/>
      <x:c r="B13163" s="86"/>
    </x:row>
    <x:row r="13164">
      <x:c r="A13164" s="85"/>
      <x:c r="B13164" s="86"/>
    </x:row>
    <x:row r="13165">
      <x:c r="A13165" s="85"/>
      <x:c r="B13165" s="86"/>
    </x:row>
    <x:row r="13166">
      <x:c r="A13166" s="85"/>
      <x:c r="B13166" s="86"/>
    </x:row>
    <x:row r="13167">
      <x:c r="A13167" s="85"/>
      <x:c r="B13167" s="86"/>
    </x:row>
    <x:row r="13168">
      <x:c r="A13168" s="85"/>
      <x:c r="B13168" s="86"/>
    </x:row>
    <x:row r="13169">
      <x:c r="A13169" s="85"/>
      <x:c r="B13169" s="86"/>
    </x:row>
    <x:row r="13170">
      <x:c r="A13170" s="85"/>
      <x:c r="B13170" s="86"/>
    </x:row>
    <x:row r="13171">
      <x:c r="A13171" s="85"/>
      <x:c r="B13171" s="86"/>
    </x:row>
    <x:row r="13172">
      <x:c r="A13172" s="85"/>
      <x:c r="B13172" s="86"/>
    </x:row>
    <x:row r="13173">
      <x:c r="A13173" s="85"/>
      <x:c r="B13173" s="86"/>
    </x:row>
    <x:row r="13174">
      <x:c r="A13174" s="85"/>
      <x:c r="B13174" s="86"/>
    </x:row>
    <x:row r="13175">
      <x:c r="A13175" s="85"/>
      <x:c r="B13175" s="86"/>
    </x:row>
    <x:row r="13176">
      <x:c r="A13176" s="85"/>
      <x:c r="B13176" s="86"/>
    </x:row>
    <x:row r="13177">
      <x:c r="A13177" s="85"/>
      <x:c r="B13177" s="86"/>
    </x:row>
    <x:row r="13178">
      <x:c r="A13178" s="85"/>
      <x:c r="B13178" s="86"/>
    </x:row>
    <x:row r="13179">
      <x:c r="A13179" s="85"/>
      <x:c r="B13179" s="86"/>
    </x:row>
    <x:row r="13180">
      <x:c r="A13180" s="85"/>
      <x:c r="B13180" s="86"/>
    </x:row>
    <x:row r="13181">
      <x:c r="A13181" s="85"/>
      <x:c r="B13181" s="86"/>
    </x:row>
    <x:row r="13182">
      <x:c r="A13182" s="85"/>
      <x:c r="B13182" s="86"/>
    </x:row>
    <x:row r="13183">
      <x:c r="A13183" s="85"/>
      <x:c r="B13183" s="86"/>
    </x:row>
    <x:row r="13184">
      <x:c r="A13184" s="85"/>
      <x:c r="B13184" s="86"/>
    </x:row>
    <x:row r="13185">
      <x:c r="A13185" s="85"/>
      <x:c r="B13185" s="86"/>
    </x:row>
    <x:row r="13186">
      <x:c r="A13186" s="85"/>
      <x:c r="B13186" s="86"/>
    </x:row>
    <x:row r="13187">
      <x:c r="A13187" s="85"/>
      <x:c r="B13187" s="86"/>
    </x:row>
    <x:row r="13188">
      <x:c r="A13188" s="85"/>
      <x:c r="B13188" s="86"/>
    </x:row>
    <x:row r="13189">
      <x:c r="A13189" s="85"/>
      <x:c r="B13189" s="86"/>
    </x:row>
    <x:row r="13190">
      <x:c r="A13190" s="85"/>
      <x:c r="B13190" s="86"/>
    </x:row>
    <x:row r="13191">
      <x:c r="A13191" s="85"/>
      <x:c r="B13191" s="86"/>
    </x:row>
    <x:row r="13192">
      <x:c r="A13192" s="85"/>
      <x:c r="B13192" s="86"/>
    </x:row>
    <x:row r="13193">
      <x:c r="A13193" s="85"/>
      <x:c r="B13193" s="86"/>
    </x:row>
    <x:row r="13194">
      <x:c r="A13194" s="85"/>
      <x:c r="B13194" s="86"/>
    </x:row>
    <x:row r="13195">
      <x:c r="A13195" s="85"/>
      <x:c r="B13195" s="86"/>
    </x:row>
    <x:row r="13196">
      <x:c r="A13196" s="85"/>
      <x:c r="B13196" s="86"/>
    </x:row>
    <x:row r="13197">
      <x:c r="A13197" s="85"/>
      <x:c r="B13197" s="86"/>
    </x:row>
    <x:row r="13198">
      <x:c r="A13198" s="85"/>
      <x:c r="B13198" s="86"/>
    </x:row>
    <x:row r="13199">
      <x:c r="A13199" s="85"/>
      <x:c r="B13199" s="86"/>
    </x:row>
    <x:row r="13200">
      <x:c r="A13200" s="85"/>
      <x:c r="B13200" s="86"/>
    </x:row>
    <x:row r="13201">
      <x:c r="A13201" s="85"/>
      <x:c r="B13201" s="86"/>
    </x:row>
    <x:row r="13202">
      <x:c r="A13202" s="85"/>
      <x:c r="B13202" s="86"/>
    </x:row>
    <x:row r="13203">
      <x:c r="A13203" s="85"/>
      <x:c r="B13203" s="86"/>
    </x:row>
    <x:row r="13204">
      <x:c r="A13204" s="85"/>
      <x:c r="B13204" s="86"/>
    </x:row>
    <x:row r="13205">
      <x:c r="A13205" s="85"/>
      <x:c r="B13205" s="86"/>
    </x:row>
    <x:row r="13206">
      <x:c r="A13206" s="85"/>
      <x:c r="B13206" s="86"/>
    </x:row>
    <x:row r="13207">
      <x:c r="A13207" s="85"/>
      <x:c r="B13207" s="86"/>
    </x:row>
    <x:row r="13208">
      <x:c r="A13208" s="85"/>
      <x:c r="B13208" s="86"/>
    </x:row>
    <x:row r="13209">
      <x:c r="A13209" s="85"/>
      <x:c r="B13209" s="86"/>
    </x:row>
    <x:row r="13210">
      <x:c r="A13210" s="85"/>
      <x:c r="B13210" s="86"/>
    </x:row>
    <x:row r="13211">
      <x:c r="A13211" s="85"/>
      <x:c r="B13211" s="86"/>
    </x:row>
    <x:row r="13212">
      <x:c r="A13212" s="85"/>
      <x:c r="B13212" s="86"/>
    </x:row>
    <x:row r="13213">
      <x:c r="A13213" s="85"/>
      <x:c r="B13213" s="86"/>
    </x:row>
    <x:row r="13214">
      <x:c r="A13214" s="85"/>
      <x:c r="B13214" s="86"/>
    </x:row>
    <x:row r="13215">
      <x:c r="A13215" s="85"/>
      <x:c r="B13215" s="86"/>
    </x:row>
    <x:row r="13216">
      <x:c r="A13216" s="85"/>
      <x:c r="B13216" s="86"/>
    </x:row>
    <x:row r="13217">
      <x:c r="A13217" s="85"/>
      <x:c r="B13217" s="86"/>
    </x:row>
    <x:row r="13218">
      <x:c r="A13218" s="85"/>
      <x:c r="B13218" s="86"/>
    </x:row>
    <x:row r="13219">
      <x:c r="A13219" s="85"/>
      <x:c r="B13219" s="86"/>
    </x:row>
    <x:row r="13220">
      <x:c r="A13220" s="85"/>
      <x:c r="B13220" s="86"/>
    </x:row>
    <x:row r="13221">
      <x:c r="A13221" s="85"/>
      <x:c r="B13221" s="86"/>
    </x:row>
    <x:row r="13222">
      <x:c r="A13222" s="85"/>
      <x:c r="B13222" s="86"/>
    </x:row>
    <x:row r="13223">
      <x:c r="A13223" s="85"/>
      <x:c r="B13223" s="86"/>
    </x:row>
    <x:row r="13224">
      <x:c r="A13224" s="85"/>
      <x:c r="B13224" s="86"/>
    </x:row>
    <x:row r="13225">
      <x:c r="A13225" s="85"/>
      <x:c r="B13225" s="86"/>
    </x:row>
    <x:row r="13226">
      <x:c r="A13226" s="85"/>
      <x:c r="B13226" s="86"/>
    </x:row>
    <x:row r="13227">
      <x:c r="A13227" s="85"/>
      <x:c r="B13227" s="86"/>
    </x:row>
    <x:row r="13228">
      <x:c r="A13228" s="85"/>
      <x:c r="B13228" s="86"/>
    </x:row>
    <x:row r="13229">
      <x:c r="A13229" s="85"/>
      <x:c r="B13229" s="86"/>
    </x:row>
    <x:row r="13230">
      <x:c r="A13230" s="85"/>
      <x:c r="B13230" s="86"/>
    </x:row>
    <x:row r="13231">
      <x:c r="A13231" s="85"/>
      <x:c r="B13231" s="86"/>
    </x:row>
    <x:row r="13232">
      <x:c r="A13232" s="85"/>
      <x:c r="B13232" s="86"/>
    </x:row>
    <x:row r="13233">
      <x:c r="A13233" s="85"/>
      <x:c r="B13233" s="86"/>
    </x:row>
    <x:row r="13234">
      <x:c r="A13234" s="85"/>
      <x:c r="B13234" s="86"/>
    </x:row>
    <x:row r="13235">
      <x:c r="A13235" s="85"/>
      <x:c r="B13235" s="86"/>
    </x:row>
    <x:row r="13236">
      <x:c r="A13236" s="85"/>
      <x:c r="B13236" s="86"/>
    </x:row>
    <x:row r="13237">
      <x:c r="A13237" s="85"/>
      <x:c r="B13237" s="86"/>
    </x:row>
    <x:row r="13238">
      <x:c r="A13238" s="85"/>
      <x:c r="B13238" s="86"/>
    </x:row>
    <x:row r="13239">
      <x:c r="A13239" s="85"/>
      <x:c r="B13239" s="86"/>
    </x:row>
    <x:row r="13240">
      <x:c r="A13240" s="85"/>
      <x:c r="B13240" s="86"/>
    </x:row>
    <x:row r="13241">
      <x:c r="A13241" s="85"/>
      <x:c r="B13241" s="86"/>
    </x:row>
    <x:row r="13242">
      <x:c r="A13242" s="85"/>
      <x:c r="B13242" s="86"/>
    </x:row>
    <x:row r="13243">
      <x:c r="A13243" s="85"/>
      <x:c r="B13243" s="86"/>
    </x:row>
    <x:row r="13244">
      <x:c r="A13244" s="85"/>
      <x:c r="B13244" s="86"/>
    </x:row>
    <x:row r="13245">
      <x:c r="A13245" s="85"/>
      <x:c r="B13245" s="86"/>
    </x:row>
    <x:row r="13246">
      <x:c r="A13246" s="85"/>
      <x:c r="B13246" s="86"/>
    </x:row>
    <x:row r="13247">
      <x:c r="A13247" s="85"/>
      <x:c r="B13247" s="86"/>
    </x:row>
    <x:row r="13248">
      <x:c r="A13248" s="85"/>
      <x:c r="B13248" s="86"/>
    </x:row>
    <x:row r="13249">
      <x:c r="A13249" s="85"/>
      <x:c r="B13249" s="86"/>
    </x:row>
    <x:row r="13250">
      <x:c r="A13250" s="85"/>
      <x:c r="B13250" s="86"/>
    </x:row>
    <x:row r="13251">
      <x:c r="A13251" s="85"/>
      <x:c r="B13251" s="86"/>
    </x:row>
    <x:row r="13252">
      <x:c r="A13252" s="85"/>
      <x:c r="B13252" s="86"/>
    </x:row>
    <x:row r="13253">
      <x:c r="A13253" s="85"/>
      <x:c r="B13253" s="86"/>
    </x:row>
    <x:row r="13254">
      <x:c r="A13254" s="85"/>
      <x:c r="B13254" s="86"/>
    </x:row>
    <x:row r="13255">
      <x:c r="A13255" s="85"/>
      <x:c r="B13255" s="86"/>
    </x:row>
    <x:row r="13256">
      <x:c r="A13256" s="85"/>
      <x:c r="B13256" s="86"/>
    </x:row>
    <x:row r="13257">
      <x:c r="A13257" s="85"/>
      <x:c r="B13257" s="86"/>
    </x:row>
    <x:row r="13258">
      <x:c r="A13258" s="85"/>
      <x:c r="B13258" s="86"/>
    </x:row>
    <x:row r="13259">
      <x:c r="A13259" s="85"/>
      <x:c r="B13259" s="86"/>
    </x:row>
    <x:row r="13260">
      <x:c r="A13260" s="85"/>
      <x:c r="B13260" s="86"/>
    </x:row>
    <x:row r="13261">
      <x:c r="A13261" s="85"/>
      <x:c r="B13261" s="86"/>
    </x:row>
    <x:row r="13262">
      <x:c r="A13262" s="85"/>
      <x:c r="B13262" s="86"/>
    </x:row>
    <x:row r="13263">
      <x:c r="A13263" s="85"/>
      <x:c r="B13263" s="86"/>
    </x:row>
    <x:row r="13264">
      <x:c r="A13264" s="85"/>
      <x:c r="B13264" s="86"/>
    </x:row>
    <x:row r="13265">
      <x:c r="A13265" s="85"/>
      <x:c r="B13265" s="86"/>
    </x:row>
    <x:row r="13266">
      <x:c r="A13266" s="85"/>
      <x:c r="B13266" s="86"/>
    </x:row>
    <x:row r="13267">
      <x:c r="A13267" s="85"/>
      <x:c r="B13267" s="86"/>
    </x:row>
    <x:row r="13268">
      <x:c r="A13268" s="85"/>
      <x:c r="B13268" s="86"/>
    </x:row>
    <x:row r="13269">
      <x:c r="A13269" s="85"/>
      <x:c r="B13269" s="86"/>
    </x:row>
    <x:row r="13270">
      <x:c r="A13270" s="85"/>
      <x:c r="B13270" s="86"/>
    </x:row>
    <x:row r="13271">
      <x:c r="A13271" s="85"/>
      <x:c r="B13271" s="86"/>
    </x:row>
    <x:row r="13272">
      <x:c r="A13272" s="85"/>
      <x:c r="B13272" s="86"/>
    </x:row>
    <x:row r="13273">
      <x:c r="A13273" s="85"/>
      <x:c r="B13273" s="86"/>
    </x:row>
    <x:row r="13274">
      <x:c r="A13274" s="85"/>
      <x:c r="B13274" s="86"/>
    </x:row>
    <x:row r="13275">
      <x:c r="A13275" s="85"/>
      <x:c r="B13275" s="86"/>
    </x:row>
    <x:row r="13276">
      <x:c r="A13276" s="85"/>
      <x:c r="B13276" s="86"/>
    </x:row>
    <x:row r="13277">
      <x:c r="A13277" s="85"/>
      <x:c r="B13277" s="86"/>
    </x:row>
    <x:row r="13278">
      <x:c r="A13278" s="85"/>
      <x:c r="B13278" s="86"/>
    </x:row>
    <x:row r="13279">
      <x:c r="A13279" s="85"/>
      <x:c r="B13279" s="86"/>
    </x:row>
    <x:row r="13280">
      <x:c r="A13280" s="85"/>
      <x:c r="B13280" s="86"/>
    </x:row>
    <x:row r="13281">
      <x:c r="A13281" s="85"/>
      <x:c r="B13281" s="86"/>
    </x:row>
    <x:row r="13282">
      <x:c r="A13282" s="85"/>
      <x:c r="B13282" s="86"/>
    </x:row>
    <x:row r="13283">
      <x:c r="A13283" s="85"/>
      <x:c r="B13283" s="86"/>
    </x:row>
    <x:row r="13284">
      <x:c r="A13284" s="85"/>
      <x:c r="B13284" s="86"/>
    </x:row>
    <x:row r="13285">
      <x:c r="A13285" s="85"/>
      <x:c r="B13285" s="86"/>
    </x:row>
    <x:row r="13286">
      <x:c r="A13286" s="85"/>
      <x:c r="B13286" s="86"/>
    </x:row>
    <x:row r="13287">
      <x:c r="A13287" s="85"/>
      <x:c r="B13287" s="86"/>
    </x:row>
    <x:row r="13288">
      <x:c r="A13288" s="85"/>
      <x:c r="B13288" s="86"/>
    </x:row>
    <x:row r="13289">
      <x:c r="A13289" s="85"/>
      <x:c r="B13289" s="86"/>
    </x:row>
    <x:row r="13290">
      <x:c r="A13290" s="85"/>
      <x:c r="B13290" s="86"/>
    </x:row>
    <x:row r="13291">
      <x:c r="A13291" s="85"/>
      <x:c r="B13291" s="86"/>
    </x:row>
    <x:row r="13292">
      <x:c r="A13292" s="85"/>
      <x:c r="B13292" s="86"/>
    </x:row>
    <x:row r="13293">
      <x:c r="A13293" s="85"/>
      <x:c r="B13293" s="86"/>
    </x:row>
    <x:row r="13294">
      <x:c r="A13294" s="85"/>
      <x:c r="B13294" s="86"/>
    </x:row>
    <x:row r="13295">
      <x:c r="A13295" s="85"/>
      <x:c r="B13295" s="86"/>
    </x:row>
    <x:row r="13296">
      <x:c r="A13296" s="85"/>
      <x:c r="B13296" s="86"/>
    </x:row>
    <x:row r="13297">
      <x:c r="A13297" s="85"/>
      <x:c r="B13297" s="86"/>
    </x:row>
    <x:row r="13298">
      <x:c r="A13298" s="85"/>
      <x:c r="B13298" s="86"/>
    </x:row>
    <x:row r="13299">
      <x:c r="A13299" s="85"/>
      <x:c r="B13299" s="86"/>
    </x:row>
    <x:row r="13300">
      <x:c r="A13300" s="85"/>
      <x:c r="B13300" s="86"/>
    </x:row>
    <x:row r="13301">
      <x:c r="A13301" s="85"/>
      <x:c r="B13301" s="86"/>
    </x:row>
    <x:row r="13302">
      <x:c r="A13302" s="85"/>
      <x:c r="B13302" s="86"/>
    </x:row>
    <x:row r="13303">
      <x:c r="A13303" s="85"/>
      <x:c r="B13303" s="86"/>
    </x:row>
    <x:row r="13304">
      <x:c r="A13304" s="85"/>
      <x:c r="B13304" s="86"/>
    </x:row>
    <x:row r="13305">
      <x:c r="A13305" s="85"/>
      <x:c r="B13305" s="86"/>
    </x:row>
    <x:row r="13306">
      <x:c r="A13306" s="85"/>
      <x:c r="B13306" s="86"/>
    </x:row>
    <x:row r="13307">
      <x:c r="A13307" s="85"/>
      <x:c r="B13307" s="86"/>
    </x:row>
    <x:row r="13308">
      <x:c r="A13308" s="85"/>
      <x:c r="B13308" s="86"/>
    </x:row>
    <x:row r="13309">
      <x:c r="A13309" s="85"/>
      <x:c r="B13309" s="86"/>
    </x:row>
    <x:row r="13310">
      <x:c r="A13310" s="85"/>
      <x:c r="B13310" s="86"/>
    </x:row>
    <x:row r="13311">
      <x:c r="A13311" s="85"/>
      <x:c r="B13311" s="86"/>
    </x:row>
    <x:row r="13312">
      <x:c r="A13312" s="85"/>
      <x:c r="B13312" s="86"/>
    </x:row>
    <x:row r="13313">
      <x:c r="A13313" s="85"/>
      <x:c r="B13313" s="86"/>
    </x:row>
    <x:row r="13314">
      <x:c r="A13314" s="85"/>
      <x:c r="B13314" s="86"/>
    </x:row>
    <x:row r="13315">
      <x:c r="A13315" s="85"/>
      <x:c r="B13315" s="86"/>
    </x:row>
    <x:row r="13316">
      <x:c r="A13316" s="85"/>
      <x:c r="B13316" s="86"/>
    </x:row>
    <x:row r="13317">
      <x:c r="A13317" s="85"/>
      <x:c r="B13317" s="86"/>
    </x:row>
    <x:row r="13318">
      <x:c r="A13318" s="85"/>
      <x:c r="B13318" s="86"/>
    </x:row>
    <x:row r="13319">
      <x:c r="A13319" s="85"/>
      <x:c r="B13319" s="86"/>
    </x:row>
    <x:row r="13320">
      <x:c r="A13320" s="85"/>
      <x:c r="B13320" s="86"/>
    </x:row>
    <x:row r="13321">
      <x:c r="A13321" s="85"/>
      <x:c r="B13321" s="86"/>
    </x:row>
    <x:row r="13322">
      <x:c r="A13322" s="85"/>
      <x:c r="B13322" s="86"/>
    </x:row>
    <x:row r="13323">
      <x:c r="A13323" s="85"/>
      <x:c r="B13323" s="86"/>
    </x:row>
    <x:row r="13324">
      <x:c r="A13324" s="85"/>
      <x:c r="B13324" s="86"/>
    </x:row>
    <x:row r="13325">
      <x:c r="A13325" s="85"/>
      <x:c r="B13325" s="86"/>
    </x:row>
    <x:row r="13326">
      <x:c r="A13326" s="85"/>
      <x:c r="B13326" s="86"/>
    </x:row>
    <x:row r="13327">
      <x:c r="A13327" s="85"/>
      <x:c r="B13327" s="86"/>
    </x:row>
    <x:row r="13328">
      <x:c r="A13328" s="85"/>
      <x:c r="B13328" s="86"/>
    </x:row>
    <x:row r="13329">
      <x:c r="A13329" s="85"/>
      <x:c r="B13329" s="86"/>
    </x:row>
    <x:row r="13330">
      <x:c r="A13330" s="85"/>
      <x:c r="B13330" s="86"/>
    </x:row>
    <x:row r="13331">
      <x:c r="A13331" s="85"/>
      <x:c r="B13331" s="86"/>
    </x:row>
    <x:row r="13332">
      <x:c r="A13332" s="85"/>
      <x:c r="B13332" s="86"/>
    </x:row>
    <x:row r="13333">
      <x:c r="A13333" s="85"/>
      <x:c r="B13333" s="86"/>
    </x:row>
    <x:row r="13334">
      <x:c r="A13334" s="85"/>
      <x:c r="B13334" s="86"/>
    </x:row>
    <x:row r="13335">
      <x:c r="A13335" s="85"/>
      <x:c r="B13335" s="86"/>
    </x:row>
    <x:row r="13336">
      <x:c r="A13336" s="85"/>
      <x:c r="B13336" s="86"/>
    </x:row>
    <x:row r="13337">
      <x:c r="A13337" s="85"/>
      <x:c r="B13337" s="86"/>
    </x:row>
    <x:row r="13338">
      <x:c r="A13338" s="85"/>
      <x:c r="B13338" s="86"/>
    </x:row>
    <x:row r="13339">
      <x:c r="A13339" s="85"/>
      <x:c r="B13339" s="86"/>
    </x:row>
    <x:row r="13340">
      <x:c r="A13340" s="85"/>
      <x:c r="B13340" s="86"/>
    </x:row>
    <x:row r="13341">
      <x:c r="A13341" s="85"/>
      <x:c r="B13341" s="86"/>
    </x:row>
    <x:row r="13342">
      <x:c r="A13342" s="85"/>
      <x:c r="B13342" s="86"/>
    </x:row>
    <x:row r="13343">
      <x:c r="A13343" s="85"/>
      <x:c r="B13343" s="86"/>
    </x:row>
    <x:row r="13344">
      <x:c r="A13344" s="85"/>
      <x:c r="B13344" s="86"/>
    </x:row>
    <x:row r="13345">
      <x:c r="A13345" s="85"/>
      <x:c r="B13345" s="86"/>
    </x:row>
    <x:row r="13346">
      <x:c r="A13346" s="85"/>
      <x:c r="B13346" s="86"/>
    </x:row>
    <x:row r="13347">
      <x:c r="A13347" s="85"/>
      <x:c r="B13347" s="86"/>
    </x:row>
    <x:row r="13348">
      <x:c r="A13348" s="85"/>
      <x:c r="B13348" s="86"/>
    </x:row>
    <x:row r="13349">
      <x:c r="A13349" s="85"/>
      <x:c r="B13349" s="86"/>
    </x:row>
    <x:row r="13350">
      <x:c r="A13350" s="85"/>
      <x:c r="B13350" s="86"/>
    </x:row>
    <x:row r="13351">
      <x:c r="A13351" s="85"/>
      <x:c r="B13351" s="86"/>
    </x:row>
    <x:row r="13352">
      <x:c r="A13352" s="85"/>
      <x:c r="B13352" s="86"/>
    </x:row>
    <x:row r="13353">
      <x:c r="A13353" s="85"/>
      <x:c r="B13353" s="86"/>
    </x:row>
    <x:row r="13354">
      <x:c r="A13354" s="85"/>
      <x:c r="B13354" s="86"/>
    </x:row>
    <x:row r="13355">
      <x:c r="A13355" s="85"/>
      <x:c r="B13355" s="86"/>
    </x:row>
    <x:row r="13356">
      <x:c r="A13356" s="85"/>
      <x:c r="B13356" s="86"/>
    </x:row>
    <x:row r="13357">
      <x:c r="A13357" s="85"/>
      <x:c r="B13357" s="86"/>
    </x:row>
    <x:row r="13358">
      <x:c r="A13358" s="85"/>
      <x:c r="B13358" s="86"/>
    </x:row>
    <x:row r="13359">
      <x:c r="A13359" s="85"/>
      <x:c r="B13359" s="86"/>
    </x:row>
    <x:row r="13360">
      <x:c r="A13360" s="85"/>
      <x:c r="B13360" s="86"/>
    </x:row>
    <x:row r="13361">
      <x:c r="A13361" s="85"/>
      <x:c r="B13361" s="86"/>
    </x:row>
    <x:row r="13362">
      <x:c r="A13362" s="85"/>
      <x:c r="B13362" s="86"/>
    </x:row>
    <x:row r="13363">
      <x:c r="A13363" s="85"/>
      <x:c r="B13363" s="86"/>
    </x:row>
    <x:row r="13364">
      <x:c r="A13364" s="85"/>
      <x:c r="B13364" s="86"/>
    </x:row>
    <x:row r="13365">
      <x:c r="A13365" s="85"/>
      <x:c r="B13365" s="86"/>
    </x:row>
    <x:row r="13366">
      <x:c r="A13366" s="85"/>
      <x:c r="B13366" s="86"/>
    </x:row>
    <x:row r="13367">
      <x:c r="A13367" s="85"/>
      <x:c r="B13367" s="86"/>
    </x:row>
    <x:row r="13368">
      <x:c r="A13368" s="85"/>
      <x:c r="B13368" s="86"/>
    </x:row>
    <x:row r="13369">
      <x:c r="A13369" s="85"/>
      <x:c r="B13369" s="86"/>
    </x:row>
    <x:row r="13370">
      <x:c r="A13370" s="85"/>
      <x:c r="B13370" s="86"/>
    </x:row>
    <x:row r="13371">
      <x:c r="A13371" s="85"/>
      <x:c r="B13371" s="86"/>
    </x:row>
    <x:row r="13372">
      <x:c r="A13372" s="85"/>
      <x:c r="B13372" s="86"/>
    </x:row>
    <x:row r="13373">
      <x:c r="A13373" s="85"/>
      <x:c r="B13373" s="86"/>
    </x:row>
    <x:row r="13374">
      <x:c r="A13374" s="85"/>
      <x:c r="B13374" s="86"/>
    </x:row>
    <x:row r="13375">
      <x:c r="A13375" s="85"/>
      <x:c r="B13375" s="86"/>
    </x:row>
    <x:row r="13376">
      <x:c r="A13376" s="85"/>
      <x:c r="B13376" s="86"/>
    </x:row>
    <x:row r="13377">
      <x:c r="A13377" s="85"/>
      <x:c r="B13377" s="86"/>
    </x:row>
    <x:row r="13378">
      <x:c r="A13378" s="85"/>
      <x:c r="B13378" s="86"/>
    </x:row>
    <x:row r="13379">
      <x:c r="A13379" s="85"/>
      <x:c r="B13379" s="86"/>
    </x:row>
    <x:row r="13380">
      <x:c r="A13380" s="85"/>
      <x:c r="B13380" s="86"/>
    </x:row>
    <x:row r="13381">
      <x:c r="A13381" s="85"/>
      <x:c r="B13381" s="86"/>
    </x:row>
    <x:row r="13382">
      <x:c r="A13382" s="85"/>
      <x:c r="B13382" s="86"/>
    </x:row>
    <x:row r="13383">
      <x:c r="A13383" s="85"/>
      <x:c r="B13383" s="86"/>
    </x:row>
    <x:row r="13384">
      <x:c r="A13384" s="85"/>
      <x:c r="B13384" s="86"/>
    </x:row>
    <x:row r="13385">
      <x:c r="A13385" s="85"/>
      <x:c r="B13385" s="86"/>
    </x:row>
    <x:row r="13386">
      <x:c r="A13386" s="85"/>
      <x:c r="B13386" s="86"/>
    </x:row>
    <x:row r="13387">
      <x:c r="A13387" s="85"/>
      <x:c r="B13387" s="86"/>
    </x:row>
    <x:row r="13388">
      <x:c r="A13388" s="85"/>
      <x:c r="B13388" s="86"/>
    </x:row>
    <x:row r="13389">
      <x:c r="A13389" s="85"/>
      <x:c r="B13389" s="86"/>
    </x:row>
    <x:row r="13390">
      <x:c r="A13390" s="85"/>
      <x:c r="B13390" s="86"/>
    </x:row>
    <x:row r="13391">
      <x:c r="A13391" s="85"/>
      <x:c r="B13391" s="86"/>
    </x:row>
    <x:row r="13392">
      <x:c r="A13392" s="85"/>
      <x:c r="B13392" s="86"/>
    </x:row>
    <x:row r="13393">
      <x:c r="A13393" s="85"/>
      <x:c r="B13393" s="86"/>
    </x:row>
    <x:row r="13394">
      <x:c r="A13394" s="85"/>
      <x:c r="B13394" s="86"/>
    </x:row>
    <x:row r="13395">
      <x:c r="A13395" s="85"/>
      <x:c r="B13395" s="86"/>
    </x:row>
    <x:row r="13396">
      <x:c r="A13396" s="85"/>
      <x:c r="B13396" s="86"/>
    </x:row>
    <x:row r="13397">
      <x:c r="A13397" s="85"/>
      <x:c r="B13397" s="86"/>
    </x:row>
    <x:row r="13398">
      <x:c r="A13398" s="85"/>
      <x:c r="B13398" s="86"/>
    </x:row>
    <x:row r="13399">
      <x:c r="A13399" s="85"/>
      <x:c r="B13399" s="86"/>
    </x:row>
    <x:row r="13400">
      <x:c r="A13400" s="85"/>
      <x:c r="B13400" s="86"/>
    </x:row>
    <x:row r="13401">
      <x:c r="A13401" s="85"/>
      <x:c r="B13401" s="86"/>
    </x:row>
    <x:row r="13402">
      <x:c r="A13402" s="85"/>
      <x:c r="B13402" s="86"/>
    </x:row>
    <x:row r="13403">
      <x:c r="A13403" s="85"/>
      <x:c r="B13403" s="86"/>
    </x:row>
    <x:row r="13404">
      <x:c r="A13404" s="85"/>
      <x:c r="B13404" s="86"/>
    </x:row>
    <x:row r="13405">
      <x:c r="A13405" s="85"/>
      <x:c r="B13405" s="86"/>
    </x:row>
    <x:row r="13406">
      <x:c r="A13406" s="85"/>
      <x:c r="B13406" s="86"/>
    </x:row>
    <x:row r="13407">
      <x:c r="A13407" s="85"/>
      <x:c r="B13407" s="86"/>
    </x:row>
    <x:row r="13408">
      <x:c r="A13408" s="85"/>
      <x:c r="B13408" s="86"/>
    </x:row>
    <x:row r="13409">
      <x:c r="A13409" s="85"/>
      <x:c r="B13409" s="86"/>
    </x:row>
    <x:row r="13410">
      <x:c r="A13410" s="85"/>
      <x:c r="B13410" s="86"/>
    </x:row>
    <x:row r="13411">
      <x:c r="A13411" s="85"/>
      <x:c r="B13411" s="86"/>
    </x:row>
    <x:row r="13412">
      <x:c r="A13412" s="85"/>
      <x:c r="B13412" s="86"/>
    </x:row>
    <x:row r="13413">
      <x:c r="A13413" s="85"/>
      <x:c r="B13413" s="86"/>
    </x:row>
    <x:row r="13414">
      <x:c r="A13414" s="85"/>
      <x:c r="B13414" s="86"/>
    </x:row>
    <x:row r="13415">
      <x:c r="A13415" s="85"/>
      <x:c r="B13415" s="86"/>
    </x:row>
    <x:row r="13416">
      <x:c r="A13416" s="85"/>
      <x:c r="B13416" s="86"/>
    </x:row>
    <x:row r="13417">
      <x:c r="A13417" s="85"/>
      <x:c r="B13417" s="86"/>
    </x:row>
    <x:row r="13418">
      <x:c r="A13418" s="85"/>
      <x:c r="B13418" s="86"/>
    </x:row>
    <x:row r="13419">
      <x:c r="A13419" s="85"/>
      <x:c r="B13419" s="86"/>
    </x:row>
    <x:row r="13420">
      <x:c r="A13420" s="85"/>
      <x:c r="B13420" s="86"/>
    </x:row>
    <x:row r="13421">
      <x:c r="A13421" s="85"/>
      <x:c r="B13421" s="86"/>
    </x:row>
    <x:row r="13422">
      <x:c r="A13422" s="85"/>
      <x:c r="B13422" s="86"/>
    </x:row>
    <x:row r="13423">
      <x:c r="A13423" s="85"/>
      <x:c r="B13423" s="86"/>
    </x:row>
    <x:row r="13424">
      <x:c r="A13424" s="85"/>
      <x:c r="B13424" s="86"/>
    </x:row>
    <x:row r="13425">
      <x:c r="A13425" s="85"/>
      <x:c r="B13425" s="86"/>
    </x:row>
    <x:row r="13426">
      <x:c r="A13426" s="85"/>
      <x:c r="B13426" s="86"/>
    </x:row>
    <x:row r="13427">
      <x:c r="A13427" s="85"/>
      <x:c r="B13427" s="86"/>
    </x:row>
    <x:row r="13428">
      <x:c r="A13428" s="85"/>
      <x:c r="B13428" s="86"/>
    </x:row>
    <x:row r="13429">
      <x:c r="A13429" s="85"/>
      <x:c r="B13429" s="86"/>
    </x:row>
    <x:row r="13430">
      <x:c r="A13430" s="85"/>
      <x:c r="B13430" s="86"/>
    </x:row>
    <x:row r="13431">
      <x:c r="A13431" s="85"/>
      <x:c r="B13431" s="86"/>
    </x:row>
    <x:row r="13432">
      <x:c r="A13432" s="85"/>
      <x:c r="B13432" s="86"/>
    </x:row>
    <x:row r="13433">
      <x:c r="A13433" s="85"/>
      <x:c r="B13433" s="86"/>
    </x:row>
    <x:row r="13434">
      <x:c r="A13434" s="85"/>
      <x:c r="B13434" s="86"/>
    </x:row>
    <x:row r="13435">
      <x:c r="A13435" s="85"/>
      <x:c r="B13435" s="86"/>
    </x:row>
    <x:row r="13436">
      <x:c r="A13436" s="85"/>
      <x:c r="B13436" s="86"/>
    </x:row>
    <x:row r="13437">
      <x:c r="A13437" s="85"/>
      <x:c r="B13437" s="86"/>
    </x:row>
    <x:row r="13438">
      <x:c r="A13438" s="85"/>
      <x:c r="B13438" s="86"/>
    </x:row>
    <x:row r="13439">
      <x:c r="A13439" s="85"/>
      <x:c r="B13439" s="86"/>
    </x:row>
    <x:row r="13440">
      <x:c r="A13440" s="85"/>
      <x:c r="B13440" s="86"/>
    </x:row>
    <x:row r="13441">
      <x:c r="A13441" s="85"/>
      <x:c r="B13441" s="86"/>
    </x:row>
    <x:row r="13442">
      <x:c r="A13442" s="85"/>
      <x:c r="B13442" s="86"/>
    </x:row>
    <x:row r="13443">
      <x:c r="A13443" s="85"/>
      <x:c r="B13443" s="86"/>
    </x:row>
    <x:row r="13444">
      <x:c r="A13444" s="85"/>
      <x:c r="B13444" s="86"/>
    </x:row>
    <x:row r="13445">
      <x:c r="A13445" s="85"/>
      <x:c r="B13445" s="86"/>
    </x:row>
    <x:row r="13446">
      <x:c r="A13446" s="85"/>
      <x:c r="B13446" s="86"/>
    </x:row>
    <x:row r="13447">
      <x:c r="A13447" s="85"/>
      <x:c r="B13447" s="86"/>
    </x:row>
    <x:row r="13448">
      <x:c r="A13448" s="85"/>
      <x:c r="B13448" s="86"/>
    </x:row>
    <x:row r="13449">
      <x:c r="A13449" s="85"/>
      <x:c r="B13449" s="86"/>
    </x:row>
    <x:row r="13450">
      <x:c r="A13450" s="85"/>
      <x:c r="B13450" s="86"/>
    </x:row>
    <x:row r="13451">
      <x:c r="A13451" s="85"/>
      <x:c r="B13451" s="86"/>
    </x:row>
    <x:row r="13452">
      <x:c r="A13452" s="85"/>
      <x:c r="B13452" s="86"/>
    </x:row>
    <x:row r="13453">
      <x:c r="A13453" s="85"/>
      <x:c r="B13453" s="86"/>
    </x:row>
    <x:row r="13454">
      <x:c r="A13454" s="85"/>
      <x:c r="B13454" s="86"/>
    </x:row>
    <x:row r="13455">
      <x:c r="A13455" s="85"/>
      <x:c r="B13455" s="86"/>
    </x:row>
    <x:row r="13456">
      <x:c r="A13456" s="85"/>
      <x:c r="B13456" s="86"/>
    </x:row>
    <x:row r="13457">
      <x:c r="A13457" s="85"/>
      <x:c r="B13457" s="86"/>
    </x:row>
    <x:row r="13458">
      <x:c r="A13458" s="85"/>
      <x:c r="B13458" s="86"/>
    </x:row>
    <x:row r="13459">
      <x:c r="A13459" s="85"/>
      <x:c r="B13459" s="86"/>
    </x:row>
    <x:row r="13460">
      <x:c r="A13460" s="85"/>
      <x:c r="B13460" s="86"/>
    </x:row>
    <x:row r="13461">
      <x:c r="A13461" s="85"/>
      <x:c r="B13461" s="86"/>
    </x:row>
    <x:row r="13462">
      <x:c r="A13462" s="85"/>
      <x:c r="B13462" s="86"/>
    </x:row>
    <x:row r="13463">
      <x:c r="A13463" s="85"/>
      <x:c r="B13463" s="86"/>
    </x:row>
    <x:row r="13464">
      <x:c r="A13464" s="85"/>
      <x:c r="B13464" s="86"/>
    </x:row>
    <x:row r="13465">
      <x:c r="A13465" s="85"/>
      <x:c r="B13465" s="86"/>
    </x:row>
    <x:row r="13466">
      <x:c r="A13466" s="85"/>
      <x:c r="B13466" s="86"/>
    </x:row>
    <x:row r="13467">
      <x:c r="A13467" s="85"/>
      <x:c r="B13467" s="86"/>
    </x:row>
    <x:row r="13468">
      <x:c r="A13468" s="85"/>
      <x:c r="B13468" s="86"/>
    </x:row>
    <x:row r="13469">
      <x:c r="A13469" s="85"/>
      <x:c r="B13469" s="86"/>
    </x:row>
    <x:row r="13470">
      <x:c r="A13470" s="85"/>
      <x:c r="B13470" s="86"/>
    </x:row>
    <x:row r="13471">
      <x:c r="A13471" s="85"/>
      <x:c r="B13471" s="86"/>
    </x:row>
    <x:row r="13472">
      <x:c r="A13472" s="85"/>
      <x:c r="B13472" s="86"/>
    </x:row>
    <x:row r="13473">
      <x:c r="A13473" s="85"/>
      <x:c r="B13473" s="86"/>
    </x:row>
    <x:row r="13474">
      <x:c r="A13474" s="85"/>
      <x:c r="B13474" s="86"/>
    </x:row>
    <x:row r="13475">
      <x:c r="A13475" s="85"/>
      <x:c r="B13475" s="86"/>
    </x:row>
    <x:row r="13476">
      <x:c r="A13476" s="85"/>
      <x:c r="B13476" s="86"/>
    </x:row>
    <x:row r="13477">
      <x:c r="A13477" s="85"/>
      <x:c r="B13477" s="86"/>
    </x:row>
    <x:row r="13478">
      <x:c r="A13478" s="85"/>
      <x:c r="B13478" s="86"/>
    </x:row>
    <x:row r="13479">
      <x:c r="A13479" s="85"/>
      <x:c r="B13479" s="86"/>
    </x:row>
    <x:row r="13480">
      <x:c r="A13480" s="85"/>
      <x:c r="B13480" s="86"/>
    </x:row>
    <x:row r="13481">
      <x:c r="A13481" s="85"/>
      <x:c r="B13481" s="86"/>
    </x:row>
    <x:row r="13482">
      <x:c r="A13482" s="85"/>
      <x:c r="B13482" s="86"/>
    </x:row>
    <x:row r="13483">
      <x:c r="A13483" s="85"/>
      <x:c r="B13483" s="86"/>
    </x:row>
    <x:row r="13484">
      <x:c r="A13484" s="85"/>
      <x:c r="B13484" s="86"/>
    </x:row>
    <x:row r="13485">
      <x:c r="A13485" s="85"/>
      <x:c r="B13485" s="86"/>
    </x:row>
    <x:row r="13486">
      <x:c r="A13486" s="85"/>
      <x:c r="B13486" s="86"/>
    </x:row>
    <x:row r="13487">
      <x:c r="A13487" s="85"/>
      <x:c r="B13487" s="86"/>
    </x:row>
    <x:row r="13488">
      <x:c r="A13488" s="85"/>
      <x:c r="B13488" s="86"/>
    </x:row>
    <x:row r="13489">
      <x:c r="A13489" s="85"/>
      <x:c r="B13489" s="86"/>
    </x:row>
    <x:row r="13490">
      <x:c r="A13490" s="85"/>
      <x:c r="B13490" s="86"/>
    </x:row>
    <x:row r="13491">
      <x:c r="A13491" s="85"/>
      <x:c r="B13491" s="86"/>
    </x:row>
    <x:row r="13492">
      <x:c r="A13492" s="85"/>
      <x:c r="B13492" s="86"/>
    </x:row>
    <x:row r="13493">
      <x:c r="A13493" s="85"/>
      <x:c r="B13493" s="86"/>
    </x:row>
    <x:row r="13494">
      <x:c r="A13494" s="85"/>
      <x:c r="B13494" s="86"/>
    </x:row>
    <x:row r="13495">
      <x:c r="A13495" s="85"/>
      <x:c r="B13495" s="86"/>
    </x:row>
    <x:row r="13496">
      <x:c r="A13496" s="85"/>
      <x:c r="B13496" s="86"/>
    </x:row>
    <x:row r="13497">
      <x:c r="A13497" s="85"/>
      <x:c r="B13497" s="86"/>
    </x:row>
    <x:row r="13498">
      <x:c r="A13498" s="85"/>
      <x:c r="B13498" s="86"/>
    </x:row>
    <x:row r="13499">
      <x:c r="A13499" s="85"/>
      <x:c r="B13499" s="86"/>
    </x:row>
    <x:row r="13500">
      <x:c r="A13500" s="85"/>
      <x:c r="B13500" s="86"/>
    </x:row>
    <x:row r="13501">
      <x:c r="A13501" s="85"/>
      <x:c r="B13501" s="86"/>
    </x:row>
    <x:row r="13502">
      <x:c r="A13502" s="85"/>
      <x:c r="B13502" s="86"/>
    </x:row>
    <x:row r="13503">
      <x:c r="A13503" s="85"/>
      <x:c r="B13503" s="86"/>
    </x:row>
    <x:row r="13504">
      <x:c r="A13504" s="85"/>
      <x:c r="B13504" s="86"/>
    </x:row>
    <x:row r="13505">
      <x:c r="A13505" s="85"/>
      <x:c r="B13505" s="86"/>
    </x:row>
    <x:row r="13506">
      <x:c r="A13506" s="85"/>
      <x:c r="B13506" s="86"/>
    </x:row>
    <x:row r="13507">
      <x:c r="A13507" s="85"/>
      <x:c r="B13507" s="86"/>
    </x:row>
    <x:row r="13508">
      <x:c r="A13508" s="85"/>
      <x:c r="B13508" s="86"/>
    </x:row>
    <x:row r="13509">
      <x:c r="A13509" s="85"/>
      <x:c r="B13509" s="86"/>
    </x:row>
    <x:row r="13510">
      <x:c r="A13510" s="85"/>
      <x:c r="B13510" s="86"/>
    </x:row>
    <x:row r="13511">
      <x:c r="A13511" s="85"/>
      <x:c r="B13511" s="86"/>
    </x:row>
    <x:row r="13512">
      <x:c r="A13512" s="85"/>
      <x:c r="B13512" s="86"/>
    </x:row>
    <x:row r="13513">
      <x:c r="A13513" s="85"/>
      <x:c r="B13513" s="86"/>
    </x:row>
    <x:row r="13514">
      <x:c r="A13514" s="85"/>
      <x:c r="B13514" s="86"/>
    </x:row>
    <x:row r="13515">
      <x:c r="A13515" s="85"/>
      <x:c r="B13515" s="86"/>
    </x:row>
    <x:row r="13516">
      <x:c r="A13516" s="85"/>
      <x:c r="B13516" s="86"/>
    </x:row>
    <x:row r="13517">
      <x:c r="A13517" s="85"/>
      <x:c r="B13517" s="86"/>
    </x:row>
    <x:row r="13518">
      <x:c r="A13518" s="85"/>
      <x:c r="B13518" s="86"/>
    </x:row>
    <x:row r="13519">
      <x:c r="A13519" s="85"/>
      <x:c r="B13519" s="86"/>
    </x:row>
    <x:row r="13520">
      <x:c r="A13520" s="85"/>
      <x:c r="B13520" s="86"/>
    </x:row>
    <x:row r="13521">
      <x:c r="A13521" s="85"/>
      <x:c r="B13521" s="86"/>
    </x:row>
    <x:row r="13522">
      <x:c r="A13522" s="85"/>
      <x:c r="B13522" s="86"/>
    </x:row>
    <x:row r="13523">
      <x:c r="A13523" s="85"/>
      <x:c r="B13523" s="86"/>
    </x:row>
    <x:row r="13524">
      <x:c r="A13524" s="85"/>
      <x:c r="B13524" s="86"/>
    </x:row>
    <x:row r="13525">
      <x:c r="A13525" s="85"/>
      <x:c r="B13525" s="86"/>
    </x:row>
    <x:row r="13526">
      <x:c r="A13526" s="85"/>
      <x:c r="B13526" s="86"/>
    </x:row>
    <x:row r="13527">
      <x:c r="A13527" s="85"/>
      <x:c r="B13527" s="86"/>
    </x:row>
    <x:row r="13528">
      <x:c r="A13528" s="85"/>
      <x:c r="B13528" s="86"/>
    </x:row>
    <x:row r="13529">
      <x:c r="A13529" s="85"/>
      <x:c r="B13529" s="86"/>
    </x:row>
    <x:row r="13530">
      <x:c r="A13530" s="85"/>
      <x:c r="B13530" s="86"/>
    </x:row>
    <x:row r="13531">
      <x:c r="A13531" s="85"/>
      <x:c r="B13531" s="86"/>
    </x:row>
    <x:row r="13532">
      <x:c r="A13532" s="85"/>
      <x:c r="B13532" s="86"/>
    </x:row>
    <x:row r="13533">
      <x:c r="A13533" s="85"/>
      <x:c r="B13533" s="86"/>
    </x:row>
    <x:row r="13534">
      <x:c r="A13534" s="85"/>
      <x:c r="B13534" s="86"/>
    </x:row>
    <x:row r="13535">
      <x:c r="A13535" s="85"/>
      <x:c r="B13535" s="86"/>
    </x:row>
    <x:row r="13536">
      <x:c r="A13536" s="85"/>
      <x:c r="B13536" s="86"/>
    </x:row>
    <x:row r="13537">
      <x:c r="A13537" s="85"/>
      <x:c r="B13537" s="86"/>
    </x:row>
    <x:row r="13538">
      <x:c r="A13538" s="85"/>
      <x:c r="B13538" s="86"/>
    </x:row>
    <x:row r="13539">
      <x:c r="A13539" s="85"/>
      <x:c r="B13539" s="86"/>
    </x:row>
    <x:row r="13540">
      <x:c r="A13540" s="85"/>
      <x:c r="B13540" s="86"/>
    </x:row>
    <x:row r="13541">
      <x:c r="A13541" s="85"/>
      <x:c r="B13541" s="86"/>
    </x:row>
    <x:row r="13542">
      <x:c r="A13542" s="85"/>
      <x:c r="B13542" s="86"/>
    </x:row>
    <x:row r="13543">
      <x:c r="A13543" s="85"/>
      <x:c r="B13543" s="86"/>
    </x:row>
    <x:row r="13544">
      <x:c r="A13544" s="85"/>
      <x:c r="B13544" s="86"/>
    </x:row>
    <x:row r="13545">
      <x:c r="A13545" s="85"/>
      <x:c r="B13545" s="86"/>
    </x:row>
    <x:row r="13546">
      <x:c r="A13546" s="85"/>
      <x:c r="B13546" s="86"/>
    </x:row>
    <x:row r="13547">
      <x:c r="A13547" s="85"/>
      <x:c r="B13547" s="86"/>
    </x:row>
    <x:row r="13548">
      <x:c r="A13548" s="85"/>
      <x:c r="B13548" s="86"/>
    </x:row>
    <x:row r="13549">
      <x:c r="A13549" s="85"/>
      <x:c r="B13549" s="86"/>
    </x:row>
    <x:row r="13550">
      <x:c r="A13550" s="85"/>
      <x:c r="B13550" s="86"/>
    </x:row>
    <x:row r="13551">
      <x:c r="A13551" s="85"/>
      <x:c r="B13551" s="86"/>
    </x:row>
    <x:row r="13552">
      <x:c r="A13552" s="85"/>
      <x:c r="B13552" s="86"/>
    </x:row>
    <x:row r="13553">
      <x:c r="A13553" s="85"/>
      <x:c r="B13553" s="86"/>
    </x:row>
    <x:row r="13554">
      <x:c r="A13554" s="85"/>
      <x:c r="B13554" s="86"/>
    </x:row>
    <x:row r="13555">
      <x:c r="A13555" s="85"/>
      <x:c r="B13555" s="86"/>
    </x:row>
    <x:row r="13556">
      <x:c r="A13556" s="85"/>
      <x:c r="B13556" s="86"/>
    </x:row>
    <x:row r="13557">
      <x:c r="A13557" s="85"/>
      <x:c r="B13557" s="86"/>
    </x:row>
    <x:row r="13558">
      <x:c r="A13558" s="85"/>
      <x:c r="B13558" s="86"/>
    </x:row>
    <x:row r="13559">
      <x:c r="A13559" s="85"/>
      <x:c r="B13559" s="86"/>
    </x:row>
    <x:row r="13560">
      <x:c r="A13560" s="85"/>
      <x:c r="B13560" s="86"/>
    </x:row>
    <x:row r="13561">
      <x:c r="A13561" s="85"/>
      <x:c r="B13561" s="86"/>
    </x:row>
    <x:row r="13562">
      <x:c r="A13562" s="85"/>
      <x:c r="B13562" s="86"/>
    </x:row>
    <x:row r="13563">
      <x:c r="A13563" s="85"/>
      <x:c r="B13563" s="86"/>
    </x:row>
    <x:row r="13564">
      <x:c r="A13564" s="85"/>
      <x:c r="B13564" s="86"/>
    </x:row>
    <x:row r="13565">
      <x:c r="A13565" s="85"/>
      <x:c r="B13565" s="86"/>
    </x:row>
    <x:row r="13566">
      <x:c r="A13566" s="85"/>
      <x:c r="B13566" s="86"/>
    </x:row>
    <x:row r="13567">
      <x:c r="A13567" s="85"/>
      <x:c r="B13567" s="86"/>
    </x:row>
    <x:row r="13568">
      <x:c r="A13568" s="85"/>
      <x:c r="B13568" s="86"/>
    </x:row>
    <x:row r="13569">
      <x:c r="A13569" s="85"/>
      <x:c r="B13569" s="86"/>
    </x:row>
    <x:row r="13570">
      <x:c r="A13570" s="85"/>
      <x:c r="B13570" s="86"/>
    </x:row>
    <x:row r="13571">
      <x:c r="A13571" s="85"/>
      <x:c r="B13571" s="86"/>
    </x:row>
    <x:row r="13572">
      <x:c r="A13572" s="85"/>
      <x:c r="B13572" s="86"/>
    </x:row>
    <x:row r="13573">
      <x:c r="A13573" s="85"/>
      <x:c r="B13573" s="86"/>
    </x:row>
    <x:row r="13574">
      <x:c r="A13574" s="85"/>
      <x:c r="B13574" s="86"/>
    </x:row>
    <x:row r="13575">
      <x:c r="A13575" s="85"/>
      <x:c r="B13575" s="86"/>
    </x:row>
    <x:row r="13576">
      <x:c r="A13576" s="85"/>
      <x:c r="B13576" s="86"/>
    </x:row>
    <x:row r="13577">
      <x:c r="A13577" s="85"/>
      <x:c r="B13577" s="86"/>
    </x:row>
    <x:row r="13578">
      <x:c r="A13578" s="85"/>
      <x:c r="B13578" s="86"/>
    </x:row>
    <x:row r="13579">
      <x:c r="A13579" s="85"/>
      <x:c r="B13579" s="86"/>
    </x:row>
    <x:row r="13580">
      <x:c r="A13580" s="85"/>
      <x:c r="B13580" s="86"/>
    </x:row>
    <x:row r="13581">
      <x:c r="A13581" s="85"/>
      <x:c r="B13581" s="86"/>
    </x:row>
    <x:row r="13582">
      <x:c r="A13582" s="85"/>
      <x:c r="B13582" s="86"/>
    </x:row>
    <x:row r="13583">
      <x:c r="A13583" s="85"/>
      <x:c r="B13583" s="86"/>
    </x:row>
    <x:row r="13584">
      <x:c r="A13584" s="85"/>
      <x:c r="B13584" s="86"/>
    </x:row>
    <x:row r="13585">
      <x:c r="A13585" s="85"/>
      <x:c r="B13585" s="86"/>
    </x:row>
    <x:row r="13586">
      <x:c r="A13586" s="85"/>
      <x:c r="B13586" s="86"/>
    </x:row>
    <x:row r="13587">
      <x:c r="A13587" s="85"/>
      <x:c r="B13587" s="86"/>
    </x:row>
    <x:row r="13588">
      <x:c r="A13588" s="85"/>
      <x:c r="B13588" s="86"/>
    </x:row>
    <x:row r="13589">
      <x:c r="A13589" s="85"/>
      <x:c r="B13589" s="86"/>
    </x:row>
    <x:row r="13590">
      <x:c r="A13590" s="85"/>
      <x:c r="B13590" s="86"/>
    </x:row>
    <x:row r="13591">
      <x:c r="A13591" s="85"/>
      <x:c r="B13591" s="86"/>
    </x:row>
    <x:row r="13592">
      <x:c r="A13592" s="85"/>
      <x:c r="B13592" s="86"/>
    </x:row>
    <x:row r="13593">
      <x:c r="A13593" s="85"/>
      <x:c r="B13593" s="86"/>
    </x:row>
    <x:row r="13594">
      <x:c r="A13594" s="85"/>
      <x:c r="B13594" s="86"/>
    </x:row>
    <x:row r="13595">
      <x:c r="A13595" s="85"/>
      <x:c r="B13595" s="86"/>
    </x:row>
    <x:row r="13596">
      <x:c r="A13596" s="85"/>
      <x:c r="B13596" s="86"/>
    </x:row>
    <x:row r="13597">
      <x:c r="A13597" s="85"/>
      <x:c r="B13597" s="86"/>
    </x:row>
    <x:row r="13598">
      <x:c r="A13598" s="85"/>
      <x:c r="B13598" s="86"/>
    </x:row>
    <x:row r="13599">
      <x:c r="A13599" s="85"/>
      <x:c r="B13599" s="86"/>
    </x:row>
    <x:row r="13600">
      <x:c r="A13600" s="85"/>
      <x:c r="B13600" s="86"/>
    </x:row>
    <x:row r="13601">
      <x:c r="A13601" s="85"/>
      <x:c r="B13601" s="86"/>
    </x:row>
    <x:row r="13602">
      <x:c r="A13602" s="85"/>
      <x:c r="B13602" s="86"/>
    </x:row>
    <x:row r="13603">
      <x:c r="A13603" s="85"/>
      <x:c r="B13603" s="86"/>
    </x:row>
    <x:row r="13604">
      <x:c r="A13604" s="85"/>
      <x:c r="B13604" s="86"/>
    </x:row>
    <x:row r="13605">
      <x:c r="A13605" s="85"/>
      <x:c r="B13605" s="86"/>
    </x:row>
    <x:row r="13606">
      <x:c r="A13606" s="85"/>
      <x:c r="B13606" s="86"/>
    </x:row>
    <x:row r="13607">
      <x:c r="A13607" s="85"/>
      <x:c r="B13607" s="86"/>
    </x:row>
    <x:row r="13608">
      <x:c r="A13608" s="85"/>
      <x:c r="B13608" s="86"/>
    </x:row>
    <x:row r="13609">
      <x:c r="A13609" s="85"/>
      <x:c r="B13609" s="86"/>
    </x:row>
    <x:row r="13610">
      <x:c r="A13610" s="85"/>
      <x:c r="B13610" s="86"/>
    </x:row>
    <x:row r="13611">
      <x:c r="A13611" s="85"/>
      <x:c r="B13611" s="86"/>
    </x:row>
    <x:row r="13612">
      <x:c r="A13612" s="85"/>
      <x:c r="B13612" s="86"/>
    </x:row>
    <x:row r="13613">
      <x:c r="A13613" s="85"/>
      <x:c r="B13613" s="86"/>
    </x:row>
    <x:row r="13614">
      <x:c r="A13614" s="85"/>
      <x:c r="B13614" s="86"/>
    </x:row>
    <x:row r="13615">
      <x:c r="A13615" s="85"/>
      <x:c r="B13615" s="86"/>
    </x:row>
    <x:row r="13616">
      <x:c r="A13616" s="85"/>
      <x:c r="B13616" s="86"/>
    </x:row>
    <x:row r="13617">
      <x:c r="A13617" s="85"/>
      <x:c r="B13617" s="86"/>
    </x:row>
    <x:row r="13618">
      <x:c r="A13618" s="85"/>
      <x:c r="B13618" s="86"/>
    </x:row>
    <x:row r="13619">
      <x:c r="A13619" s="85"/>
      <x:c r="B13619" s="86"/>
    </x:row>
    <x:row r="13620">
      <x:c r="A13620" s="85"/>
      <x:c r="B13620" s="86"/>
    </x:row>
    <x:row r="13621">
      <x:c r="A13621" s="85"/>
      <x:c r="B13621" s="86"/>
    </x:row>
    <x:row r="13622">
      <x:c r="A13622" s="85"/>
      <x:c r="B13622" s="86"/>
    </x:row>
    <x:row r="13623">
      <x:c r="A13623" s="85"/>
      <x:c r="B13623" s="86"/>
    </x:row>
    <x:row r="13624">
      <x:c r="A13624" s="85"/>
      <x:c r="B13624" s="86"/>
    </x:row>
    <x:row r="13625">
      <x:c r="A13625" s="85"/>
      <x:c r="B13625" s="86"/>
    </x:row>
    <x:row r="13626">
      <x:c r="A13626" s="85"/>
      <x:c r="B13626" s="86"/>
    </x:row>
    <x:row r="13627">
      <x:c r="A13627" s="85"/>
      <x:c r="B13627" s="86"/>
    </x:row>
    <x:row r="13628">
      <x:c r="A13628" s="85"/>
      <x:c r="B13628" s="86"/>
    </x:row>
    <x:row r="13629">
      <x:c r="A13629" s="85"/>
      <x:c r="B13629" s="86"/>
    </x:row>
    <x:row r="13630">
      <x:c r="A13630" s="85"/>
      <x:c r="B13630" s="86"/>
    </x:row>
    <x:row r="13631">
      <x:c r="A13631" s="85"/>
      <x:c r="B13631" s="86"/>
    </x:row>
    <x:row r="13632">
      <x:c r="A13632" s="85"/>
      <x:c r="B13632" s="86"/>
    </x:row>
    <x:row r="13633">
      <x:c r="A13633" s="85"/>
      <x:c r="B13633" s="86"/>
    </x:row>
    <x:row r="13634">
      <x:c r="A13634" s="85"/>
      <x:c r="B13634" s="86"/>
    </x:row>
    <x:row r="13635">
      <x:c r="A13635" s="85"/>
      <x:c r="B13635" s="86"/>
    </x:row>
    <x:row r="13636">
      <x:c r="A13636" s="85"/>
      <x:c r="B13636" s="86"/>
    </x:row>
    <x:row r="13637">
      <x:c r="A13637" s="85"/>
      <x:c r="B13637" s="86"/>
    </x:row>
    <x:row r="13638">
      <x:c r="A13638" s="85"/>
      <x:c r="B13638" s="86"/>
    </x:row>
    <x:row r="13639">
      <x:c r="A13639" s="85"/>
      <x:c r="B13639" s="86"/>
    </x:row>
    <x:row r="13640">
      <x:c r="A13640" s="85"/>
      <x:c r="B13640" s="86"/>
    </x:row>
    <x:row r="13641">
      <x:c r="A13641" s="85"/>
      <x:c r="B13641" s="86"/>
    </x:row>
    <x:row r="13642">
      <x:c r="A13642" s="85"/>
      <x:c r="B13642" s="86"/>
    </x:row>
    <x:row r="13643">
      <x:c r="A13643" s="85"/>
      <x:c r="B13643" s="86"/>
    </x:row>
    <x:row r="13644">
      <x:c r="A13644" s="85"/>
      <x:c r="B13644" s="86"/>
    </x:row>
    <x:row r="13645">
      <x:c r="A13645" s="85"/>
      <x:c r="B13645" s="86"/>
    </x:row>
    <x:row r="13646">
      <x:c r="A13646" s="85"/>
      <x:c r="B13646" s="86"/>
    </x:row>
    <x:row r="13647">
      <x:c r="A13647" s="85"/>
      <x:c r="B13647" s="86"/>
    </x:row>
    <x:row r="13648">
      <x:c r="A13648" s="85"/>
      <x:c r="B13648" s="86"/>
    </x:row>
    <x:row r="13649">
      <x:c r="A13649" s="85"/>
      <x:c r="B13649" s="86"/>
    </x:row>
    <x:row r="13650">
      <x:c r="A13650" s="85"/>
      <x:c r="B13650" s="86"/>
    </x:row>
    <x:row r="13651">
      <x:c r="A13651" s="85"/>
      <x:c r="B13651" s="86"/>
    </x:row>
    <x:row r="13652">
      <x:c r="A13652" s="85"/>
      <x:c r="B13652" s="86"/>
    </x:row>
    <x:row r="13653">
      <x:c r="A13653" s="85"/>
      <x:c r="B13653" s="86"/>
    </x:row>
    <x:row r="13654">
      <x:c r="A13654" s="85"/>
      <x:c r="B13654" s="86"/>
    </x:row>
    <x:row r="13655">
      <x:c r="A13655" s="85"/>
      <x:c r="B13655" s="86"/>
    </x:row>
    <x:row r="13656">
      <x:c r="A13656" s="85"/>
      <x:c r="B13656" s="86"/>
    </x:row>
    <x:row r="13657">
      <x:c r="A13657" s="85"/>
      <x:c r="B13657" s="86"/>
    </x:row>
    <x:row r="13658">
      <x:c r="A13658" s="85"/>
      <x:c r="B13658" s="86"/>
    </x:row>
    <x:row r="13659">
      <x:c r="A13659" s="85"/>
      <x:c r="B13659" s="86"/>
    </x:row>
    <x:row r="13660">
      <x:c r="A13660" s="85"/>
      <x:c r="B13660" s="86"/>
    </x:row>
    <x:row r="13661">
      <x:c r="A13661" s="85"/>
      <x:c r="B13661" s="86"/>
    </x:row>
    <x:row r="13662">
      <x:c r="A13662" s="85"/>
      <x:c r="B13662" s="86"/>
    </x:row>
    <x:row r="13663">
      <x:c r="A13663" s="85"/>
      <x:c r="B13663" s="86"/>
    </x:row>
    <x:row r="13664">
      <x:c r="A13664" s="85"/>
      <x:c r="B13664" s="86"/>
    </x:row>
    <x:row r="13665">
      <x:c r="A13665" s="85"/>
      <x:c r="B13665" s="86"/>
    </x:row>
    <x:row r="13666">
      <x:c r="A13666" s="85"/>
      <x:c r="B13666" s="86"/>
    </x:row>
    <x:row r="13667">
      <x:c r="A13667" s="85"/>
      <x:c r="B13667" s="86"/>
    </x:row>
    <x:row r="13668">
      <x:c r="A13668" s="85"/>
      <x:c r="B13668" s="86"/>
    </x:row>
    <x:row r="13669">
      <x:c r="A13669" s="85"/>
      <x:c r="B13669" s="86"/>
    </x:row>
    <x:row r="13670">
      <x:c r="A13670" s="85"/>
      <x:c r="B13670" s="86"/>
    </x:row>
    <x:row r="13671">
      <x:c r="A13671" s="85"/>
      <x:c r="B13671" s="86"/>
    </x:row>
    <x:row r="13672">
      <x:c r="A13672" s="85"/>
      <x:c r="B13672" s="86"/>
    </x:row>
    <x:row r="13673">
      <x:c r="A13673" s="85"/>
      <x:c r="B13673" s="86"/>
    </x:row>
    <x:row r="13674">
      <x:c r="A13674" s="85"/>
      <x:c r="B13674" s="86"/>
    </x:row>
    <x:row r="13675">
      <x:c r="A13675" s="85"/>
      <x:c r="B13675" s="86"/>
    </x:row>
    <x:row r="13676">
      <x:c r="A13676" s="85"/>
      <x:c r="B13676" s="86"/>
    </x:row>
    <x:row r="13677">
      <x:c r="A13677" s="85"/>
      <x:c r="B13677" s="86"/>
    </x:row>
    <x:row r="13678">
      <x:c r="A13678" s="85"/>
      <x:c r="B13678" s="86"/>
    </x:row>
    <x:row r="13679">
      <x:c r="A13679" s="85"/>
      <x:c r="B13679" s="86"/>
    </x:row>
    <x:row r="13680">
      <x:c r="A13680" s="85"/>
      <x:c r="B13680" s="86"/>
    </x:row>
    <x:row r="13681">
      <x:c r="A13681" s="85"/>
      <x:c r="B13681" s="86"/>
    </x:row>
    <x:row r="13682">
      <x:c r="A13682" s="85"/>
      <x:c r="B13682" s="86"/>
    </x:row>
    <x:row r="13683">
      <x:c r="A13683" s="85"/>
      <x:c r="B13683" s="86"/>
    </x:row>
    <x:row r="13684">
      <x:c r="A13684" s="85"/>
      <x:c r="B13684" s="86"/>
    </x:row>
    <x:row r="13685">
      <x:c r="A13685" s="85"/>
      <x:c r="B13685" s="86"/>
    </x:row>
    <x:row r="13686">
      <x:c r="A13686" s="85"/>
      <x:c r="B13686" s="86"/>
    </x:row>
    <x:row r="13687">
      <x:c r="A13687" s="85"/>
      <x:c r="B13687" s="86"/>
    </x:row>
    <x:row r="13688">
      <x:c r="A13688" s="85"/>
      <x:c r="B13688" s="86"/>
    </x:row>
    <x:row r="13689">
      <x:c r="A13689" s="85"/>
      <x:c r="B13689" s="86"/>
    </x:row>
    <x:row r="13690">
      <x:c r="A13690" s="85"/>
      <x:c r="B13690" s="86"/>
    </x:row>
    <x:row r="13691">
      <x:c r="A13691" s="85"/>
      <x:c r="B13691" s="86"/>
    </x:row>
    <x:row r="13692">
      <x:c r="A13692" s="85"/>
      <x:c r="B13692" s="86"/>
    </x:row>
    <x:row r="13693">
      <x:c r="A13693" s="85"/>
      <x:c r="B13693" s="86"/>
    </x:row>
    <x:row r="13694">
      <x:c r="A13694" s="85"/>
      <x:c r="B13694" s="86"/>
    </x:row>
    <x:row r="13695">
      <x:c r="A13695" s="85"/>
      <x:c r="B13695" s="86"/>
    </x:row>
    <x:row r="13696">
      <x:c r="A13696" s="85"/>
      <x:c r="B13696" s="86"/>
    </x:row>
    <x:row r="13697">
      <x:c r="A13697" s="85"/>
      <x:c r="B13697" s="86"/>
    </x:row>
    <x:row r="13698">
      <x:c r="A13698" s="85"/>
      <x:c r="B13698" s="86"/>
    </x:row>
    <x:row r="13699">
      <x:c r="A13699" s="85"/>
      <x:c r="B13699" s="86"/>
    </x:row>
    <x:row r="13700">
      <x:c r="A13700" s="85"/>
      <x:c r="B13700" s="86"/>
    </x:row>
    <x:row r="13701">
      <x:c r="A13701" s="85"/>
      <x:c r="B13701" s="86"/>
    </x:row>
    <x:row r="13702">
      <x:c r="A13702" s="85"/>
      <x:c r="B13702" s="86"/>
    </x:row>
    <x:row r="13703">
      <x:c r="A13703" s="85"/>
      <x:c r="B13703" s="86"/>
    </x:row>
    <x:row r="13704">
      <x:c r="A13704" s="85"/>
      <x:c r="B13704" s="86"/>
    </x:row>
    <x:row r="13705">
      <x:c r="A13705" s="85"/>
      <x:c r="B13705" s="86"/>
    </x:row>
    <x:row r="13706">
      <x:c r="A13706" s="85"/>
      <x:c r="B13706" s="86"/>
    </x:row>
    <x:row r="13707">
      <x:c r="A13707" s="85"/>
      <x:c r="B13707" s="86"/>
    </x:row>
    <x:row r="13708">
      <x:c r="A13708" s="85"/>
      <x:c r="B13708" s="86"/>
    </x:row>
    <x:row r="13709">
      <x:c r="A13709" s="85"/>
      <x:c r="B13709" s="86"/>
    </x:row>
    <x:row r="13710">
      <x:c r="A13710" s="85"/>
      <x:c r="B13710" s="86"/>
    </x:row>
    <x:row r="13711">
      <x:c r="A13711" s="85"/>
      <x:c r="B13711" s="86"/>
    </x:row>
    <x:row r="13712">
      <x:c r="A13712" s="85"/>
      <x:c r="B13712" s="86"/>
    </x:row>
    <x:row r="13713">
      <x:c r="A13713" s="85"/>
      <x:c r="B13713" s="86"/>
    </x:row>
    <x:row r="13714">
      <x:c r="A13714" s="85"/>
      <x:c r="B13714" s="86"/>
    </x:row>
    <x:row r="13715">
      <x:c r="A13715" s="85"/>
      <x:c r="B13715" s="86"/>
    </x:row>
    <x:row r="13716">
      <x:c r="A13716" s="85"/>
      <x:c r="B13716" s="86"/>
    </x:row>
    <x:row r="13717">
      <x:c r="A13717" s="85"/>
      <x:c r="B13717" s="86"/>
    </x:row>
    <x:row r="13718">
      <x:c r="A13718" s="85"/>
      <x:c r="B13718" s="86"/>
    </x:row>
    <x:row r="13719">
      <x:c r="A13719" s="85"/>
      <x:c r="B13719" s="86"/>
    </x:row>
    <x:row r="13720">
      <x:c r="A13720" s="85"/>
      <x:c r="B13720" s="86"/>
    </x:row>
    <x:row r="13721">
      <x:c r="A13721" s="85"/>
      <x:c r="B13721" s="86"/>
    </x:row>
    <x:row r="13722">
      <x:c r="A13722" s="85"/>
      <x:c r="B13722" s="86"/>
    </x:row>
    <x:row r="13723">
      <x:c r="A13723" s="85"/>
      <x:c r="B13723" s="86"/>
    </x:row>
    <x:row r="13724">
      <x:c r="A13724" s="85"/>
      <x:c r="B13724" s="86"/>
    </x:row>
    <x:row r="13725">
      <x:c r="A13725" s="85"/>
      <x:c r="B13725" s="86"/>
    </x:row>
    <x:row r="13726">
      <x:c r="A13726" s="85"/>
      <x:c r="B13726" s="86"/>
    </x:row>
    <x:row r="13727">
      <x:c r="A13727" s="85"/>
      <x:c r="B13727" s="86"/>
    </x:row>
    <x:row r="13728">
      <x:c r="A13728" s="85"/>
      <x:c r="B13728" s="86"/>
    </x:row>
    <x:row r="13729">
      <x:c r="A13729" s="85"/>
      <x:c r="B13729" s="86"/>
    </x:row>
    <x:row r="13730">
      <x:c r="A13730" s="85"/>
      <x:c r="B13730" s="86"/>
    </x:row>
    <x:row r="13731">
      <x:c r="A13731" s="85"/>
      <x:c r="B13731" s="86"/>
    </x:row>
    <x:row r="13732">
      <x:c r="A13732" s="85"/>
      <x:c r="B13732" s="86"/>
    </x:row>
    <x:row r="13733">
      <x:c r="A13733" s="85"/>
      <x:c r="B13733" s="86"/>
    </x:row>
    <x:row r="13734">
      <x:c r="A13734" s="85"/>
      <x:c r="B13734" s="86"/>
    </x:row>
    <x:row r="13735">
      <x:c r="A13735" s="85"/>
      <x:c r="B13735" s="86"/>
    </x:row>
    <x:row r="13736">
      <x:c r="A13736" s="85"/>
      <x:c r="B13736" s="86"/>
    </x:row>
    <x:row r="13737">
      <x:c r="A13737" s="85"/>
      <x:c r="B13737" s="86"/>
    </x:row>
    <x:row r="13738">
      <x:c r="A13738" s="85"/>
      <x:c r="B13738" s="86"/>
    </x:row>
    <x:row r="13739">
      <x:c r="A13739" s="85"/>
      <x:c r="B13739" s="86"/>
    </x:row>
    <x:row r="13740">
      <x:c r="A13740" s="85"/>
      <x:c r="B13740" s="86"/>
    </x:row>
    <x:row r="13741">
      <x:c r="A13741" s="85"/>
      <x:c r="B13741" s="86"/>
    </x:row>
    <x:row r="13742">
      <x:c r="A13742" s="85"/>
      <x:c r="B13742" s="86"/>
    </x:row>
    <x:row r="13743">
      <x:c r="A13743" s="85"/>
      <x:c r="B13743" s="86"/>
    </x:row>
    <x:row r="13744">
      <x:c r="A13744" s="85"/>
      <x:c r="B13744" s="86"/>
    </x:row>
    <x:row r="13745">
      <x:c r="A13745" s="85"/>
      <x:c r="B13745" s="86"/>
    </x:row>
    <x:row r="13746">
      <x:c r="A13746" s="85"/>
      <x:c r="B13746" s="86"/>
    </x:row>
    <x:row r="13747">
      <x:c r="A13747" s="85"/>
      <x:c r="B13747" s="86"/>
    </x:row>
    <x:row r="13748">
      <x:c r="A13748" s="85"/>
      <x:c r="B13748" s="86"/>
    </x:row>
    <x:row r="13749">
      <x:c r="A13749" s="85"/>
      <x:c r="B13749" s="86"/>
    </x:row>
    <x:row r="13750">
      <x:c r="A13750" s="85"/>
      <x:c r="B13750" s="86"/>
    </x:row>
    <x:row r="13751">
      <x:c r="A13751" s="85"/>
      <x:c r="B13751" s="86"/>
    </x:row>
    <x:row r="13752">
      <x:c r="A13752" s="85"/>
      <x:c r="B13752" s="86"/>
    </x:row>
    <x:row r="13753">
      <x:c r="A13753" s="85"/>
      <x:c r="B13753" s="86"/>
    </x:row>
    <x:row r="13754">
      <x:c r="A13754" s="85"/>
      <x:c r="B13754" s="86"/>
    </x:row>
    <x:row r="13755">
      <x:c r="A13755" s="85"/>
      <x:c r="B13755" s="86"/>
    </x:row>
    <x:row r="13756">
      <x:c r="A13756" s="85"/>
      <x:c r="B13756" s="86"/>
    </x:row>
    <x:row r="13757">
      <x:c r="A13757" s="85"/>
      <x:c r="B13757" s="86"/>
    </x:row>
    <x:row r="13758">
      <x:c r="A13758" s="85"/>
      <x:c r="B13758" s="86"/>
    </x:row>
    <x:row r="13759">
      <x:c r="A13759" s="85"/>
      <x:c r="B13759" s="86"/>
    </x:row>
    <x:row r="13760">
      <x:c r="A13760" s="85"/>
      <x:c r="B13760" s="86"/>
    </x:row>
    <x:row r="13761">
      <x:c r="A13761" s="85"/>
      <x:c r="B13761" s="86"/>
    </x:row>
    <x:row r="13762">
      <x:c r="A13762" s="85"/>
      <x:c r="B13762" s="86"/>
    </x:row>
    <x:row r="13763">
      <x:c r="A13763" s="85"/>
      <x:c r="B13763" s="86"/>
    </x:row>
    <x:row r="13764">
      <x:c r="A13764" s="85"/>
      <x:c r="B13764" s="86"/>
    </x:row>
    <x:row r="13765">
      <x:c r="A13765" s="85"/>
      <x:c r="B13765" s="86"/>
    </x:row>
    <x:row r="13766">
      <x:c r="A13766" s="85"/>
      <x:c r="B13766" s="86"/>
    </x:row>
    <x:row r="13767">
      <x:c r="A13767" s="85"/>
      <x:c r="B13767" s="86"/>
    </x:row>
    <x:row r="13768">
      <x:c r="A13768" s="85"/>
      <x:c r="B13768" s="86"/>
    </x:row>
    <x:row r="13769">
      <x:c r="A13769" s="85"/>
      <x:c r="B13769" s="86"/>
    </x:row>
    <x:row r="13770">
      <x:c r="A13770" s="85"/>
      <x:c r="B13770" s="86"/>
    </x:row>
    <x:row r="13771">
      <x:c r="A13771" s="85"/>
      <x:c r="B13771" s="86"/>
    </x:row>
    <x:row r="13772">
      <x:c r="A13772" s="85"/>
      <x:c r="B13772" s="86"/>
    </x:row>
    <x:row r="13773">
      <x:c r="A13773" s="85"/>
      <x:c r="B13773" s="86"/>
    </x:row>
    <x:row r="13774">
      <x:c r="A13774" s="85"/>
      <x:c r="B13774" s="86"/>
    </x:row>
    <x:row r="13775">
      <x:c r="A13775" s="85"/>
      <x:c r="B13775" s="86"/>
    </x:row>
    <x:row r="13776">
      <x:c r="A13776" s="85"/>
      <x:c r="B13776" s="86"/>
    </x:row>
    <x:row r="13777">
      <x:c r="A13777" s="85"/>
      <x:c r="B13777" s="86"/>
    </x:row>
    <x:row r="13778">
      <x:c r="A13778" s="85"/>
      <x:c r="B13778" s="86"/>
    </x:row>
    <x:row r="13779">
      <x:c r="A13779" s="85"/>
      <x:c r="B13779" s="86"/>
    </x:row>
    <x:row r="13780">
      <x:c r="A13780" s="85"/>
      <x:c r="B13780" s="86"/>
    </x:row>
    <x:row r="13781">
      <x:c r="A13781" s="85"/>
      <x:c r="B13781" s="86"/>
    </x:row>
    <x:row r="13782">
      <x:c r="A13782" s="85"/>
      <x:c r="B13782" s="86"/>
    </x:row>
    <x:row r="13783">
      <x:c r="A13783" s="85"/>
      <x:c r="B13783" s="86"/>
    </x:row>
    <x:row r="13784">
      <x:c r="A13784" s="85"/>
      <x:c r="B13784" s="86"/>
    </x:row>
    <x:row r="13785">
      <x:c r="A13785" s="85"/>
      <x:c r="B13785" s="86"/>
    </x:row>
    <x:row r="13786">
      <x:c r="A13786" s="85"/>
      <x:c r="B13786" s="86"/>
    </x:row>
    <x:row r="13787">
      <x:c r="A13787" s="85"/>
      <x:c r="B13787" s="86"/>
    </x:row>
    <x:row r="13788">
      <x:c r="A13788" s="85"/>
      <x:c r="B13788" s="86"/>
    </x:row>
    <x:row r="13789">
      <x:c r="A13789" s="85"/>
      <x:c r="B13789" s="86"/>
    </x:row>
    <x:row r="13790">
      <x:c r="A13790" s="85"/>
      <x:c r="B13790" s="86"/>
    </x:row>
    <x:row r="13791">
      <x:c r="A13791" s="85"/>
      <x:c r="B13791" s="86"/>
    </x:row>
    <x:row r="13792">
      <x:c r="A13792" s="85"/>
      <x:c r="B13792" s="86"/>
    </x:row>
    <x:row r="13793">
      <x:c r="A13793" s="85"/>
      <x:c r="B13793" s="86"/>
    </x:row>
    <x:row r="13794">
      <x:c r="A13794" s="85"/>
      <x:c r="B13794" s="86"/>
    </x:row>
    <x:row r="13795">
      <x:c r="A13795" s="85"/>
      <x:c r="B13795" s="86"/>
    </x:row>
    <x:row r="13796">
      <x:c r="A13796" s="85"/>
      <x:c r="B13796" s="86"/>
    </x:row>
    <x:row r="13797">
      <x:c r="A13797" s="85"/>
      <x:c r="B13797" s="86"/>
    </x:row>
    <x:row r="13798">
      <x:c r="A13798" s="85"/>
      <x:c r="B13798" s="86"/>
    </x:row>
    <x:row r="13799">
      <x:c r="A13799" s="85"/>
      <x:c r="B13799" s="86"/>
    </x:row>
    <x:row r="13800">
      <x:c r="A13800" s="85"/>
      <x:c r="B13800" s="86"/>
    </x:row>
    <x:row r="13801">
      <x:c r="A13801" s="85"/>
      <x:c r="B13801" s="86"/>
    </x:row>
    <x:row r="13802">
      <x:c r="A13802" s="85"/>
      <x:c r="B13802" s="86"/>
    </x:row>
    <x:row r="13803">
      <x:c r="A13803" s="85"/>
      <x:c r="B13803" s="86"/>
    </x:row>
    <x:row r="13804">
      <x:c r="A13804" s="85"/>
      <x:c r="B13804" s="86"/>
    </x:row>
    <x:row r="13805">
      <x:c r="A13805" s="85"/>
      <x:c r="B13805" s="86"/>
    </x:row>
    <x:row r="13806">
      <x:c r="A13806" s="85"/>
      <x:c r="B13806" s="86"/>
    </x:row>
    <x:row r="13807">
      <x:c r="A13807" s="85"/>
      <x:c r="B13807" s="86"/>
    </x:row>
    <x:row r="13808">
      <x:c r="A13808" s="85"/>
      <x:c r="B13808" s="86"/>
    </x:row>
    <x:row r="13809">
      <x:c r="A13809" s="85"/>
      <x:c r="B13809" s="86"/>
    </x:row>
    <x:row r="13810">
      <x:c r="A13810" s="85"/>
      <x:c r="B13810" s="86"/>
    </x:row>
    <x:row r="13811">
      <x:c r="A13811" s="85"/>
      <x:c r="B13811" s="86"/>
    </x:row>
    <x:row r="13812">
      <x:c r="A13812" s="85"/>
      <x:c r="B13812" s="86"/>
    </x:row>
    <x:row r="13813">
      <x:c r="A13813" s="85"/>
      <x:c r="B13813" s="86"/>
    </x:row>
    <x:row r="13814">
      <x:c r="A13814" s="85"/>
      <x:c r="B13814" s="86"/>
    </x:row>
    <x:row r="13815">
      <x:c r="A13815" s="85"/>
      <x:c r="B13815" s="86"/>
    </x:row>
    <x:row r="13816">
      <x:c r="A13816" s="85"/>
      <x:c r="B13816" s="86"/>
    </x:row>
    <x:row r="13817">
      <x:c r="A13817" s="85"/>
      <x:c r="B13817" s="86"/>
    </x:row>
    <x:row r="13818">
      <x:c r="A13818" s="85"/>
      <x:c r="B13818" s="86"/>
    </x:row>
    <x:row r="13819">
      <x:c r="A13819" s="85"/>
      <x:c r="B13819" s="86"/>
    </x:row>
    <x:row r="13820">
      <x:c r="A13820" s="85"/>
      <x:c r="B13820" s="86"/>
    </x:row>
    <x:row r="13821">
      <x:c r="A13821" s="85"/>
      <x:c r="B13821" s="86"/>
    </x:row>
    <x:row r="13822">
      <x:c r="A13822" s="85"/>
      <x:c r="B13822" s="86"/>
    </x:row>
    <x:row r="13823">
      <x:c r="A13823" s="85"/>
      <x:c r="B13823" s="86"/>
    </x:row>
    <x:row r="13824">
      <x:c r="A13824" s="85"/>
      <x:c r="B13824" s="86"/>
    </x:row>
    <x:row r="13825">
      <x:c r="A13825" s="85"/>
      <x:c r="B13825" s="86"/>
    </x:row>
    <x:row r="13826">
      <x:c r="A13826" s="85"/>
      <x:c r="B13826" s="86"/>
    </x:row>
    <x:row r="13827">
      <x:c r="A13827" s="85"/>
      <x:c r="B13827" s="86"/>
    </x:row>
    <x:row r="13828">
      <x:c r="A13828" s="85"/>
      <x:c r="B13828" s="86"/>
    </x:row>
    <x:row r="13829">
      <x:c r="A13829" s="85"/>
      <x:c r="B13829" s="86"/>
    </x:row>
    <x:row r="13830">
      <x:c r="A13830" s="85"/>
      <x:c r="B13830" s="86"/>
    </x:row>
    <x:row r="13831">
      <x:c r="A13831" s="85"/>
      <x:c r="B13831" s="86"/>
    </x:row>
    <x:row r="13832">
      <x:c r="A13832" s="85"/>
      <x:c r="B13832" s="86"/>
    </x:row>
    <x:row r="13833">
      <x:c r="A13833" s="85"/>
      <x:c r="B13833" s="86"/>
    </x:row>
    <x:row r="13834">
      <x:c r="A13834" s="85"/>
      <x:c r="B13834" s="86"/>
    </x:row>
    <x:row r="13835">
      <x:c r="A13835" s="85"/>
      <x:c r="B13835" s="86"/>
    </x:row>
    <x:row r="13836">
      <x:c r="A13836" s="85"/>
      <x:c r="B13836" s="86"/>
    </x:row>
    <x:row r="13837">
      <x:c r="A13837" s="85"/>
      <x:c r="B13837" s="86"/>
    </x:row>
    <x:row r="13838">
      <x:c r="A13838" s="85"/>
      <x:c r="B13838" s="86"/>
    </x:row>
    <x:row r="13839">
      <x:c r="A13839" s="85"/>
      <x:c r="B13839" s="86"/>
    </x:row>
    <x:row r="13840">
      <x:c r="A13840" s="85"/>
      <x:c r="B13840" s="86"/>
    </x:row>
    <x:row r="13841">
      <x:c r="A13841" s="85"/>
      <x:c r="B13841" s="86"/>
    </x:row>
    <x:row r="13842">
      <x:c r="A13842" s="85"/>
      <x:c r="B13842" s="86"/>
    </x:row>
    <x:row r="13843">
      <x:c r="A13843" s="85"/>
      <x:c r="B13843" s="86"/>
    </x:row>
    <x:row r="13844">
      <x:c r="A13844" s="85"/>
      <x:c r="B13844" s="86"/>
    </x:row>
    <x:row r="13845">
      <x:c r="A13845" s="85"/>
      <x:c r="B13845" s="86"/>
    </x:row>
    <x:row r="13846">
      <x:c r="A13846" s="85"/>
      <x:c r="B13846" s="86"/>
    </x:row>
    <x:row r="13847">
      <x:c r="A13847" s="85"/>
      <x:c r="B13847" s="86"/>
    </x:row>
    <x:row r="13848">
      <x:c r="A13848" s="85"/>
      <x:c r="B13848" s="86"/>
    </x:row>
    <x:row r="13849">
      <x:c r="A13849" s="85"/>
      <x:c r="B13849" s="86"/>
    </x:row>
    <x:row r="13850">
      <x:c r="A13850" s="85"/>
      <x:c r="B13850" s="86"/>
    </x:row>
    <x:row r="13851">
      <x:c r="A13851" s="85"/>
      <x:c r="B13851" s="86"/>
    </x:row>
    <x:row r="13852">
      <x:c r="A13852" s="85"/>
      <x:c r="B13852" s="86"/>
    </x:row>
    <x:row r="13853">
      <x:c r="A13853" s="85"/>
      <x:c r="B13853" s="86"/>
    </x:row>
    <x:row r="13854">
      <x:c r="A13854" s="85"/>
      <x:c r="B13854" s="86"/>
    </x:row>
    <x:row r="13855">
      <x:c r="A13855" s="85"/>
      <x:c r="B13855" s="86"/>
    </x:row>
    <x:row r="13856">
      <x:c r="A13856" s="85"/>
      <x:c r="B13856" s="86"/>
    </x:row>
    <x:row r="13857">
      <x:c r="A13857" s="85"/>
      <x:c r="B13857" s="86"/>
    </x:row>
    <x:row r="13858">
      <x:c r="A13858" s="85"/>
      <x:c r="B13858" s="86"/>
    </x:row>
    <x:row r="13859">
      <x:c r="A13859" s="85"/>
      <x:c r="B13859" s="86"/>
    </x:row>
    <x:row r="13860">
      <x:c r="A13860" s="85"/>
      <x:c r="B13860" s="86"/>
    </x:row>
    <x:row r="13861">
      <x:c r="A13861" s="85"/>
      <x:c r="B13861" s="86"/>
    </x:row>
    <x:row r="13862">
      <x:c r="A13862" s="85"/>
      <x:c r="B13862" s="86"/>
    </x:row>
    <x:row r="13863">
      <x:c r="A13863" s="85"/>
      <x:c r="B13863" s="86"/>
    </x:row>
    <x:row r="13864">
      <x:c r="A13864" s="85"/>
      <x:c r="B13864" s="86"/>
    </x:row>
    <x:row r="13865">
      <x:c r="A13865" s="85"/>
      <x:c r="B13865" s="86"/>
    </x:row>
    <x:row r="13866">
      <x:c r="A13866" s="85"/>
      <x:c r="B13866" s="86"/>
    </x:row>
    <x:row r="13867">
      <x:c r="A13867" s="85"/>
      <x:c r="B13867" s="86"/>
    </x:row>
    <x:row r="13868">
      <x:c r="A13868" s="85"/>
      <x:c r="B13868" s="86"/>
    </x:row>
    <x:row r="13869">
      <x:c r="A13869" s="85"/>
      <x:c r="B13869" s="86"/>
    </x:row>
    <x:row r="13870">
      <x:c r="A13870" s="85"/>
      <x:c r="B13870" s="86"/>
    </x:row>
    <x:row r="13871">
      <x:c r="A13871" s="85"/>
      <x:c r="B13871" s="86"/>
    </x:row>
    <x:row r="13872">
      <x:c r="A13872" s="85"/>
      <x:c r="B13872" s="86"/>
    </x:row>
    <x:row r="13873">
      <x:c r="A13873" s="85"/>
      <x:c r="B13873" s="86"/>
    </x:row>
    <x:row r="13874">
      <x:c r="A13874" s="85"/>
      <x:c r="B13874" s="86"/>
    </x:row>
    <x:row r="13875">
      <x:c r="A13875" s="85"/>
      <x:c r="B13875" s="86"/>
    </x:row>
    <x:row r="13876">
      <x:c r="A13876" s="85"/>
      <x:c r="B13876" s="86"/>
    </x:row>
    <x:row r="13877">
      <x:c r="A13877" s="85"/>
      <x:c r="B13877" s="86"/>
    </x:row>
    <x:row r="13878">
      <x:c r="A13878" s="85"/>
      <x:c r="B13878" s="86"/>
    </x:row>
    <x:row r="13879">
      <x:c r="A13879" s="85"/>
      <x:c r="B13879" s="86"/>
    </x:row>
    <x:row r="13880">
      <x:c r="A13880" s="85"/>
      <x:c r="B13880" s="86"/>
    </x:row>
    <x:row r="13881">
      <x:c r="A13881" s="85"/>
      <x:c r="B13881" s="86"/>
    </x:row>
    <x:row r="13882">
      <x:c r="A13882" s="85"/>
      <x:c r="B13882" s="86"/>
    </x:row>
    <x:row r="13883">
      <x:c r="A13883" s="85"/>
      <x:c r="B13883" s="86"/>
    </x:row>
    <x:row r="13884">
      <x:c r="A13884" s="85"/>
      <x:c r="B13884" s="86"/>
    </x:row>
    <x:row r="13885">
      <x:c r="A13885" s="85"/>
      <x:c r="B13885" s="86"/>
    </x:row>
    <x:row r="13886">
      <x:c r="A13886" s="85"/>
      <x:c r="B13886" s="86"/>
    </x:row>
    <x:row r="13887">
      <x:c r="A13887" s="85"/>
      <x:c r="B13887" s="86"/>
    </x:row>
    <x:row r="13888">
      <x:c r="A13888" s="85"/>
      <x:c r="B13888" s="86"/>
    </x:row>
    <x:row r="13889">
      <x:c r="A13889" s="85"/>
      <x:c r="B13889" s="86"/>
    </x:row>
    <x:row r="13890">
      <x:c r="A13890" s="85"/>
      <x:c r="B13890" s="86"/>
    </x:row>
    <x:row r="13891">
      <x:c r="A13891" s="85"/>
      <x:c r="B13891" s="86"/>
    </x:row>
    <x:row r="13892">
      <x:c r="A13892" s="85"/>
      <x:c r="B13892" s="86"/>
    </x:row>
    <x:row r="13893">
      <x:c r="A13893" s="85"/>
      <x:c r="B13893" s="86"/>
    </x:row>
    <x:row r="13894">
      <x:c r="A13894" s="85"/>
      <x:c r="B13894" s="86"/>
    </x:row>
    <x:row r="13895">
      <x:c r="A13895" s="85"/>
      <x:c r="B13895" s="86"/>
    </x:row>
    <x:row r="13896">
      <x:c r="A13896" s="85"/>
      <x:c r="B13896" s="86"/>
    </x:row>
    <x:row r="13897">
      <x:c r="A13897" s="85"/>
      <x:c r="B13897" s="86"/>
    </x:row>
    <x:row r="13898">
      <x:c r="A13898" s="85"/>
      <x:c r="B13898" s="86"/>
    </x:row>
    <x:row r="13899">
      <x:c r="A13899" s="85"/>
      <x:c r="B13899" s="86"/>
    </x:row>
    <x:row r="13900">
      <x:c r="A13900" s="85"/>
      <x:c r="B13900" s="86"/>
    </x:row>
    <x:row r="13901">
      <x:c r="A13901" s="85"/>
      <x:c r="B13901" s="86"/>
    </x:row>
    <x:row r="13902">
      <x:c r="A13902" s="85"/>
      <x:c r="B13902" s="86"/>
    </x:row>
    <x:row r="13903">
      <x:c r="A13903" s="85"/>
      <x:c r="B13903" s="86"/>
    </x:row>
    <x:row r="13904">
      <x:c r="A13904" s="85"/>
      <x:c r="B13904" s="86"/>
    </x:row>
    <x:row r="13905">
      <x:c r="A13905" s="85"/>
      <x:c r="B13905" s="86"/>
    </x:row>
    <x:row r="13906">
      <x:c r="A13906" s="85"/>
      <x:c r="B13906" s="86"/>
    </x:row>
    <x:row r="13907">
      <x:c r="A13907" s="85"/>
      <x:c r="B13907" s="86"/>
    </x:row>
    <x:row r="13908">
      <x:c r="A13908" s="85"/>
      <x:c r="B13908" s="86"/>
    </x:row>
    <x:row r="13909">
      <x:c r="A13909" s="85"/>
      <x:c r="B13909" s="86"/>
    </x:row>
    <x:row r="13910">
      <x:c r="A13910" s="85"/>
      <x:c r="B13910" s="86"/>
    </x:row>
    <x:row r="13911">
      <x:c r="A13911" s="85"/>
      <x:c r="B13911" s="86"/>
    </x:row>
    <x:row r="13912">
      <x:c r="A13912" s="85"/>
      <x:c r="B13912" s="86"/>
    </x:row>
    <x:row r="13913">
      <x:c r="A13913" s="85"/>
      <x:c r="B13913" s="86"/>
    </x:row>
    <x:row r="13914">
      <x:c r="A13914" s="85"/>
      <x:c r="B13914" s="86"/>
    </x:row>
    <x:row r="13915">
      <x:c r="A13915" s="85"/>
      <x:c r="B13915" s="86"/>
    </x:row>
    <x:row r="13916">
      <x:c r="A13916" s="85"/>
      <x:c r="B13916" s="86"/>
    </x:row>
    <x:row r="13917">
      <x:c r="A13917" s="85"/>
      <x:c r="B13917" s="86"/>
    </x:row>
    <x:row r="13918">
      <x:c r="A13918" s="85"/>
      <x:c r="B13918" s="86"/>
    </x:row>
    <x:row r="13919">
      <x:c r="A13919" s="85"/>
      <x:c r="B13919" s="86"/>
    </x:row>
    <x:row r="13920">
      <x:c r="A13920" s="85"/>
      <x:c r="B13920" s="86"/>
    </x:row>
    <x:row r="13921">
      <x:c r="A13921" s="85"/>
      <x:c r="B13921" s="86"/>
    </x:row>
    <x:row r="13922">
      <x:c r="A13922" s="85"/>
      <x:c r="B13922" s="86"/>
    </x:row>
    <x:row r="13923">
      <x:c r="A13923" s="85"/>
      <x:c r="B13923" s="86"/>
    </x:row>
    <x:row r="13924">
      <x:c r="A13924" s="85"/>
      <x:c r="B13924" s="86"/>
    </x:row>
    <x:row r="13925">
      <x:c r="A13925" s="85"/>
      <x:c r="B13925" s="86"/>
    </x:row>
    <x:row r="13926">
      <x:c r="A13926" s="85"/>
      <x:c r="B13926" s="86"/>
    </x:row>
    <x:row r="13927">
      <x:c r="A13927" s="85"/>
      <x:c r="B13927" s="86"/>
    </x:row>
    <x:row r="13928">
      <x:c r="A13928" s="85"/>
      <x:c r="B13928" s="86"/>
    </x:row>
    <x:row r="13929">
      <x:c r="A13929" s="85"/>
      <x:c r="B13929" s="86"/>
    </x:row>
    <x:row r="13930">
      <x:c r="A13930" s="85"/>
      <x:c r="B13930" s="86"/>
    </x:row>
    <x:row r="13931">
      <x:c r="A13931" s="85"/>
      <x:c r="B13931" s="86"/>
    </x:row>
    <x:row r="13932">
      <x:c r="A13932" s="85"/>
      <x:c r="B13932" s="86"/>
    </x:row>
    <x:row r="13933">
      <x:c r="A13933" s="85"/>
      <x:c r="B13933" s="86"/>
    </x:row>
    <x:row r="13934">
      <x:c r="A13934" s="85"/>
      <x:c r="B13934" s="86"/>
    </x:row>
    <x:row r="13935">
      <x:c r="A13935" s="85"/>
      <x:c r="B13935" s="86"/>
    </x:row>
    <x:row r="13936">
      <x:c r="A13936" s="85"/>
      <x:c r="B13936" s="86"/>
    </x:row>
    <x:row r="13937">
      <x:c r="A13937" s="85"/>
      <x:c r="B13937" s="86"/>
    </x:row>
    <x:row r="13938">
      <x:c r="A13938" s="85"/>
      <x:c r="B13938" s="86"/>
    </x:row>
    <x:row r="13939">
      <x:c r="A13939" s="85"/>
      <x:c r="B13939" s="86"/>
    </x:row>
    <x:row r="13940">
      <x:c r="A13940" s="85"/>
      <x:c r="B13940" s="86"/>
    </x:row>
    <x:row r="13941">
      <x:c r="A13941" s="85"/>
      <x:c r="B13941" s="86"/>
    </x:row>
    <x:row r="13942">
      <x:c r="A13942" s="85"/>
      <x:c r="B13942" s="86"/>
    </x:row>
    <x:row r="13943">
      <x:c r="A13943" s="85"/>
      <x:c r="B13943" s="86"/>
    </x:row>
    <x:row r="13944">
      <x:c r="A13944" s="85"/>
      <x:c r="B13944" s="86"/>
    </x:row>
    <x:row r="13945">
      <x:c r="A13945" s="85"/>
      <x:c r="B13945" s="86"/>
    </x:row>
    <x:row r="13946">
      <x:c r="A13946" s="85"/>
      <x:c r="B13946" s="86"/>
    </x:row>
    <x:row r="13947">
      <x:c r="A13947" s="85"/>
      <x:c r="B13947" s="86"/>
    </x:row>
    <x:row r="13948">
      <x:c r="A13948" s="85"/>
      <x:c r="B13948" s="86"/>
    </x:row>
    <x:row r="13949">
      <x:c r="A13949" s="85"/>
      <x:c r="B13949" s="86"/>
    </x:row>
    <x:row r="13950">
      <x:c r="A13950" s="85"/>
      <x:c r="B13950" s="86"/>
    </x:row>
    <x:row r="13951">
      <x:c r="A13951" s="85"/>
      <x:c r="B13951" s="86"/>
    </x:row>
    <x:row r="13952">
      <x:c r="A13952" s="85"/>
      <x:c r="B13952" s="86"/>
    </x:row>
    <x:row r="13953">
      <x:c r="A13953" s="85"/>
      <x:c r="B13953" s="86"/>
    </x:row>
    <x:row r="13954">
      <x:c r="A13954" s="85"/>
      <x:c r="B13954" s="86"/>
    </x:row>
    <x:row r="13955">
      <x:c r="A13955" s="85"/>
      <x:c r="B13955" s="86"/>
    </x:row>
    <x:row r="13956">
      <x:c r="A13956" s="85"/>
      <x:c r="B13956" s="86"/>
    </x:row>
    <x:row r="13957">
      <x:c r="A13957" s="85"/>
      <x:c r="B13957" s="86"/>
    </x:row>
    <x:row r="13958">
      <x:c r="A13958" s="85"/>
      <x:c r="B13958" s="86"/>
    </x:row>
    <x:row r="13959">
      <x:c r="A13959" s="85"/>
      <x:c r="B13959" s="86"/>
    </x:row>
    <x:row r="13960">
      <x:c r="A13960" s="85"/>
      <x:c r="B13960" s="86"/>
    </x:row>
    <x:row r="13961">
      <x:c r="A13961" s="85"/>
      <x:c r="B13961" s="86"/>
    </x:row>
    <x:row r="13962">
      <x:c r="A13962" s="85"/>
      <x:c r="B13962" s="86"/>
    </x:row>
    <x:row r="13963">
      <x:c r="A13963" s="85"/>
      <x:c r="B13963" s="86"/>
    </x:row>
    <x:row r="13964">
      <x:c r="A13964" s="85"/>
      <x:c r="B13964" s="86"/>
    </x:row>
    <x:row r="13965">
      <x:c r="A13965" s="85"/>
      <x:c r="B13965" s="86"/>
    </x:row>
    <x:row r="13966">
      <x:c r="A13966" s="85"/>
      <x:c r="B13966" s="86"/>
    </x:row>
    <x:row r="13967">
      <x:c r="A13967" s="85"/>
      <x:c r="B13967" s="86"/>
    </x:row>
    <x:row r="13968">
      <x:c r="A13968" s="85"/>
      <x:c r="B13968" s="86"/>
    </x:row>
    <x:row r="13969">
      <x:c r="A13969" s="85"/>
      <x:c r="B13969" s="86"/>
    </x:row>
    <x:row r="13970">
      <x:c r="A13970" s="85"/>
      <x:c r="B13970" s="86"/>
    </x:row>
    <x:row r="13971">
      <x:c r="A13971" s="85"/>
      <x:c r="B13971" s="86"/>
    </x:row>
    <x:row r="13972">
      <x:c r="A13972" s="85"/>
      <x:c r="B13972" s="86"/>
    </x:row>
    <x:row r="13973">
      <x:c r="A13973" s="85"/>
      <x:c r="B13973" s="86"/>
    </x:row>
    <x:row r="13974">
      <x:c r="A13974" s="85"/>
      <x:c r="B13974" s="86"/>
    </x:row>
    <x:row r="13975">
      <x:c r="A13975" s="85"/>
      <x:c r="B13975" s="86"/>
    </x:row>
    <x:row r="13976">
      <x:c r="A13976" s="85"/>
      <x:c r="B13976" s="86"/>
    </x:row>
    <x:row r="13977">
      <x:c r="A13977" s="85"/>
      <x:c r="B13977" s="86"/>
    </x:row>
    <x:row r="13978">
      <x:c r="A13978" s="85"/>
      <x:c r="B13978" s="86"/>
    </x:row>
    <x:row r="13979">
      <x:c r="A13979" s="85"/>
      <x:c r="B13979" s="86"/>
    </x:row>
    <x:row r="13980">
      <x:c r="A13980" s="85"/>
      <x:c r="B13980" s="86"/>
    </x:row>
    <x:row r="13981">
      <x:c r="A13981" s="85"/>
      <x:c r="B13981" s="86"/>
    </x:row>
    <x:row r="13982">
      <x:c r="A13982" s="85"/>
      <x:c r="B13982" s="86"/>
    </x:row>
    <x:row r="13983">
      <x:c r="A13983" s="85"/>
      <x:c r="B13983" s="86"/>
    </x:row>
    <x:row r="13984">
      <x:c r="A13984" s="85"/>
      <x:c r="B13984" s="86"/>
    </x:row>
    <x:row r="13985">
      <x:c r="A13985" s="85"/>
      <x:c r="B13985" s="86"/>
    </x:row>
    <x:row r="13986">
      <x:c r="A13986" s="85"/>
      <x:c r="B13986" s="86"/>
    </x:row>
    <x:row r="13987">
      <x:c r="A13987" s="85"/>
      <x:c r="B13987" s="86"/>
    </x:row>
    <x:row r="13988">
      <x:c r="A13988" s="85"/>
      <x:c r="B13988" s="86"/>
    </x:row>
    <x:row r="13989">
      <x:c r="A13989" s="85"/>
      <x:c r="B13989" s="86"/>
    </x:row>
    <x:row r="13990">
      <x:c r="A13990" s="85"/>
      <x:c r="B13990" s="86"/>
    </x:row>
    <x:row r="13991">
      <x:c r="A13991" s="85"/>
      <x:c r="B13991" s="86"/>
    </x:row>
    <x:row r="13992">
      <x:c r="A13992" s="85"/>
      <x:c r="B13992" s="86"/>
    </x:row>
    <x:row r="13993">
      <x:c r="A13993" s="85"/>
      <x:c r="B13993" s="86"/>
    </x:row>
    <x:row r="13994">
      <x:c r="A13994" s="85"/>
      <x:c r="B13994" s="86"/>
    </x:row>
    <x:row r="13995">
      <x:c r="A13995" s="85"/>
      <x:c r="B13995" s="86"/>
    </x:row>
    <x:row r="13996">
      <x:c r="A13996" s="85"/>
      <x:c r="B13996" s="86"/>
    </x:row>
    <x:row r="13997">
      <x:c r="A13997" s="85"/>
      <x:c r="B13997" s="86"/>
    </x:row>
    <x:row r="13998">
      <x:c r="A13998" s="85"/>
      <x:c r="B13998" s="86"/>
    </x:row>
    <x:row r="13999">
      <x:c r="A13999" s="85"/>
      <x:c r="B13999" s="86"/>
    </x:row>
    <x:row r="14000">
      <x:c r="A14000" s="85"/>
      <x:c r="B14000" s="86"/>
    </x:row>
    <x:row r="14001">
      <x:c r="A14001" s="85"/>
      <x:c r="B14001" s="86"/>
    </x:row>
    <x:row r="14002">
      <x:c r="A14002" s="85"/>
      <x:c r="B14002" s="86"/>
    </x:row>
    <x:row r="14003">
      <x:c r="A14003" s="85"/>
      <x:c r="B14003" s="86"/>
    </x:row>
    <x:row r="14004">
      <x:c r="A14004" s="85"/>
      <x:c r="B14004" s="86"/>
    </x:row>
    <x:row r="14005">
      <x:c r="A14005" s="85"/>
      <x:c r="B14005" s="86"/>
    </x:row>
    <x:row r="14006">
      <x:c r="A14006" s="85"/>
      <x:c r="B14006" s="86"/>
    </x:row>
    <x:row r="14007">
      <x:c r="A14007" s="85"/>
      <x:c r="B14007" s="86"/>
    </x:row>
    <x:row r="14008">
      <x:c r="A14008" s="85"/>
      <x:c r="B14008" s="86"/>
    </x:row>
    <x:row r="14009">
      <x:c r="A14009" s="85"/>
      <x:c r="B14009" s="86"/>
    </x:row>
    <x:row r="14010">
      <x:c r="A14010" s="85"/>
      <x:c r="B14010" s="86"/>
    </x:row>
    <x:row r="14011">
      <x:c r="A14011" s="85"/>
      <x:c r="B14011" s="86"/>
    </x:row>
    <x:row r="14012">
      <x:c r="A14012" s="85"/>
      <x:c r="B14012" s="86"/>
    </x:row>
    <x:row r="14013">
      <x:c r="A14013" s="85"/>
      <x:c r="B14013" s="86"/>
    </x:row>
    <x:row r="14014">
      <x:c r="A14014" s="85"/>
      <x:c r="B14014" s="86"/>
    </x:row>
    <x:row r="14015">
      <x:c r="A14015" s="85"/>
      <x:c r="B14015" s="86"/>
    </x:row>
    <x:row r="14016">
      <x:c r="A14016" s="85"/>
      <x:c r="B14016" s="86"/>
    </x:row>
    <x:row r="14017">
      <x:c r="A14017" s="85"/>
      <x:c r="B14017" s="86"/>
    </x:row>
    <x:row r="14018">
      <x:c r="A14018" s="85"/>
      <x:c r="B14018" s="86"/>
    </x:row>
    <x:row r="14019">
      <x:c r="A14019" s="85"/>
      <x:c r="B14019" s="86"/>
    </x:row>
    <x:row r="14020">
      <x:c r="A14020" s="85"/>
      <x:c r="B14020" s="86"/>
    </x:row>
    <x:row r="14021">
      <x:c r="A14021" s="85"/>
      <x:c r="B14021" s="86"/>
    </x:row>
    <x:row r="14022">
      <x:c r="A14022" s="85"/>
      <x:c r="B14022" s="86"/>
    </x:row>
    <x:row r="14023">
      <x:c r="A14023" s="85"/>
      <x:c r="B14023" s="86"/>
    </x:row>
    <x:row r="14024">
      <x:c r="A14024" s="85"/>
      <x:c r="B14024" s="86"/>
    </x:row>
    <x:row r="14025">
      <x:c r="A14025" s="85"/>
      <x:c r="B14025" s="86"/>
    </x:row>
    <x:row r="14026">
      <x:c r="A14026" s="85"/>
      <x:c r="B14026" s="86"/>
    </x:row>
    <x:row r="14027">
      <x:c r="A14027" s="85"/>
      <x:c r="B14027" s="86"/>
    </x:row>
    <x:row r="14028">
      <x:c r="A14028" s="85"/>
      <x:c r="B14028" s="86"/>
    </x:row>
    <x:row r="14029">
      <x:c r="A14029" s="85"/>
      <x:c r="B14029" s="86"/>
    </x:row>
    <x:row r="14030">
      <x:c r="A14030" s="85"/>
      <x:c r="B14030" s="86"/>
    </x:row>
    <x:row r="14031">
      <x:c r="A14031" s="85"/>
      <x:c r="B14031" s="86"/>
    </x:row>
    <x:row r="14032">
      <x:c r="A14032" s="85"/>
      <x:c r="B14032" s="86"/>
    </x:row>
    <x:row r="14033">
      <x:c r="A14033" s="85"/>
      <x:c r="B14033" s="86"/>
    </x:row>
    <x:row r="14034">
      <x:c r="A14034" s="85"/>
      <x:c r="B14034" s="86"/>
    </x:row>
    <x:row r="14035">
      <x:c r="A14035" s="85"/>
      <x:c r="B14035" s="86"/>
    </x:row>
    <x:row r="14036">
      <x:c r="A14036" s="85"/>
      <x:c r="B14036" s="86"/>
    </x:row>
    <x:row r="14037">
      <x:c r="A14037" s="85"/>
      <x:c r="B14037" s="86"/>
    </x:row>
    <x:row r="14038">
      <x:c r="A14038" s="85"/>
      <x:c r="B14038" s="86"/>
    </x:row>
    <x:row r="14039">
      <x:c r="A14039" s="85"/>
      <x:c r="B14039" s="86"/>
    </x:row>
    <x:row r="14040">
      <x:c r="A14040" s="85"/>
      <x:c r="B14040" s="86"/>
    </x:row>
    <x:row r="14041">
      <x:c r="A14041" s="85"/>
      <x:c r="B14041" s="86"/>
    </x:row>
    <x:row r="14042">
      <x:c r="A14042" s="85"/>
      <x:c r="B14042" s="86"/>
    </x:row>
    <x:row r="14043">
      <x:c r="A14043" s="85"/>
      <x:c r="B14043" s="86"/>
    </x:row>
    <x:row r="14044">
      <x:c r="A14044" s="85"/>
      <x:c r="B14044" s="86"/>
    </x:row>
    <x:row r="14045">
      <x:c r="A14045" s="85"/>
      <x:c r="B14045" s="86"/>
    </x:row>
    <x:row r="14046">
      <x:c r="A14046" s="85"/>
      <x:c r="B14046" s="86"/>
    </x:row>
    <x:row r="14047">
      <x:c r="A14047" s="85"/>
      <x:c r="B14047" s="86"/>
    </x:row>
    <x:row r="14048">
      <x:c r="A14048" s="85"/>
      <x:c r="B14048" s="86"/>
    </x:row>
    <x:row r="14049">
      <x:c r="A14049" s="85"/>
      <x:c r="B14049" s="86"/>
    </x:row>
    <x:row r="14050">
      <x:c r="A14050" s="85"/>
      <x:c r="B14050" s="86"/>
    </x:row>
    <x:row r="14051">
      <x:c r="A14051" s="85"/>
      <x:c r="B14051" s="86"/>
    </x:row>
    <x:row r="14052">
      <x:c r="A14052" s="85"/>
      <x:c r="B14052" s="86"/>
    </x:row>
    <x:row r="14053">
      <x:c r="A14053" s="85"/>
      <x:c r="B14053" s="86"/>
    </x:row>
    <x:row r="14054">
      <x:c r="A14054" s="85"/>
      <x:c r="B14054" s="86"/>
    </x:row>
    <x:row r="14055">
      <x:c r="A14055" s="85"/>
      <x:c r="B14055" s="86"/>
    </x:row>
    <x:row r="14056">
      <x:c r="A14056" s="85"/>
      <x:c r="B14056" s="86"/>
    </x:row>
    <x:row r="14057">
      <x:c r="A14057" s="85"/>
      <x:c r="B14057" s="86"/>
    </x:row>
    <x:row r="14058">
      <x:c r="A14058" s="85"/>
      <x:c r="B14058" s="86"/>
    </x:row>
    <x:row r="14059">
      <x:c r="A14059" s="85"/>
      <x:c r="B14059" s="86"/>
    </x:row>
    <x:row r="14060">
      <x:c r="A14060" s="85"/>
      <x:c r="B14060" s="86"/>
    </x:row>
    <x:row r="14061">
      <x:c r="A14061" s="85"/>
      <x:c r="B14061" s="86"/>
    </x:row>
    <x:row r="14062">
      <x:c r="A14062" s="85"/>
      <x:c r="B14062" s="86"/>
    </x:row>
    <x:row r="14063">
      <x:c r="A14063" s="85"/>
      <x:c r="B14063" s="86"/>
    </x:row>
    <x:row r="14064">
      <x:c r="A14064" s="85"/>
      <x:c r="B14064" s="86"/>
    </x:row>
    <x:row r="14065">
      <x:c r="A14065" s="85"/>
      <x:c r="B14065" s="86"/>
    </x:row>
    <x:row r="14066">
      <x:c r="A14066" s="85"/>
      <x:c r="B14066" s="86"/>
    </x:row>
    <x:row r="14067">
      <x:c r="A14067" s="85"/>
      <x:c r="B14067" s="86"/>
    </x:row>
    <x:row r="14068">
      <x:c r="A14068" s="85"/>
      <x:c r="B14068" s="86"/>
    </x:row>
    <x:row r="14069">
      <x:c r="A14069" s="85"/>
      <x:c r="B14069" s="86"/>
    </x:row>
    <x:row r="14070">
      <x:c r="A14070" s="85"/>
      <x:c r="B14070" s="86"/>
    </x:row>
    <x:row r="14071">
      <x:c r="A14071" s="85"/>
      <x:c r="B14071" s="86"/>
    </x:row>
    <x:row r="14072">
      <x:c r="A14072" s="85"/>
      <x:c r="B14072" s="86"/>
    </x:row>
    <x:row r="14073">
      <x:c r="A14073" s="85"/>
      <x:c r="B14073" s="86"/>
    </x:row>
    <x:row r="14074">
      <x:c r="A14074" s="85"/>
      <x:c r="B14074" s="86"/>
    </x:row>
    <x:row r="14075">
      <x:c r="A14075" s="85"/>
      <x:c r="B14075" s="86"/>
    </x:row>
    <x:row r="14076">
      <x:c r="A14076" s="85"/>
      <x:c r="B14076" s="86"/>
    </x:row>
    <x:row r="14077">
      <x:c r="A14077" s="85"/>
      <x:c r="B14077" s="86"/>
    </x:row>
    <x:row r="14078">
      <x:c r="A14078" s="85"/>
      <x:c r="B14078" s="86"/>
    </x:row>
    <x:row r="14079">
      <x:c r="A14079" s="85"/>
      <x:c r="B14079" s="86"/>
    </x:row>
    <x:row r="14080">
      <x:c r="A14080" s="85"/>
      <x:c r="B14080" s="86"/>
    </x:row>
    <x:row r="14081">
      <x:c r="A14081" s="85"/>
      <x:c r="B14081" s="86"/>
    </x:row>
    <x:row r="14082">
      <x:c r="A14082" s="85"/>
      <x:c r="B14082" s="86"/>
    </x:row>
    <x:row r="14083">
      <x:c r="A14083" s="85"/>
      <x:c r="B14083" s="86"/>
    </x:row>
    <x:row r="14084">
      <x:c r="A14084" s="85"/>
      <x:c r="B14084" s="86"/>
    </x:row>
    <x:row r="14085">
      <x:c r="A14085" s="85"/>
      <x:c r="B14085" s="86"/>
    </x:row>
    <x:row r="14086">
      <x:c r="A14086" s="85"/>
      <x:c r="B14086" s="86"/>
    </x:row>
    <x:row r="14087">
      <x:c r="A14087" s="85"/>
      <x:c r="B14087" s="86"/>
    </x:row>
    <x:row r="14088">
      <x:c r="A14088" s="85"/>
      <x:c r="B14088" s="86"/>
    </x:row>
    <x:row r="14089">
      <x:c r="A14089" s="85"/>
      <x:c r="B14089" s="86"/>
    </x:row>
    <x:row r="14090">
      <x:c r="A14090" s="85"/>
      <x:c r="B14090" s="86"/>
    </x:row>
    <x:row r="14091">
      <x:c r="A14091" s="85"/>
      <x:c r="B14091" s="86"/>
    </x:row>
    <x:row r="14092">
      <x:c r="A14092" s="85"/>
      <x:c r="B14092" s="86"/>
    </x:row>
    <x:row r="14093">
      <x:c r="A14093" s="85"/>
      <x:c r="B14093" s="86"/>
    </x:row>
    <x:row r="14094">
      <x:c r="A14094" s="85"/>
      <x:c r="B14094" s="86"/>
    </x:row>
    <x:row r="14095">
      <x:c r="A14095" s="85"/>
      <x:c r="B14095" s="86"/>
    </x:row>
    <x:row r="14096">
      <x:c r="A14096" s="85"/>
      <x:c r="B14096" s="86"/>
    </x:row>
    <x:row r="14097">
      <x:c r="A14097" s="85"/>
      <x:c r="B14097" s="86"/>
    </x:row>
    <x:row r="14098">
      <x:c r="A14098" s="85"/>
      <x:c r="B14098" s="86"/>
    </x:row>
    <x:row r="14099">
      <x:c r="A14099" s="85"/>
      <x:c r="B14099" s="86"/>
    </x:row>
    <x:row r="14100">
      <x:c r="A14100" s="85"/>
      <x:c r="B14100" s="86"/>
    </x:row>
    <x:row r="14101">
      <x:c r="A14101" s="85"/>
      <x:c r="B14101" s="86"/>
    </x:row>
    <x:row r="14102">
      <x:c r="A14102" s="85"/>
      <x:c r="B14102" s="86"/>
    </x:row>
    <x:row r="14103">
      <x:c r="A14103" s="85"/>
      <x:c r="B14103" s="86"/>
    </x:row>
    <x:row r="14104">
      <x:c r="A14104" s="85"/>
      <x:c r="B14104" s="86"/>
    </x:row>
    <x:row r="14105">
      <x:c r="A14105" s="85"/>
      <x:c r="B14105" s="86"/>
    </x:row>
    <x:row r="14106">
      <x:c r="A14106" s="85"/>
      <x:c r="B14106" s="86"/>
    </x:row>
    <x:row r="14107">
      <x:c r="A14107" s="85"/>
      <x:c r="B14107" s="86"/>
    </x:row>
    <x:row r="14108">
      <x:c r="A14108" s="85"/>
      <x:c r="B14108" s="86"/>
    </x:row>
    <x:row r="14109">
      <x:c r="A14109" s="85"/>
      <x:c r="B14109" s="86"/>
    </x:row>
    <x:row r="14110">
      <x:c r="A14110" s="85"/>
      <x:c r="B14110" s="86"/>
    </x:row>
    <x:row r="14111">
      <x:c r="A14111" s="85"/>
      <x:c r="B14111" s="86"/>
    </x:row>
    <x:row r="14112">
      <x:c r="A14112" s="85"/>
      <x:c r="B14112" s="86"/>
    </x:row>
    <x:row r="14113">
      <x:c r="A14113" s="85"/>
      <x:c r="B14113" s="86"/>
    </x:row>
    <x:row r="14114">
      <x:c r="A14114" s="85"/>
      <x:c r="B14114" s="86"/>
    </x:row>
    <x:row r="14115">
      <x:c r="A14115" s="85"/>
      <x:c r="B14115" s="86"/>
    </x:row>
    <x:row r="14116">
      <x:c r="A14116" s="85"/>
      <x:c r="B14116" s="86"/>
    </x:row>
    <x:row r="14117">
      <x:c r="A14117" s="85"/>
      <x:c r="B14117" s="86"/>
    </x:row>
    <x:row r="14118">
      <x:c r="A14118" s="85"/>
      <x:c r="B14118" s="86"/>
    </x:row>
    <x:row r="14119">
      <x:c r="A14119" s="85"/>
      <x:c r="B14119" s="86"/>
    </x:row>
    <x:row r="14120">
      <x:c r="A14120" s="85"/>
      <x:c r="B14120" s="86"/>
    </x:row>
    <x:row r="14121">
      <x:c r="A14121" s="85"/>
      <x:c r="B14121" s="86"/>
    </x:row>
    <x:row r="14122">
      <x:c r="A14122" s="85"/>
      <x:c r="B14122" s="86"/>
    </x:row>
    <x:row r="14123">
      <x:c r="A14123" s="85"/>
      <x:c r="B14123" s="86"/>
    </x:row>
    <x:row r="14124">
      <x:c r="A14124" s="85"/>
      <x:c r="B14124" s="86"/>
    </x:row>
    <x:row r="14125">
      <x:c r="A14125" s="85"/>
      <x:c r="B14125" s="86"/>
    </x:row>
    <x:row r="14126">
      <x:c r="A14126" s="85"/>
      <x:c r="B14126" s="86"/>
    </x:row>
    <x:row r="14127">
      <x:c r="A14127" s="85"/>
      <x:c r="B14127" s="86"/>
    </x:row>
    <x:row r="14128">
      <x:c r="A14128" s="85"/>
      <x:c r="B14128" s="86"/>
    </x:row>
    <x:row r="14129">
      <x:c r="A14129" s="85"/>
      <x:c r="B14129" s="86"/>
    </x:row>
    <x:row r="14130">
      <x:c r="A14130" s="85"/>
      <x:c r="B14130" s="86"/>
    </x:row>
    <x:row r="14131">
      <x:c r="A14131" s="85"/>
      <x:c r="B14131" s="86"/>
    </x:row>
    <x:row r="14132">
      <x:c r="A14132" s="85"/>
      <x:c r="B14132" s="86"/>
    </x:row>
    <x:row r="14133">
      <x:c r="A14133" s="85"/>
      <x:c r="B14133" s="86"/>
    </x:row>
    <x:row r="14134">
      <x:c r="A14134" s="85"/>
      <x:c r="B14134" s="86"/>
    </x:row>
    <x:row r="14135">
      <x:c r="A14135" s="85"/>
      <x:c r="B14135" s="86"/>
    </x:row>
    <x:row r="14136">
      <x:c r="A14136" s="85"/>
      <x:c r="B14136" s="86"/>
    </x:row>
    <x:row r="14137">
      <x:c r="A14137" s="85"/>
      <x:c r="B14137" s="86"/>
    </x:row>
    <x:row r="14138">
      <x:c r="A14138" s="85"/>
      <x:c r="B14138" s="86"/>
    </x:row>
    <x:row r="14139">
      <x:c r="A14139" s="85"/>
      <x:c r="B14139" s="86"/>
    </x:row>
    <x:row r="14140">
      <x:c r="A14140" s="85"/>
      <x:c r="B14140" s="86"/>
    </x:row>
    <x:row r="14141">
      <x:c r="A14141" s="85"/>
      <x:c r="B14141" s="86"/>
    </x:row>
    <x:row r="14142">
      <x:c r="A14142" s="85"/>
      <x:c r="B14142" s="86"/>
    </x:row>
    <x:row r="14143">
      <x:c r="A14143" s="85"/>
      <x:c r="B14143" s="86"/>
    </x:row>
    <x:row r="14144">
      <x:c r="A14144" s="85"/>
      <x:c r="B14144" s="86"/>
    </x:row>
    <x:row r="14145">
      <x:c r="A14145" s="85"/>
      <x:c r="B14145" s="86"/>
    </x:row>
    <x:row r="14146">
      <x:c r="A14146" s="85"/>
      <x:c r="B14146" s="86"/>
    </x:row>
    <x:row r="14147">
      <x:c r="A14147" s="85"/>
      <x:c r="B14147" s="86"/>
    </x:row>
    <x:row r="14148">
      <x:c r="A14148" s="85"/>
      <x:c r="B14148" s="86"/>
    </x:row>
    <x:row r="14149">
      <x:c r="A14149" s="85"/>
      <x:c r="B14149" s="86"/>
    </x:row>
    <x:row r="14150">
      <x:c r="A14150" s="85"/>
      <x:c r="B14150" s="86"/>
    </x:row>
    <x:row r="14151">
      <x:c r="A14151" s="85"/>
      <x:c r="B14151" s="86"/>
    </x:row>
    <x:row r="14152">
      <x:c r="A14152" s="85"/>
      <x:c r="B14152" s="86"/>
    </x:row>
    <x:row r="14153">
      <x:c r="A14153" s="85"/>
      <x:c r="B14153" s="86"/>
    </x:row>
    <x:row r="14154">
      <x:c r="A14154" s="85"/>
      <x:c r="B14154" s="86"/>
    </x:row>
    <x:row r="14155">
      <x:c r="A14155" s="85"/>
      <x:c r="B14155" s="86"/>
    </x:row>
    <x:row r="14156">
      <x:c r="A14156" s="85"/>
      <x:c r="B14156" s="86"/>
    </x:row>
    <x:row r="14157">
      <x:c r="A14157" s="85"/>
      <x:c r="B14157" s="86"/>
    </x:row>
    <x:row r="14158">
      <x:c r="A14158" s="85"/>
      <x:c r="B14158" s="86"/>
    </x:row>
    <x:row r="14159">
      <x:c r="A14159" s="85"/>
      <x:c r="B14159" s="86"/>
    </x:row>
    <x:row r="14160">
      <x:c r="A14160" s="85"/>
      <x:c r="B14160" s="86"/>
    </x:row>
    <x:row r="14161">
      <x:c r="A14161" s="85"/>
      <x:c r="B14161" s="86"/>
    </x:row>
    <x:row r="14162">
      <x:c r="A14162" s="85"/>
      <x:c r="B14162" s="86"/>
    </x:row>
    <x:row r="14163">
      <x:c r="A14163" s="85"/>
      <x:c r="B14163" s="86"/>
    </x:row>
    <x:row r="14164">
      <x:c r="A14164" s="85"/>
      <x:c r="B14164" s="86"/>
    </x:row>
    <x:row r="14165">
      <x:c r="A14165" s="85"/>
      <x:c r="B14165" s="86"/>
    </x:row>
    <x:row r="14166">
      <x:c r="A14166" s="85"/>
      <x:c r="B14166" s="86"/>
    </x:row>
    <x:row r="14167">
      <x:c r="A14167" s="85"/>
      <x:c r="B14167" s="86"/>
    </x:row>
    <x:row r="14168">
      <x:c r="A14168" s="85"/>
      <x:c r="B14168" s="86"/>
    </x:row>
    <x:row r="14169">
      <x:c r="A14169" s="85"/>
      <x:c r="B14169" s="86"/>
    </x:row>
    <x:row r="14170">
      <x:c r="A14170" s="85"/>
      <x:c r="B14170" s="86"/>
    </x:row>
    <x:row r="14171">
      <x:c r="A14171" s="85"/>
      <x:c r="B14171" s="86"/>
    </x:row>
    <x:row r="14172">
      <x:c r="A14172" s="85"/>
      <x:c r="B14172" s="86"/>
    </x:row>
    <x:row r="14173">
      <x:c r="A14173" s="85"/>
      <x:c r="B14173" s="86"/>
    </x:row>
    <x:row r="14174">
      <x:c r="A14174" s="85"/>
      <x:c r="B14174" s="86"/>
    </x:row>
    <x:row r="14175">
      <x:c r="A14175" s="85"/>
      <x:c r="B14175" s="86"/>
    </x:row>
    <x:row r="14176">
      <x:c r="A14176" s="85"/>
      <x:c r="B14176" s="86"/>
    </x:row>
    <x:row r="14177">
      <x:c r="A14177" s="85"/>
      <x:c r="B14177" s="86"/>
    </x:row>
    <x:row r="14178">
      <x:c r="A14178" s="85"/>
      <x:c r="B14178" s="86"/>
    </x:row>
    <x:row r="14179">
      <x:c r="A14179" s="85"/>
      <x:c r="B14179" s="86"/>
    </x:row>
    <x:row r="14180">
      <x:c r="A14180" s="85"/>
      <x:c r="B14180" s="86"/>
    </x:row>
    <x:row r="14181">
      <x:c r="A14181" s="85"/>
      <x:c r="B14181" s="86"/>
    </x:row>
    <x:row r="14182">
      <x:c r="A14182" s="85"/>
      <x:c r="B14182" s="86"/>
    </x:row>
    <x:row r="14183">
      <x:c r="A14183" s="85"/>
      <x:c r="B14183" s="86"/>
    </x:row>
    <x:row r="14184">
      <x:c r="A14184" s="85"/>
      <x:c r="B14184" s="86"/>
    </x:row>
    <x:row r="14185">
      <x:c r="A14185" s="85"/>
      <x:c r="B14185" s="86"/>
    </x:row>
    <x:row r="14186">
      <x:c r="A14186" s="85"/>
      <x:c r="B14186" s="86"/>
    </x:row>
    <x:row r="14187">
      <x:c r="A14187" s="85"/>
      <x:c r="B14187" s="86"/>
    </x:row>
    <x:row r="14188">
      <x:c r="A14188" s="85"/>
      <x:c r="B14188" s="86"/>
    </x:row>
    <x:row r="14189">
      <x:c r="A14189" s="85"/>
      <x:c r="B14189" s="86"/>
    </x:row>
    <x:row r="14190">
      <x:c r="A14190" s="85"/>
      <x:c r="B14190" s="86"/>
    </x:row>
    <x:row r="14191">
      <x:c r="A14191" s="85"/>
      <x:c r="B14191" s="86"/>
    </x:row>
    <x:row r="14192">
      <x:c r="A14192" s="85"/>
      <x:c r="B14192" s="86"/>
    </x:row>
    <x:row r="14193">
      <x:c r="A14193" s="85"/>
      <x:c r="B14193" s="86"/>
    </x:row>
    <x:row r="14194">
      <x:c r="A14194" s="85"/>
      <x:c r="B14194" s="86"/>
    </x:row>
    <x:row r="14195">
      <x:c r="A14195" s="85"/>
      <x:c r="B14195" s="86"/>
    </x:row>
    <x:row r="14196">
      <x:c r="A14196" s="85"/>
      <x:c r="B14196" s="86"/>
    </x:row>
    <x:row r="14197">
      <x:c r="A14197" s="85"/>
      <x:c r="B14197" s="86"/>
    </x:row>
    <x:row r="14198">
      <x:c r="A14198" s="85"/>
      <x:c r="B14198" s="86"/>
    </x:row>
    <x:row r="14199">
      <x:c r="A14199" s="85"/>
      <x:c r="B14199" s="86"/>
    </x:row>
    <x:row r="14200">
      <x:c r="A14200" s="85"/>
      <x:c r="B14200" s="86"/>
    </x:row>
    <x:row r="14201">
      <x:c r="A14201" s="85"/>
      <x:c r="B14201" s="86"/>
    </x:row>
    <x:row r="14202">
      <x:c r="A14202" s="85"/>
      <x:c r="B14202" s="86"/>
    </x:row>
    <x:row r="14203">
      <x:c r="A14203" s="85"/>
      <x:c r="B14203" s="86"/>
    </x:row>
    <x:row r="14204">
      <x:c r="A14204" s="85"/>
      <x:c r="B14204" s="86"/>
    </x:row>
    <x:row r="14205">
      <x:c r="A14205" s="85"/>
      <x:c r="B14205" s="86"/>
    </x:row>
    <x:row r="14206">
      <x:c r="A14206" s="85"/>
      <x:c r="B14206" s="86"/>
    </x:row>
    <x:row r="14207">
      <x:c r="A14207" s="85"/>
      <x:c r="B14207" s="86"/>
    </x:row>
    <x:row r="14208">
      <x:c r="A14208" s="85"/>
      <x:c r="B14208" s="86"/>
    </x:row>
    <x:row r="14209">
      <x:c r="A14209" s="85"/>
      <x:c r="B14209" s="86"/>
    </x:row>
    <x:row r="14210">
      <x:c r="A14210" s="85"/>
      <x:c r="B14210" s="86"/>
    </x:row>
    <x:row r="14211">
      <x:c r="A14211" s="85"/>
      <x:c r="B14211" s="86"/>
    </x:row>
    <x:row r="14212">
      <x:c r="A14212" s="85"/>
      <x:c r="B14212" s="86"/>
    </x:row>
    <x:row r="14213">
      <x:c r="A14213" s="85"/>
      <x:c r="B14213" s="86"/>
    </x:row>
    <x:row r="14214">
      <x:c r="A14214" s="85"/>
      <x:c r="B14214" s="86"/>
    </x:row>
    <x:row r="14215">
      <x:c r="A14215" s="85"/>
      <x:c r="B14215" s="86"/>
    </x:row>
    <x:row r="14216">
      <x:c r="A14216" s="85"/>
      <x:c r="B14216" s="86"/>
    </x:row>
    <x:row r="14217">
      <x:c r="A14217" s="85"/>
      <x:c r="B14217" s="86"/>
    </x:row>
    <x:row r="14218">
      <x:c r="A14218" s="85"/>
      <x:c r="B14218" s="86"/>
    </x:row>
    <x:row r="14219">
      <x:c r="A14219" s="85"/>
      <x:c r="B14219" s="86"/>
    </x:row>
    <x:row r="14220">
      <x:c r="A14220" s="85"/>
      <x:c r="B14220" s="86"/>
    </x:row>
    <x:row r="14221">
      <x:c r="A14221" s="85"/>
      <x:c r="B14221" s="86"/>
    </x:row>
    <x:row r="14222">
      <x:c r="A14222" s="85"/>
      <x:c r="B14222" s="86"/>
    </x:row>
    <x:row r="14223">
      <x:c r="A14223" s="85"/>
      <x:c r="B14223" s="86"/>
    </x:row>
    <x:row r="14224">
      <x:c r="A14224" s="85"/>
      <x:c r="B14224" s="86"/>
    </x:row>
    <x:row r="14225">
      <x:c r="A14225" s="85"/>
      <x:c r="B14225" s="86"/>
    </x:row>
    <x:row r="14226">
      <x:c r="A14226" s="85"/>
      <x:c r="B14226" s="86"/>
    </x:row>
    <x:row r="14227">
      <x:c r="A14227" s="85"/>
      <x:c r="B14227" s="86"/>
    </x:row>
    <x:row r="14228">
      <x:c r="A14228" s="85"/>
      <x:c r="B14228" s="86"/>
    </x:row>
    <x:row r="14229">
      <x:c r="A14229" s="85"/>
      <x:c r="B14229" s="86"/>
    </x:row>
    <x:row r="14230">
      <x:c r="A14230" s="85"/>
      <x:c r="B14230" s="86"/>
    </x:row>
    <x:row r="14231">
      <x:c r="A14231" s="85"/>
      <x:c r="B14231" s="86"/>
    </x:row>
    <x:row r="14232">
      <x:c r="A14232" s="85"/>
      <x:c r="B14232" s="86"/>
    </x:row>
    <x:row r="14233">
      <x:c r="A14233" s="85"/>
      <x:c r="B14233" s="86"/>
    </x:row>
    <x:row r="14234">
      <x:c r="A14234" s="85"/>
      <x:c r="B14234" s="86"/>
    </x:row>
    <x:row r="14235">
      <x:c r="A14235" s="85"/>
      <x:c r="B14235" s="86"/>
    </x:row>
    <x:row r="14236">
      <x:c r="A14236" s="85"/>
      <x:c r="B14236" s="86"/>
    </x:row>
    <x:row r="14237">
      <x:c r="A14237" s="85"/>
      <x:c r="B14237" s="86"/>
    </x:row>
    <x:row r="14238">
      <x:c r="A14238" s="85"/>
      <x:c r="B14238" s="86"/>
    </x:row>
    <x:row r="14239">
      <x:c r="A14239" s="85"/>
      <x:c r="B14239" s="86"/>
    </x:row>
    <x:row r="14240">
      <x:c r="A14240" s="85"/>
      <x:c r="B14240" s="86"/>
    </x:row>
    <x:row r="14241">
      <x:c r="A14241" s="85"/>
      <x:c r="B14241" s="86"/>
    </x:row>
    <x:row r="14242">
      <x:c r="A14242" s="85"/>
      <x:c r="B14242" s="86"/>
    </x:row>
    <x:row r="14243">
      <x:c r="A14243" s="85"/>
      <x:c r="B14243" s="86"/>
    </x:row>
    <x:row r="14244">
      <x:c r="A14244" s="85"/>
      <x:c r="B14244" s="86"/>
    </x:row>
    <x:row r="14245">
      <x:c r="A14245" s="85"/>
      <x:c r="B14245" s="86"/>
    </x:row>
    <x:row r="14246">
      <x:c r="A14246" s="85"/>
      <x:c r="B14246" s="86"/>
    </x:row>
    <x:row r="14247">
      <x:c r="A14247" s="85"/>
      <x:c r="B14247" s="86"/>
    </x:row>
    <x:row r="14248">
      <x:c r="A14248" s="85"/>
      <x:c r="B14248" s="86"/>
    </x:row>
    <x:row r="14249">
      <x:c r="A14249" s="85"/>
      <x:c r="B14249" s="86"/>
    </x:row>
    <x:row r="14250">
      <x:c r="A14250" s="85"/>
      <x:c r="B14250" s="86"/>
    </x:row>
    <x:row r="14251">
      <x:c r="A14251" s="85"/>
      <x:c r="B14251" s="86"/>
    </x:row>
    <x:row r="14252">
      <x:c r="A14252" s="85"/>
      <x:c r="B14252" s="86"/>
    </x:row>
    <x:row r="14253">
      <x:c r="A14253" s="85"/>
      <x:c r="B14253" s="86"/>
    </x:row>
    <x:row r="14254">
      <x:c r="A14254" s="85"/>
      <x:c r="B14254" s="86"/>
    </x:row>
    <x:row r="14255">
      <x:c r="A14255" s="85"/>
      <x:c r="B14255" s="86"/>
    </x:row>
    <x:row r="14256">
      <x:c r="A14256" s="85"/>
      <x:c r="B14256" s="86"/>
    </x:row>
    <x:row r="14257">
      <x:c r="A14257" s="85"/>
      <x:c r="B14257" s="86"/>
    </x:row>
    <x:row r="14258">
      <x:c r="A14258" s="85"/>
      <x:c r="B14258" s="86"/>
    </x:row>
    <x:row r="14259">
      <x:c r="A14259" s="85"/>
      <x:c r="B14259" s="86"/>
    </x:row>
    <x:row r="14260">
      <x:c r="A14260" s="85"/>
      <x:c r="B14260" s="86"/>
    </x:row>
    <x:row r="14261">
      <x:c r="A14261" s="85"/>
      <x:c r="B14261" s="86"/>
    </x:row>
    <x:row r="14262">
      <x:c r="A14262" s="85"/>
      <x:c r="B14262" s="86"/>
    </x:row>
    <x:row r="14263">
      <x:c r="A14263" s="85"/>
      <x:c r="B14263" s="86"/>
    </x:row>
    <x:row r="14264">
      <x:c r="A14264" s="85"/>
      <x:c r="B14264" s="86"/>
    </x:row>
    <x:row r="14265">
      <x:c r="A14265" s="85"/>
      <x:c r="B14265" s="86"/>
    </x:row>
    <x:row r="14266">
      <x:c r="A14266" s="85"/>
      <x:c r="B14266" s="86"/>
    </x:row>
    <x:row r="14267">
      <x:c r="A14267" s="85"/>
      <x:c r="B14267" s="86"/>
    </x:row>
    <x:row r="14268">
      <x:c r="A14268" s="85"/>
      <x:c r="B14268" s="86"/>
    </x:row>
    <x:row r="14269">
      <x:c r="A14269" s="85"/>
      <x:c r="B14269" s="86"/>
    </x:row>
    <x:row r="14270">
      <x:c r="A14270" s="85"/>
      <x:c r="B14270" s="86"/>
    </x:row>
    <x:row r="14271">
      <x:c r="A14271" s="85"/>
      <x:c r="B14271" s="86"/>
    </x:row>
    <x:row r="14272">
      <x:c r="A14272" s="85"/>
      <x:c r="B14272" s="86"/>
    </x:row>
    <x:row r="14273">
      <x:c r="A14273" s="85"/>
      <x:c r="B14273" s="86"/>
    </x:row>
    <x:row r="14274">
      <x:c r="A14274" s="85"/>
      <x:c r="B14274" s="86"/>
    </x:row>
    <x:row r="14275">
      <x:c r="A14275" s="85"/>
      <x:c r="B14275" s="86"/>
    </x:row>
    <x:row r="14276">
      <x:c r="A14276" s="85"/>
      <x:c r="B14276" s="86"/>
    </x:row>
    <x:row r="14277">
      <x:c r="A14277" s="85"/>
      <x:c r="B14277" s="86"/>
    </x:row>
    <x:row r="14278">
      <x:c r="A14278" s="85"/>
      <x:c r="B14278" s="86"/>
    </x:row>
    <x:row r="14279">
      <x:c r="A14279" s="85"/>
      <x:c r="B14279" s="86"/>
    </x:row>
    <x:row r="14280">
      <x:c r="A14280" s="85"/>
      <x:c r="B14280" s="86"/>
    </x:row>
    <x:row r="14281">
      <x:c r="A14281" s="85"/>
      <x:c r="B14281" s="86"/>
    </x:row>
    <x:row r="14282">
      <x:c r="A14282" s="85"/>
      <x:c r="B14282" s="86"/>
    </x:row>
    <x:row r="14283">
      <x:c r="A14283" s="85"/>
      <x:c r="B14283" s="86"/>
    </x:row>
    <x:row r="14284">
      <x:c r="A14284" s="85"/>
      <x:c r="B14284" s="86"/>
    </x:row>
    <x:row r="14285">
      <x:c r="A14285" s="85"/>
      <x:c r="B14285" s="86"/>
    </x:row>
    <x:row r="14286">
      <x:c r="A14286" s="85"/>
      <x:c r="B14286" s="86"/>
    </x:row>
    <x:row r="14287">
      <x:c r="A14287" s="85"/>
      <x:c r="B14287" s="86"/>
    </x:row>
    <x:row r="14288">
      <x:c r="A14288" s="85"/>
      <x:c r="B14288" s="86"/>
    </x:row>
    <x:row r="14289">
      <x:c r="A14289" s="85"/>
      <x:c r="B14289" s="86"/>
    </x:row>
    <x:row r="14290">
      <x:c r="A14290" s="85"/>
      <x:c r="B14290" s="86"/>
    </x:row>
    <x:row r="14291">
      <x:c r="A14291" s="85"/>
      <x:c r="B14291" s="86"/>
    </x:row>
    <x:row r="14292">
      <x:c r="A14292" s="85"/>
      <x:c r="B14292" s="86"/>
    </x:row>
    <x:row r="14293">
      <x:c r="A14293" s="85"/>
      <x:c r="B14293" s="86"/>
    </x:row>
    <x:row r="14294">
      <x:c r="A14294" s="85"/>
      <x:c r="B14294" s="86"/>
    </x:row>
    <x:row r="14295">
      <x:c r="A14295" s="85"/>
      <x:c r="B14295" s="86"/>
    </x:row>
    <x:row r="14296">
      <x:c r="A14296" s="85"/>
      <x:c r="B14296" s="86"/>
    </x:row>
    <x:row r="14297">
      <x:c r="A14297" s="85"/>
      <x:c r="B14297" s="86"/>
    </x:row>
    <x:row r="14298">
      <x:c r="A14298" s="85"/>
      <x:c r="B14298" s="86"/>
    </x:row>
    <x:row r="14299">
      <x:c r="A14299" s="85"/>
      <x:c r="B14299" s="86"/>
    </x:row>
    <x:row r="14300">
      <x:c r="A14300" s="85"/>
      <x:c r="B14300" s="86"/>
    </x:row>
    <x:row r="14301">
      <x:c r="A14301" s="85"/>
      <x:c r="B14301" s="86"/>
    </x:row>
    <x:row r="14302">
      <x:c r="A14302" s="85"/>
      <x:c r="B14302" s="86"/>
    </x:row>
    <x:row r="14303">
      <x:c r="A14303" s="85"/>
      <x:c r="B14303" s="86"/>
    </x:row>
    <x:row r="14304">
      <x:c r="A14304" s="85"/>
      <x:c r="B14304" s="86"/>
    </x:row>
    <x:row r="14305">
      <x:c r="A14305" s="85"/>
      <x:c r="B14305" s="86"/>
    </x:row>
    <x:row r="14306">
      <x:c r="A14306" s="85"/>
      <x:c r="B14306" s="86"/>
    </x:row>
    <x:row r="14307">
      <x:c r="A14307" s="85"/>
      <x:c r="B14307" s="86"/>
    </x:row>
    <x:row r="14308">
      <x:c r="A14308" s="85"/>
      <x:c r="B14308" s="86"/>
    </x:row>
    <x:row r="14309">
      <x:c r="A14309" s="85"/>
      <x:c r="B14309" s="86"/>
    </x:row>
    <x:row r="14310">
      <x:c r="A14310" s="85"/>
      <x:c r="B14310" s="86"/>
    </x:row>
    <x:row r="14311">
      <x:c r="A14311" s="85"/>
      <x:c r="B14311" s="86"/>
    </x:row>
    <x:row r="14312">
      <x:c r="A14312" s="85"/>
      <x:c r="B14312" s="86"/>
    </x:row>
    <x:row r="14313">
      <x:c r="A14313" s="85"/>
      <x:c r="B14313" s="86"/>
    </x:row>
    <x:row r="14314">
      <x:c r="A14314" s="85"/>
      <x:c r="B14314" s="86"/>
    </x:row>
    <x:row r="14315">
      <x:c r="A14315" s="85"/>
      <x:c r="B14315" s="86"/>
    </x:row>
    <x:row r="14316">
      <x:c r="A14316" s="85"/>
      <x:c r="B14316" s="86"/>
    </x:row>
    <x:row r="14317">
      <x:c r="A14317" s="85"/>
      <x:c r="B14317" s="86"/>
    </x:row>
    <x:row r="14318">
      <x:c r="A14318" s="85"/>
      <x:c r="B14318" s="86"/>
    </x:row>
    <x:row r="14319">
      <x:c r="A14319" s="85"/>
      <x:c r="B14319" s="86"/>
    </x:row>
    <x:row r="14320">
      <x:c r="A14320" s="85"/>
      <x:c r="B14320" s="86"/>
    </x:row>
    <x:row r="14321">
      <x:c r="A14321" s="85"/>
      <x:c r="B14321" s="86"/>
    </x:row>
    <x:row r="14322">
      <x:c r="A14322" s="85"/>
      <x:c r="B14322" s="86"/>
    </x:row>
    <x:row r="14323">
      <x:c r="A14323" s="85"/>
      <x:c r="B14323" s="86"/>
    </x:row>
    <x:row r="14324">
      <x:c r="A14324" s="85"/>
      <x:c r="B14324" s="86"/>
    </x:row>
    <x:row r="14325">
      <x:c r="A14325" s="85"/>
      <x:c r="B14325" s="86"/>
    </x:row>
    <x:row r="14326">
      <x:c r="A14326" s="85"/>
      <x:c r="B14326" s="86"/>
    </x:row>
    <x:row r="14327">
      <x:c r="A14327" s="85"/>
      <x:c r="B14327" s="86"/>
    </x:row>
    <x:row r="14328">
      <x:c r="A14328" s="85"/>
      <x:c r="B14328" s="86"/>
    </x:row>
    <x:row r="14329">
      <x:c r="A14329" s="85"/>
      <x:c r="B14329" s="86"/>
    </x:row>
    <x:row r="14330">
      <x:c r="A14330" s="85"/>
      <x:c r="B14330" s="86"/>
    </x:row>
    <x:row r="14331">
      <x:c r="A14331" s="85"/>
      <x:c r="B14331" s="86"/>
    </x:row>
    <x:row r="14332">
      <x:c r="A14332" s="85"/>
      <x:c r="B14332" s="86"/>
    </x:row>
    <x:row r="14333">
      <x:c r="A14333" s="85"/>
      <x:c r="B14333" s="86"/>
    </x:row>
    <x:row r="14334">
      <x:c r="A14334" s="85"/>
      <x:c r="B14334" s="86"/>
    </x:row>
    <x:row r="14335">
      <x:c r="A14335" s="85"/>
      <x:c r="B14335" s="86"/>
    </x:row>
    <x:row r="14336">
      <x:c r="A14336" s="85"/>
      <x:c r="B14336" s="86"/>
    </x:row>
    <x:row r="14337">
      <x:c r="A14337" s="85"/>
      <x:c r="B14337" s="86"/>
    </x:row>
    <x:row r="14338">
      <x:c r="A14338" s="85"/>
      <x:c r="B14338" s="86"/>
    </x:row>
    <x:row r="14339">
      <x:c r="A14339" s="85"/>
      <x:c r="B14339" s="86"/>
    </x:row>
    <x:row r="14340">
      <x:c r="A14340" s="85"/>
      <x:c r="B14340" s="86"/>
    </x:row>
    <x:row r="14341">
      <x:c r="A14341" s="85"/>
      <x:c r="B14341" s="86"/>
    </x:row>
    <x:row r="14342">
      <x:c r="A14342" s="85"/>
      <x:c r="B14342" s="86"/>
    </x:row>
    <x:row r="14343">
      <x:c r="A14343" s="85"/>
      <x:c r="B14343" s="86"/>
    </x:row>
    <x:row r="14344">
      <x:c r="A14344" s="85"/>
      <x:c r="B14344" s="86"/>
    </x:row>
    <x:row r="14345">
      <x:c r="A14345" s="85"/>
      <x:c r="B14345" s="86"/>
    </x:row>
    <x:row r="14346">
      <x:c r="A14346" s="85"/>
      <x:c r="B14346" s="86"/>
    </x:row>
    <x:row r="14347">
      <x:c r="A14347" s="85"/>
      <x:c r="B14347" s="86"/>
    </x:row>
    <x:row r="14348">
      <x:c r="A14348" s="85"/>
      <x:c r="B14348" s="86"/>
    </x:row>
    <x:row r="14349">
      <x:c r="A14349" s="85"/>
      <x:c r="B14349" s="86"/>
    </x:row>
    <x:row r="14350">
      <x:c r="A14350" s="85"/>
      <x:c r="B14350" s="86"/>
    </x:row>
    <x:row r="14351">
      <x:c r="A14351" s="85"/>
      <x:c r="B14351" s="86"/>
    </x:row>
    <x:row r="14352">
      <x:c r="A14352" s="85"/>
      <x:c r="B14352" s="86"/>
    </x:row>
    <x:row r="14353">
      <x:c r="A14353" s="85"/>
      <x:c r="B14353" s="86"/>
    </x:row>
    <x:row r="14354">
      <x:c r="A14354" s="85"/>
      <x:c r="B14354" s="86"/>
    </x:row>
    <x:row r="14355">
      <x:c r="A14355" s="85"/>
      <x:c r="B14355" s="86"/>
    </x:row>
    <x:row r="14356">
      <x:c r="A14356" s="85"/>
      <x:c r="B14356" s="86"/>
    </x:row>
    <x:row r="14357">
      <x:c r="A14357" s="85"/>
      <x:c r="B14357" s="86"/>
    </x:row>
    <x:row r="14358">
      <x:c r="A14358" s="85"/>
      <x:c r="B14358" s="86"/>
    </x:row>
    <x:row r="14359">
      <x:c r="A14359" s="85"/>
      <x:c r="B14359" s="86"/>
    </x:row>
    <x:row r="14360">
      <x:c r="A14360" s="85"/>
      <x:c r="B14360" s="86"/>
    </x:row>
    <x:row r="14361">
      <x:c r="A14361" s="85"/>
      <x:c r="B14361" s="86"/>
    </x:row>
    <x:row r="14362">
      <x:c r="A14362" s="85"/>
      <x:c r="B14362" s="86"/>
    </x:row>
    <x:row r="14363">
      <x:c r="A14363" s="85"/>
      <x:c r="B14363" s="86"/>
    </x:row>
    <x:row r="14364">
      <x:c r="A14364" s="85"/>
      <x:c r="B14364" s="86"/>
    </x:row>
    <x:row r="14365">
      <x:c r="A14365" s="85"/>
      <x:c r="B14365" s="86"/>
    </x:row>
    <x:row r="14366">
      <x:c r="A14366" s="85"/>
      <x:c r="B14366" s="86"/>
    </x:row>
    <x:row r="14367">
      <x:c r="A14367" s="85"/>
      <x:c r="B14367" s="86"/>
    </x:row>
    <x:row r="14368">
      <x:c r="A14368" s="85"/>
      <x:c r="B14368" s="86"/>
    </x:row>
    <x:row r="14369">
      <x:c r="A14369" s="85"/>
      <x:c r="B14369" s="86"/>
    </x:row>
    <x:row r="14370">
      <x:c r="A14370" s="85"/>
      <x:c r="B14370" s="86"/>
    </x:row>
    <x:row r="14371">
      <x:c r="A14371" s="85"/>
      <x:c r="B14371" s="86"/>
    </x:row>
    <x:row r="14372">
      <x:c r="A14372" s="85"/>
      <x:c r="B14372" s="86"/>
    </x:row>
    <x:row r="14373">
      <x:c r="A14373" s="85"/>
      <x:c r="B14373" s="86"/>
    </x:row>
    <x:row r="14374">
      <x:c r="A14374" s="85"/>
      <x:c r="B14374" s="86"/>
    </x:row>
    <x:row r="14375">
      <x:c r="A14375" s="85"/>
      <x:c r="B14375" s="86"/>
    </x:row>
    <x:row r="14376">
      <x:c r="A14376" s="85"/>
      <x:c r="B14376" s="86"/>
    </x:row>
    <x:row r="14377">
      <x:c r="A14377" s="85"/>
      <x:c r="B14377" s="86"/>
    </x:row>
    <x:row r="14378">
      <x:c r="A14378" s="85"/>
      <x:c r="B14378" s="86"/>
    </x:row>
    <x:row r="14379">
      <x:c r="A14379" s="85"/>
      <x:c r="B14379" s="86"/>
    </x:row>
    <x:row r="14380">
      <x:c r="A14380" s="85"/>
      <x:c r="B14380" s="86"/>
    </x:row>
    <x:row r="14381">
      <x:c r="A14381" s="85"/>
      <x:c r="B14381" s="86"/>
    </x:row>
    <x:row r="14382">
      <x:c r="A14382" s="85"/>
      <x:c r="B14382" s="86"/>
    </x:row>
    <x:row r="14383">
      <x:c r="A14383" s="85"/>
      <x:c r="B14383" s="86"/>
    </x:row>
    <x:row r="14384">
      <x:c r="A14384" s="85"/>
      <x:c r="B14384" s="86"/>
    </x:row>
    <x:row r="14385">
      <x:c r="A14385" s="85"/>
      <x:c r="B14385" s="86"/>
    </x:row>
    <x:row r="14386">
      <x:c r="A14386" s="85"/>
      <x:c r="B14386" s="86"/>
    </x:row>
    <x:row r="14387">
      <x:c r="A14387" s="85"/>
      <x:c r="B14387" s="86"/>
    </x:row>
    <x:row r="14388">
      <x:c r="A14388" s="85"/>
      <x:c r="B14388" s="86"/>
    </x:row>
    <x:row r="14389">
      <x:c r="A14389" s="85"/>
      <x:c r="B14389" s="86"/>
    </x:row>
    <x:row r="14390">
      <x:c r="A14390" s="85"/>
      <x:c r="B14390" s="86"/>
    </x:row>
    <x:row r="14391">
      <x:c r="A14391" s="85"/>
      <x:c r="B14391" s="86"/>
    </x:row>
    <x:row r="14392">
      <x:c r="A14392" s="85"/>
      <x:c r="B14392" s="86"/>
    </x:row>
    <x:row r="14393">
      <x:c r="A14393" s="85"/>
      <x:c r="B14393" s="86"/>
    </x:row>
    <x:row r="14394">
      <x:c r="A14394" s="85"/>
      <x:c r="B14394" s="86"/>
    </x:row>
    <x:row r="14395">
      <x:c r="A14395" s="85"/>
      <x:c r="B14395" s="86"/>
    </x:row>
    <x:row r="14396">
      <x:c r="A14396" s="85"/>
      <x:c r="B14396" s="86"/>
    </x:row>
    <x:row r="14397">
      <x:c r="A14397" s="85"/>
      <x:c r="B14397" s="86"/>
    </x:row>
    <x:row r="14398">
      <x:c r="A14398" s="85"/>
      <x:c r="B14398" s="86"/>
    </x:row>
    <x:row r="14399">
      <x:c r="A14399" s="85"/>
      <x:c r="B14399" s="86"/>
    </x:row>
    <x:row r="14400">
      <x:c r="A14400" s="85"/>
      <x:c r="B14400" s="86"/>
    </x:row>
    <x:row r="14401">
      <x:c r="A14401" s="85"/>
      <x:c r="B14401" s="86"/>
    </x:row>
    <x:row r="14402">
      <x:c r="A14402" s="85"/>
      <x:c r="B14402" s="86"/>
    </x:row>
    <x:row r="14403">
      <x:c r="A14403" s="85"/>
      <x:c r="B14403" s="86"/>
    </x:row>
    <x:row r="14404">
      <x:c r="A14404" s="85"/>
      <x:c r="B14404" s="86"/>
    </x:row>
    <x:row r="14405">
      <x:c r="A14405" s="85"/>
      <x:c r="B14405" s="86"/>
    </x:row>
    <x:row r="14406">
      <x:c r="A14406" s="85"/>
      <x:c r="B14406" s="86"/>
    </x:row>
    <x:row r="14407">
      <x:c r="A14407" s="85"/>
      <x:c r="B14407" s="86"/>
    </x:row>
    <x:row r="14408">
      <x:c r="A14408" s="85"/>
      <x:c r="B14408" s="86"/>
    </x:row>
    <x:row r="14409">
      <x:c r="A14409" s="85"/>
      <x:c r="B14409" s="86"/>
    </x:row>
    <x:row r="14410">
      <x:c r="A14410" s="85"/>
      <x:c r="B14410" s="86"/>
    </x:row>
    <x:row r="14411">
      <x:c r="A14411" s="85"/>
      <x:c r="B14411" s="86"/>
    </x:row>
    <x:row r="14412">
      <x:c r="A14412" s="85"/>
      <x:c r="B14412" s="86"/>
    </x:row>
    <x:row r="14413">
      <x:c r="A14413" s="85"/>
      <x:c r="B14413" s="86"/>
    </x:row>
    <x:row r="14414">
      <x:c r="A14414" s="85"/>
      <x:c r="B14414" s="86"/>
    </x:row>
    <x:row r="14415">
      <x:c r="A14415" s="85"/>
      <x:c r="B14415" s="86"/>
    </x:row>
    <x:row r="14416">
      <x:c r="A14416" s="85"/>
      <x:c r="B14416" s="86"/>
    </x:row>
    <x:row r="14417">
      <x:c r="A14417" s="85"/>
      <x:c r="B14417" s="86"/>
    </x:row>
    <x:row r="14418">
      <x:c r="A14418" s="85"/>
      <x:c r="B14418" s="86"/>
    </x:row>
    <x:row r="14419">
      <x:c r="A14419" s="85"/>
      <x:c r="B14419" s="86"/>
    </x:row>
    <x:row r="14420">
      <x:c r="A14420" s="85"/>
      <x:c r="B14420" s="86"/>
    </x:row>
    <x:row r="14421">
      <x:c r="A14421" s="85"/>
      <x:c r="B14421" s="86"/>
    </x:row>
    <x:row r="14422">
      <x:c r="A14422" s="85"/>
      <x:c r="B14422" s="86"/>
    </x:row>
    <x:row r="14423">
      <x:c r="A14423" s="85"/>
      <x:c r="B14423" s="86"/>
    </x:row>
    <x:row r="14424">
      <x:c r="A14424" s="85"/>
      <x:c r="B14424" s="86"/>
    </x:row>
    <x:row r="14425">
      <x:c r="A14425" s="85"/>
      <x:c r="B14425" s="86"/>
    </x:row>
    <x:row r="14426">
      <x:c r="A14426" s="85"/>
      <x:c r="B14426" s="86"/>
    </x:row>
    <x:row r="14427">
      <x:c r="A14427" s="85"/>
      <x:c r="B14427" s="86"/>
    </x:row>
    <x:row r="14428">
      <x:c r="A14428" s="85"/>
      <x:c r="B14428" s="86"/>
    </x:row>
    <x:row r="14429">
      <x:c r="A14429" s="85"/>
      <x:c r="B14429" s="86"/>
    </x:row>
    <x:row r="14430">
      <x:c r="A14430" s="85"/>
      <x:c r="B14430" s="86"/>
    </x:row>
    <x:row r="14431">
      <x:c r="A14431" s="85"/>
      <x:c r="B14431" s="86"/>
    </x:row>
    <x:row r="14432">
      <x:c r="A14432" s="85"/>
      <x:c r="B14432" s="86"/>
    </x:row>
    <x:row r="14433">
      <x:c r="A14433" s="85"/>
      <x:c r="B14433" s="86"/>
    </x:row>
    <x:row r="14434">
      <x:c r="A14434" s="85"/>
      <x:c r="B14434" s="86"/>
    </x:row>
    <x:row r="14435">
      <x:c r="A14435" s="85"/>
      <x:c r="B14435" s="86"/>
    </x:row>
    <x:row r="14436">
      <x:c r="A14436" s="85"/>
      <x:c r="B14436" s="86"/>
    </x:row>
    <x:row r="14437">
      <x:c r="A14437" s="85"/>
      <x:c r="B14437" s="86"/>
    </x:row>
    <x:row r="14438">
      <x:c r="A14438" s="85"/>
      <x:c r="B14438" s="86"/>
    </x:row>
    <x:row r="14439">
      <x:c r="A14439" s="85"/>
      <x:c r="B14439" s="86"/>
    </x:row>
    <x:row r="14440">
      <x:c r="A14440" s="85"/>
      <x:c r="B14440" s="86"/>
    </x:row>
    <x:row r="14441">
      <x:c r="A14441" s="85"/>
      <x:c r="B14441" s="86"/>
    </x:row>
    <x:row r="14442">
      <x:c r="A14442" s="85"/>
      <x:c r="B14442" s="86"/>
    </x:row>
    <x:row r="14443">
      <x:c r="A14443" s="85"/>
      <x:c r="B14443" s="86"/>
    </x:row>
    <x:row r="14444">
      <x:c r="A14444" s="85"/>
      <x:c r="B14444" s="86"/>
    </x:row>
    <x:row r="14445">
      <x:c r="A14445" s="85"/>
      <x:c r="B14445" s="86"/>
    </x:row>
    <x:row r="14446">
      <x:c r="A14446" s="85"/>
      <x:c r="B14446" s="86"/>
    </x:row>
    <x:row r="14447">
      <x:c r="A14447" s="85"/>
      <x:c r="B14447" s="86"/>
    </x:row>
    <x:row r="14448">
      <x:c r="A14448" s="85"/>
      <x:c r="B14448" s="86"/>
    </x:row>
    <x:row r="14449">
      <x:c r="A14449" s="85"/>
      <x:c r="B14449" s="86"/>
    </x:row>
    <x:row r="14450">
      <x:c r="A14450" s="85"/>
      <x:c r="B14450" s="86"/>
    </x:row>
    <x:row r="14451">
      <x:c r="A14451" s="85"/>
      <x:c r="B14451" s="86"/>
    </x:row>
    <x:row r="14452">
      <x:c r="A14452" s="85"/>
      <x:c r="B14452" s="86"/>
    </x:row>
    <x:row r="14453">
      <x:c r="A14453" s="85"/>
      <x:c r="B14453" s="86"/>
    </x:row>
    <x:row r="14454">
      <x:c r="A14454" s="85"/>
      <x:c r="B14454" s="86"/>
    </x:row>
    <x:row r="14455">
      <x:c r="A14455" s="85"/>
      <x:c r="B14455" s="86"/>
    </x:row>
    <x:row r="14456">
      <x:c r="A14456" s="85"/>
      <x:c r="B14456" s="86"/>
    </x:row>
    <x:row r="14457">
      <x:c r="A14457" s="85"/>
      <x:c r="B14457" s="86"/>
    </x:row>
    <x:row r="14458">
      <x:c r="A14458" s="85"/>
      <x:c r="B14458" s="86"/>
    </x:row>
    <x:row r="14459">
      <x:c r="A14459" s="85"/>
      <x:c r="B14459" s="86"/>
    </x:row>
    <x:row r="14460">
      <x:c r="A14460" s="85"/>
      <x:c r="B14460" s="86"/>
    </x:row>
    <x:row r="14461">
      <x:c r="A14461" s="85"/>
      <x:c r="B14461" s="86"/>
    </x:row>
    <x:row r="14462">
      <x:c r="A14462" s="85"/>
      <x:c r="B14462" s="86"/>
    </x:row>
    <x:row r="14463">
      <x:c r="A14463" s="85"/>
      <x:c r="B14463" s="86"/>
    </x:row>
    <x:row r="14464">
      <x:c r="A14464" s="85"/>
      <x:c r="B14464" s="86"/>
    </x:row>
    <x:row r="14465">
      <x:c r="A14465" s="85"/>
      <x:c r="B14465" s="86"/>
    </x:row>
    <x:row r="14466">
      <x:c r="A14466" s="85"/>
      <x:c r="B14466" s="86"/>
    </x:row>
    <x:row r="14467">
      <x:c r="A14467" s="85"/>
      <x:c r="B14467" s="86"/>
    </x:row>
    <x:row r="14468">
      <x:c r="A14468" s="85"/>
      <x:c r="B14468" s="86"/>
    </x:row>
    <x:row r="14469">
      <x:c r="A14469" s="85"/>
      <x:c r="B14469" s="86"/>
    </x:row>
    <x:row r="14470">
      <x:c r="A14470" s="85"/>
      <x:c r="B14470" s="86"/>
    </x:row>
    <x:row r="14471">
      <x:c r="A14471" s="85"/>
      <x:c r="B14471" s="86"/>
    </x:row>
    <x:row r="14472">
      <x:c r="A14472" s="85"/>
      <x:c r="B14472" s="86"/>
    </x:row>
    <x:row r="14473">
      <x:c r="A14473" s="85"/>
      <x:c r="B14473" s="86"/>
    </x:row>
    <x:row r="14474">
      <x:c r="A14474" s="85"/>
      <x:c r="B14474" s="86"/>
    </x:row>
    <x:row r="14475">
      <x:c r="A14475" s="85"/>
      <x:c r="B14475" s="86"/>
    </x:row>
    <x:row r="14476">
      <x:c r="A14476" s="85"/>
      <x:c r="B14476" s="86"/>
    </x:row>
    <x:row r="14477">
      <x:c r="A14477" s="85"/>
      <x:c r="B14477" s="86"/>
    </x:row>
    <x:row r="14478">
      <x:c r="A14478" s="85"/>
      <x:c r="B14478" s="86"/>
    </x:row>
    <x:row r="14479">
      <x:c r="A14479" s="85"/>
      <x:c r="B14479" s="86"/>
    </x:row>
    <x:row r="14480">
      <x:c r="A14480" s="85"/>
      <x:c r="B14480" s="86"/>
    </x:row>
    <x:row r="14481">
      <x:c r="A14481" s="85"/>
      <x:c r="B14481" s="86"/>
    </x:row>
    <x:row r="14482">
      <x:c r="A14482" s="85"/>
      <x:c r="B14482" s="86"/>
    </x:row>
    <x:row r="14483">
      <x:c r="A14483" s="85"/>
      <x:c r="B14483" s="86"/>
    </x:row>
    <x:row r="14484">
      <x:c r="A14484" s="85"/>
      <x:c r="B14484" s="86"/>
    </x:row>
    <x:row r="14485">
      <x:c r="A14485" s="85"/>
      <x:c r="B14485" s="86"/>
    </x:row>
    <x:row r="14486">
      <x:c r="A14486" s="85"/>
      <x:c r="B14486" s="86"/>
    </x:row>
    <x:row r="14487">
      <x:c r="A14487" s="85"/>
      <x:c r="B14487" s="86"/>
    </x:row>
    <x:row r="14488">
      <x:c r="A14488" s="85"/>
      <x:c r="B14488" s="86"/>
    </x:row>
    <x:row r="14489">
      <x:c r="A14489" s="85"/>
      <x:c r="B14489" s="86"/>
    </x:row>
    <x:row r="14490">
      <x:c r="A14490" s="85"/>
      <x:c r="B14490" s="86"/>
    </x:row>
    <x:row r="14491">
      <x:c r="A14491" s="85"/>
      <x:c r="B14491" s="86"/>
    </x:row>
    <x:row r="14492">
      <x:c r="A14492" s="85"/>
      <x:c r="B14492" s="86"/>
    </x:row>
    <x:row r="14493">
      <x:c r="A14493" s="85"/>
      <x:c r="B14493" s="86"/>
    </x:row>
    <x:row r="14494">
      <x:c r="A14494" s="85"/>
      <x:c r="B14494" s="86"/>
    </x:row>
    <x:row r="14495">
      <x:c r="A14495" s="85"/>
      <x:c r="B14495" s="86"/>
    </x:row>
    <x:row r="14496">
      <x:c r="A14496" s="85"/>
      <x:c r="B14496" s="86"/>
    </x:row>
    <x:row r="14497">
      <x:c r="A14497" s="85"/>
      <x:c r="B14497" s="86"/>
    </x:row>
    <x:row r="14498">
      <x:c r="A14498" s="85"/>
      <x:c r="B14498" s="86"/>
    </x:row>
    <x:row r="14499">
      <x:c r="A14499" s="85"/>
      <x:c r="B14499" s="86"/>
    </x:row>
    <x:row r="14500">
      <x:c r="A14500" s="85"/>
      <x:c r="B14500" s="86"/>
    </x:row>
    <x:row r="14501">
      <x:c r="A14501" s="85"/>
      <x:c r="B14501" s="86"/>
    </x:row>
    <x:row r="14502">
      <x:c r="A14502" s="85"/>
      <x:c r="B14502" s="86"/>
    </x:row>
    <x:row r="14503">
      <x:c r="A14503" s="85"/>
      <x:c r="B14503" s="86"/>
    </x:row>
    <x:row r="14504">
      <x:c r="A14504" s="85"/>
      <x:c r="B14504" s="86"/>
    </x:row>
    <x:row r="14505">
      <x:c r="A14505" s="85"/>
      <x:c r="B14505" s="86"/>
    </x:row>
    <x:row r="14506">
      <x:c r="A14506" s="85"/>
      <x:c r="B14506" s="86"/>
    </x:row>
    <x:row r="14507">
      <x:c r="A14507" s="85"/>
      <x:c r="B14507" s="86"/>
    </x:row>
    <x:row r="14508">
      <x:c r="A14508" s="85"/>
      <x:c r="B14508" s="86"/>
    </x:row>
    <x:row r="14509">
      <x:c r="A14509" s="85"/>
      <x:c r="B14509" s="86"/>
    </x:row>
    <x:row r="14510">
      <x:c r="A14510" s="85"/>
      <x:c r="B14510" s="86"/>
    </x:row>
    <x:row r="14511">
      <x:c r="A14511" s="85"/>
      <x:c r="B14511" s="86"/>
    </x:row>
    <x:row r="14512">
      <x:c r="A14512" s="85"/>
      <x:c r="B14512" s="86"/>
    </x:row>
    <x:row r="14513">
      <x:c r="A14513" s="85"/>
      <x:c r="B14513" s="86"/>
    </x:row>
    <x:row r="14514">
      <x:c r="A14514" s="85"/>
      <x:c r="B14514" s="86"/>
    </x:row>
    <x:row r="14515">
      <x:c r="A14515" s="85"/>
      <x:c r="B14515" s="86"/>
    </x:row>
    <x:row r="14516">
      <x:c r="A14516" s="85"/>
      <x:c r="B14516" s="86"/>
    </x:row>
    <x:row r="14517">
      <x:c r="A14517" s="85"/>
      <x:c r="B14517" s="86"/>
    </x:row>
    <x:row r="14518">
      <x:c r="A14518" s="85"/>
      <x:c r="B14518" s="86"/>
    </x:row>
    <x:row r="14519">
      <x:c r="A14519" s="85"/>
      <x:c r="B14519" s="86"/>
    </x:row>
    <x:row r="14520">
      <x:c r="A14520" s="85"/>
      <x:c r="B14520" s="86"/>
    </x:row>
    <x:row r="14521">
      <x:c r="A14521" s="85"/>
      <x:c r="B14521" s="86"/>
    </x:row>
    <x:row r="14522">
      <x:c r="A14522" s="85"/>
      <x:c r="B14522" s="86"/>
    </x:row>
    <x:row r="14523">
      <x:c r="A14523" s="85"/>
      <x:c r="B14523" s="86"/>
    </x:row>
    <x:row r="14524">
      <x:c r="A14524" s="85"/>
      <x:c r="B14524" s="86"/>
    </x:row>
    <x:row r="14525">
      <x:c r="A14525" s="85"/>
      <x:c r="B14525" s="86"/>
    </x:row>
    <x:row r="14526">
      <x:c r="A14526" s="85"/>
      <x:c r="B14526" s="86"/>
    </x:row>
    <x:row r="14527">
      <x:c r="A14527" s="85"/>
      <x:c r="B14527" s="86"/>
    </x:row>
    <x:row r="14528">
      <x:c r="A14528" s="85"/>
      <x:c r="B14528" s="86"/>
    </x:row>
    <x:row r="14529">
      <x:c r="A14529" s="85"/>
      <x:c r="B14529" s="86"/>
    </x:row>
    <x:row r="14530">
      <x:c r="A14530" s="85"/>
      <x:c r="B14530" s="86"/>
    </x:row>
    <x:row r="14531">
      <x:c r="A14531" s="85"/>
      <x:c r="B14531" s="86"/>
    </x:row>
    <x:row r="14532">
      <x:c r="A14532" s="85"/>
      <x:c r="B14532" s="86"/>
    </x:row>
    <x:row r="14533">
      <x:c r="A14533" s="85"/>
      <x:c r="B14533" s="86"/>
    </x:row>
    <x:row r="14534">
      <x:c r="A14534" s="85"/>
      <x:c r="B14534" s="86"/>
    </x:row>
    <x:row r="14535">
      <x:c r="A14535" s="85"/>
      <x:c r="B14535" s="86"/>
    </x:row>
    <x:row r="14536">
      <x:c r="A14536" s="85"/>
      <x:c r="B14536" s="86"/>
    </x:row>
    <x:row r="14537">
      <x:c r="A14537" s="85"/>
      <x:c r="B14537" s="86"/>
    </x:row>
    <x:row r="14538">
      <x:c r="A14538" s="85"/>
      <x:c r="B14538" s="86"/>
    </x:row>
    <x:row r="14539">
      <x:c r="A14539" s="85"/>
      <x:c r="B14539" s="86"/>
    </x:row>
    <x:row r="14540">
      <x:c r="A14540" s="85"/>
      <x:c r="B14540" s="86"/>
    </x:row>
    <x:row r="14541">
      <x:c r="A14541" s="85"/>
      <x:c r="B14541" s="86"/>
    </x:row>
    <x:row r="14542">
      <x:c r="A14542" s="85"/>
      <x:c r="B14542" s="86"/>
    </x:row>
    <x:row r="14543">
      <x:c r="A14543" s="85"/>
      <x:c r="B14543" s="86"/>
    </x:row>
    <x:row r="14544">
      <x:c r="A14544" s="85"/>
      <x:c r="B14544" s="86"/>
    </x:row>
    <x:row r="14545">
      <x:c r="A14545" s="85"/>
      <x:c r="B14545" s="86"/>
    </x:row>
    <x:row r="14546">
      <x:c r="A14546" s="85"/>
      <x:c r="B14546" s="86"/>
    </x:row>
    <x:row r="14547">
      <x:c r="A14547" s="85"/>
      <x:c r="B14547" s="86"/>
    </x:row>
    <x:row r="14548">
      <x:c r="A14548" s="85"/>
      <x:c r="B14548" s="86"/>
    </x:row>
    <x:row r="14549">
      <x:c r="A14549" s="85"/>
      <x:c r="B14549" s="86"/>
    </x:row>
    <x:row r="14550">
      <x:c r="A14550" s="85"/>
      <x:c r="B14550" s="86"/>
    </x:row>
    <x:row r="14551">
      <x:c r="A14551" s="85"/>
      <x:c r="B14551" s="86"/>
    </x:row>
    <x:row r="14552">
      <x:c r="A14552" s="85"/>
      <x:c r="B14552" s="86"/>
    </x:row>
    <x:row r="14553">
      <x:c r="A14553" s="85"/>
      <x:c r="B14553" s="86"/>
    </x:row>
    <x:row r="14554">
      <x:c r="A14554" s="85"/>
      <x:c r="B14554" s="86"/>
    </x:row>
    <x:row r="14555">
      <x:c r="A14555" s="85"/>
      <x:c r="B14555" s="86"/>
    </x:row>
    <x:row r="14556">
      <x:c r="A14556" s="85"/>
      <x:c r="B14556" s="86"/>
    </x:row>
    <x:row r="14557">
      <x:c r="A14557" s="85"/>
      <x:c r="B14557" s="86"/>
    </x:row>
    <x:row r="14558">
      <x:c r="A14558" s="85"/>
      <x:c r="B14558" s="86"/>
    </x:row>
    <x:row r="14559">
      <x:c r="A14559" s="85"/>
      <x:c r="B14559" s="86"/>
    </x:row>
    <x:row r="14560">
      <x:c r="A14560" s="85"/>
      <x:c r="B14560" s="86"/>
    </x:row>
    <x:row r="14561">
      <x:c r="A14561" s="85"/>
      <x:c r="B14561" s="86"/>
    </x:row>
    <x:row r="14562">
      <x:c r="A14562" s="85"/>
      <x:c r="B14562" s="86"/>
    </x:row>
    <x:row r="14563">
      <x:c r="A14563" s="85"/>
      <x:c r="B14563" s="86"/>
    </x:row>
    <x:row r="14564">
      <x:c r="A14564" s="85"/>
      <x:c r="B14564" s="86"/>
    </x:row>
    <x:row r="14565">
      <x:c r="A14565" s="85"/>
      <x:c r="B14565" s="86"/>
    </x:row>
    <x:row r="14566">
      <x:c r="A14566" s="85"/>
      <x:c r="B14566" s="86"/>
    </x:row>
    <x:row r="14567">
      <x:c r="A14567" s="85"/>
      <x:c r="B14567" s="86"/>
    </x:row>
    <x:row r="14568">
      <x:c r="A14568" s="85"/>
      <x:c r="B14568" s="86"/>
    </x:row>
    <x:row r="14569">
      <x:c r="A14569" s="85"/>
      <x:c r="B14569" s="86"/>
    </x:row>
    <x:row r="14570">
      <x:c r="A14570" s="85"/>
      <x:c r="B14570" s="86"/>
    </x:row>
    <x:row r="14571">
      <x:c r="A14571" s="85"/>
      <x:c r="B14571" s="86"/>
    </x:row>
    <x:row r="14572">
      <x:c r="A14572" s="85"/>
      <x:c r="B14572" s="86"/>
    </x:row>
    <x:row r="14573">
      <x:c r="A14573" s="85"/>
      <x:c r="B14573" s="86"/>
    </x:row>
    <x:row r="14574">
      <x:c r="A14574" s="85"/>
      <x:c r="B14574" s="86"/>
    </x:row>
    <x:row r="14575">
      <x:c r="A14575" s="85"/>
      <x:c r="B14575" s="86"/>
    </x:row>
    <x:row r="14576">
      <x:c r="A14576" s="85"/>
      <x:c r="B14576" s="86"/>
    </x:row>
    <x:row r="14577">
      <x:c r="A14577" s="85"/>
      <x:c r="B14577" s="86"/>
    </x:row>
    <x:row r="14578">
      <x:c r="A14578" s="85"/>
      <x:c r="B14578" s="86"/>
    </x:row>
    <x:row r="14579">
      <x:c r="A14579" s="85"/>
      <x:c r="B14579" s="86"/>
    </x:row>
    <x:row r="14580">
      <x:c r="A14580" s="85"/>
      <x:c r="B14580" s="86"/>
    </x:row>
    <x:row r="14581">
      <x:c r="A14581" s="85"/>
      <x:c r="B14581" s="86"/>
    </x:row>
    <x:row r="14582">
      <x:c r="A14582" s="85"/>
      <x:c r="B14582" s="86"/>
    </x:row>
    <x:row r="14583">
      <x:c r="A14583" s="85"/>
      <x:c r="B14583" s="86"/>
    </x:row>
    <x:row r="14584">
      <x:c r="A14584" s="85"/>
      <x:c r="B14584" s="86"/>
    </x:row>
    <x:row r="14585">
      <x:c r="A14585" s="85"/>
      <x:c r="B14585" s="86"/>
    </x:row>
    <x:row r="14586">
      <x:c r="A14586" s="85"/>
      <x:c r="B14586" s="86"/>
    </x:row>
    <x:row r="14587">
      <x:c r="A14587" s="85"/>
      <x:c r="B14587" s="86"/>
    </x:row>
    <x:row r="14588">
      <x:c r="A14588" s="85"/>
      <x:c r="B14588" s="86"/>
    </x:row>
    <x:row r="14589">
      <x:c r="A14589" s="85"/>
      <x:c r="B14589" s="86"/>
    </x:row>
    <x:row r="14590">
      <x:c r="A14590" s="85"/>
      <x:c r="B14590" s="86"/>
    </x:row>
    <x:row r="14591">
      <x:c r="A14591" s="85"/>
      <x:c r="B14591" s="86"/>
    </x:row>
    <x:row r="14592">
      <x:c r="A14592" s="85"/>
      <x:c r="B14592" s="86"/>
    </x:row>
    <x:row r="14593">
      <x:c r="A14593" s="85"/>
      <x:c r="B14593" s="86"/>
    </x:row>
    <x:row r="14594">
      <x:c r="A14594" s="85"/>
      <x:c r="B14594" s="86"/>
    </x:row>
    <x:row r="14595">
      <x:c r="A14595" s="85"/>
      <x:c r="B14595" s="86"/>
    </x:row>
    <x:row r="14596">
      <x:c r="A14596" s="85"/>
      <x:c r="B14596" s="86"/>
    </x:row>
    <x:row r="14597">
      <x:c r="A14597" s="85"/>
      <x:c r="B14597" s="86"/>
    </x:row>
    <x:row r="14598">
      <x:c r="A14598" s="85"/>
      <x:c r="B14598" s="86"/>
    </x:row>
    <x:row r="14599">
      <x:c r="A14599" s="85"/>
      <x:c r="B14599" s="86"/>
    </x:row>
    <x:row r="14600">
      <x:c r="A14600" s="85"/>
      <x:c r="B14600" s="86"/>
    </x:row>
    <x:row r="14601">
      <x:c r="A14601" s="85"/>
      <x:c r="B14601" s="86"/>
    </x:row>
    <x:row r="14602">
      <x:c r="A14602" s="85"/>
      <x:c r="B14602" s="86"/>
    </x:row>
    <x:row r="14603">
      <x:c r="A14603" s="85"/>
      <x:c r="B14603" s="86"/>
    </x:row>
    <x:row r="14604">
      <x:c r="A14604" s="85"/>
      <x:c r="B14604" s="86"/>
    </x:row>
    <x:row r="14605">
      <x:c r="A14605" s="85"/>
      <x:c r="B14605" s="86"/>
    </x:row>
    <x:row r="14606">
      <x:c r="A14606" s="85"/>
      <x:c r="B14606" s="86"/>
    </x:row>
    <x:row r="14607">
      <x:c r="A14607" s="85"/>
      <x:c r="B14607" s="86"/>
    </x:row>
    <x:row r="14608">
      <x:c r="A14608" s="85"/>
      <x:c r="B14608" s="86"/>
    </x:row>
    <x:row r="14609">
      <x:c r="A14609" s="85"/>
      <x:c r="B14609" s="86"/>
    </x:row>
    <x:row r="14610">
      <x:c r="A14610" s="85"/>
      <x:c r="B14610" s="86"/>
    </x:row>
    <x:row r="14611">
      <x:c r="A14611" s="85"/>
      <x:c r="B14611" s="86"/>
    </x:row>
    <x:row r="14612">
      <x:c r="A14612" s="85"/>
      <x:c r="B14612" s="86"/>
    </x:row>
    <x:row r="14613">
      <x:c r="A14613" s="85"/>
      <x:c r="B14613" s="86"/>
    </x:row>
    <x:row r="14614">
      <x:c r="A14614" s="85"/>
      <x:c r="B14614" s="86"/>
    </x:row>
    <x:row r="14615">
      <x:c r="A14615" s="85"/>
      <x:c r="B14615" s="86"/>
    </x:row>
    <x:row r="14616">
      <x:c r="A14616" s="85"/>
      <x:c r="B14616" s="86"/>
    </x:row>
    <x:row r="14617">
      <x:c r="A14617" s="85"/>
      <x:c r="B14617" s="86"/>
    </x:row>
    <x:row r="14618">
      <x:c r="A14618" s="85"/>
      <x:c r="B14618" s="86"/>
    </x:row>
    <x:row r="14619">
      <x:c r="A14619" s="85"/>
      <x:c r="B14619" s="86"/>
    </x:row>
    <x:row r="14620">
      <x:c r="A14620" s="85"/>
      <x:c r="B14620" s="86"/>
    </x:row>
    <x:row r="14621">
      <x:c r="A14621" s="85"/>
      <x:c r="B14621" s="86"/>
    </x:row>
    <x:row r="14622">
      <x:c r="A14622" s="85"/>
      <x:c r="B14622" s="86"/>
    </x:row>
    <x:row r="14623">
      <x:c r="A14623" s="85"/>
      <x:c r="B14623" s="86"/>
    </x:row>
    <x:row r="14624">
      <x:c r="A14624" s="85"/>
      <x:c r="B14624" s="86"/>
    </x:row>
    <x:row r="14625">
      <x:c r="A14625" s="85"/>
      <x:c r="B14625" s="86"/>
    </x:row>
    <x:row r="14626">
      <x:c r="A14626" s="85"/>
      <x:c r="B14626" s="86"/>
    </x:row>
    <x:row r="14627">
      <x:c r="A14627" s="85"/>
      <x:c r="B14627" s="86"/>
    </x:row>
    <x:row r="14628">
      <x:c r="A14628" s="85"/>
      <x:c r="B14628" s="86"/>
    </x:row>
    <x:row r="14629">
      <x:c r="A14629" s="85"/>
      <x:c r="B14629" s="86"/>
    </x:row>
    <x:row r="14630">
      <x:c r="A14630" s="85"/>
      <x:c r="B14630" s="86"/>
    </x:row>
    <x:row r="14631">
      <x:c r="A14631" s="85"/>
      <x:c r="B14631" s="86"/>
    </x:row>
    <x:row r="14632">
      <x:c r="A14632" s="85"/>
      <x:c r="B14632" s="86"/>
    </x:row>
    <x:row r="14633">
      <x:c r="A14633" s="85"/>
      <x:c r="B14633" s="86"/>
    </x:row>
    <x:row r="14634">
      <x:c r="A14634" s="85"/>
      <x:c r="B14634" s="86"/>
    </x:row>
    <x:row r="14635">
      <x:c r="A14635" s="85"/>
      <x:c r="B14635" s="86"/>
    </x:row>
    <x:row r="14636">
      <x:c r="A14636" s="85"/>
      <x:c r="B14636" s="86"/>
    </x:row>
    <x:row r="14637">
      <x:c r="A14637" s="85"/>
      <x:c r="B14637" s="86"/>
    </x:row>
    <x:row r="14638">
      <x:c r="A14638" s="85"/>
      <x:c r="B14638" s="86"/>
    </x:row>
    <x:row r="14639">
      <x:c r="A14639" s="85"/>
      <x:c r="B14639" s="86"/>
    </x:row>
    <x:row r="14640">
      <x:c r="A14640" s="85"/>
      <x:c r="B14640" s="86"/>
    </x:row>
    <x:row r="14641">
      <x:c r="A14641" s="85"/>
      <x:c r="B14641" s="86"/>
    </x:row>
    <x:row r="14642">
      <x:c r="A14642" s="85"/>
      <x:c r="B14642" s="86"/>
    </x:row>
    <x:row r="14643">
      <x:c r="A14643" s="85"/>
      <x:c r="B14643" s="86"/>
    </x:row>
    <x:row r="14644">
      <x:c r="A14644" s="85"/>
      <x:c r="B14644" s="86"/>
    </x:row>
    <x:row r="14645">
      <x:c r="A14645" s="85"/>
      <x:c r="B14645" s="86"/>
    </x:row>
    <x:row r="14646">
      <x:c r="A14646" s="85"/>
      <x:c r="B14646" s="86"/>
    </x:row>
    <x:row r="14647">
      <x:c r="A14647" s="85"/>
      <x:c r="B14647" s="86"/>
    </x:row>
    <x:row r="14648">
      <x:c r="A14648" s="85"/>
      <x:c r="B14648" s="86"/>
    </x:row>
    <x:row r="14649">
      <x:c r="A14649" s="85"/>
      <x:c r="B14649" s="86"/>
    </x:row>
    <x:row r="14650">
      <x:c r="A14650" s="85"/>
      <x:c r="B14650" s="86"/>
    </x:row>
    <x:row r="14651">
      <x:c r="A14651" s="85"/>
      <x:c r="B14651" s="86"/>
    </x:row>
    <x:row r="14652">
      <x:c r="A14652" s="85"/>
      <x:c r="B14652" s="86"/>
    </x:row>
    <x:row r="14653">
      <x:c r="A14653" s="85"/>
      <x:c r="B14653" s="86"/>
    </x:row>
    <x:row r="14654">
      <x:c r="A14654" s="85"/>
      <x:c r="B14654" s="86"/>
    </x:row>
    <x:row r="14655">
      <x:c r="A14655" s="85"/>
      <x:c r="B14655" s="86"/>
    </x:row>
    <x:row r="14656">
      <x:c r="A14656" s="85"/>
      <x:c r="B14656" s="86"/>
    </x:row>
    <x:row r="14657">
      <x:c r="A14657" s="85"/>
      <x:c r="B14657" s="86"/>
    </x:row>
    <x:row r="14658">
      <x:c r="A14658" s="85"/>
      <x:c r="B14658" s="86"/>
    </x:row>
    <x:row r="14659">
      <x:c r="A14659" s="85"/>
      <x:c r="B14659" s="86"/>
    </x:row>
    <x:row r="14660">
      <x:c r="A14660" s="85"/>
      <x:c r="B14660" s="86"/>
    </x:row>
    <x:row r="14661">
      <x:c r="A14661" s="85"/>
      <x:c r="B14661" s="86"/>
    </x:row>
    <x:row r="14662">
      <x:c r="A14662" s="85"/>
      <x:c r="B14662" s="86"/>
    </x:row>
    <x:row r="14663">
      <x:c r="A14663" s="85"/>
      <x:c r="B14663" s="86"/>
    </x:row>
    <x:row r="14664">
      <x:c r="A14664" s="85"/>
      <x:c r="B14664" s="86"/>
    </x:row>
    <x:row r="14665">
      <x:c r="A14665" s="85"/>
      <x:c r="B14665" s="86"/>
    </x:row>
    <x:row r="14666">
      <x:c r="A14666" s="85"/>
      <x:c r="B14666" s="86"/>
    </x:row>
    <x:row r="14667">
      <x:c r="A14667" s="85"/>
      <x:c r="B14667" s="86"/>
    </x:row>
    <x:row r="14668">
      <x:c r="A14668" s="85"/>
      <x:c r="B14668" s="86"/>
    </x:row>
    <x:row r="14669">
      <x:c r="A14669" s="85"/>
      <x:c r="B14669" s="86"/>
    </x:row>
    <x:row r="14670">
      <x:c r="A14670" s="85"/>
      <x:c r="B14670" s="86"/>
    </x:row>
    <x:row r="14671">
      <x:c r="A14671" s="85"/>
      <x:c r="B14671" s="86"/>
    </x:row>
    <x:row r="14672">
      <x:c r="A14672" s="85"/>
      <x:c r="B14672" s="86"/>
    </x:row>
    <x:row r="14673">
      <x:c r="A14673" s="85"/>
      <x:c r="B14673" s="86"/>
    </x:row>
    <x:row r="14674">
      <x:c r="A14674" s="85"/>
      <x:c r="B14674" s="86"/>
    </x:row>
    <x:row r="14675">
      <x:c r="A14675" s="85"/>
      <x:c r="B14675" s="86"/>
    </x:row>
    <x:row r="14676">
      <x:c r="A14676" s="85"/>
      <x:c r="B14676" s="86"/>
    </x:row>
    <x:row r="14677">
      <x:c r="A14677" s="85"/>
      <x:c r="B14677" s="86"/>
    </x:row>
    <x:row r="14678">
      <x:c r="A14678" s="85"/>
      <x:c r="B14678" s="86"/>
    </x:row>
    <x:row r="14679">
      <x:c r="A14679" s="85"/>
      <x:c r="B14679" s="86"/>
    </x:row>
    <x:row r="14680">
      <x:c r="A14680" s="85"/>
      <x:c r="B14680" s="86"/>
    </x:row>
    <x:row r="14681">
      <x:c r="A14681" s="85"/>
      <x:c r="B14681" s="86"/>
    </x:row>
    <x:row r="14682">
      <x:c r="A14682" s="85"/>
      <x:c r="B14682" s="86"/>
    </x:row>
    <x:row r="14683">
      <x:c r="A14683" s="85"/>
      <x:c r="B14683" s="86"/>
    </x:row>
    <x:row r="14684">
      <x:c r="A14684" s="85"/>
      <x:c r="B14684" s="86"/>
    </x:row>
    <x:row r="14685">
      <x:c r="A14685" s="85"/>
      <x:c r="B14685" s="86"/>
    </x:row>
    <x:row r="14686">
      <x:c r="A14686" s="85"/>
      <x:c r="B14686" s="86"/>
    </x:row>
    <x:row r="14687">
      <x:c r="A14687" s="85"/>
      <x:c r="B14687" s="86"/>
    </x:row>
    <x:row r="14688">
      <x:c r="A14688" s="85"/>
      <x:c r="B14688" s="86"/>
    </x:row>
    <x:row r="14689">
      <x:c r="A14689" s="85"/>
      <x:c r="B14689" s="86"/>
    </x:row>
    <x:row r="14690">
      <x:c r="A14690" s="85"/>
      <x:c r="B14690" s="86"/>
    </x:row>
    <x:row r="14691">
      <x:c r="A14691" s="85"/>
      <x:c r="B14691" s="86"/>
    </x:row>
    <x:row r="14692">
      <x:c r="A14692" s="85"/>
      <x:c r="B14692" s="86"/>
    </x:row>
    <x:row r="14693">
      <x:c r="A14693" s="85"/>
      <x:c r="B14693" s="86"/>
    </x:row>
    <x:row r="14694">
      <x:c r="A14694" s="85"/>
      <x:c r="B14694" s="86"/>
    </x:row>
    <x:row r="14695">
      <x:c r="A14695" s="85"/>
      <x:c r="B14695" s="86"/>
    </x:row>
    <x:row r="14696">
      <x:c r="A14696" s="85"/>
      <x:c r="B14696" s="86"/>
    </x:row>
    <x:row r="14697">
      <x:c r="A14697" s="85"/>
      <x:c r="B14697" s="86"/>
    </x:row>
    <x:row r="14698">
      <x:c r="A14698" s="85"/>
      <x:c r="B14698" s="86"/>
    </x:row>
    <x:row r="14699">
      <x:c r="A14699" s="85"/>
      <x:c r="B14699" s="86"/>
    </x:row>
    <x:row r="14700">
      <x:c r="A14700" s="85"/>
      <x:c r="B14700" s="86"/>
    </x:row>
    <x:row r="14701">
      <x:c r="A14701" s="85"/>
      <x:c r="B14701" s="86"/>
    </x:row>
    <x:row r="14702">
      <x:c r="A14702" s="85"/>
      <x:c r="B14702" s="86"/>
    </x:row>
    <x:row r="14703">
      <x:c r="A14703" s="85"/>
      <x:c r="B14703" s="86"/>
    </x:row>
    <x:row r="14704">
      <x:c r="A14704" s="85"/>
      <x:c r="B14704" s="86"/>
    </x:row>
    <x:row r="14705">
      <x:c r="A14705" s="85"/>
      <x:c r="B14705" s="86"/>
    </x:row>
    <x:row r="14706">
      <x:c r="A14706" s="85"/>
      <x:c r="B14706" s="86"/>
    </x:row>
    <x:row r="14707">
      <x:c r="A14707" s="85"/>
      <x:c r="B14707" s="86"/>
    </x:row>
    <x:row r="14708">
      <x:c r="A14708" s="85"/>
      <x:c r="B14708" s="86"/>
    </x:row>
    <x:row r="14709">
      <x:c r="A14709" s="85"/>
      <x:c r="B14709" s="86"/>
    </x:row>
    <x:row r="14710">
      <x:c r="A14710" s="85"/>
      <x:c r="B14710" s="86"/>
    </x:row>
    <x:row r="14711">
      <x:c r="A14711" s="85"/>
      <x:c r="B14711" s="86"/>
    </x:row>
    <x:row r="14712">
      <x:c r="A14712" s="85"/>
      <x:c r="B14712" s="86"/>
    </x:row>
    <x:row r="14713">
      <x:c r="A14713" s="85"/>
      <x:c r="B14713" s="86"/>
    </x:row>
    <x:row r="14714">
      <x:c r="A14714" s="85"/>
      <x:c r="B14714" s="86"/>
    </x:row>
    <x:row r="14715">
      <x:c r="A14715" s="85"/>
      <x:c r="B14715" s="86"/>
    </x:row>
    <x:row r="14716">
      <x:c r="A14716" s="85"/>
      <x:c r="B14716" s="86"/>
    </x:row>
    <x:row r="14717">
      <x:c r="A14717" s="85"/>
      <x:c r="B14717" s="86"/>
    </x:row>
    <x:row r="14718">
      <x:c r="A14718" s="85"/>
      <x:c r="B14718" s="86"/>
    </x:row>
    <x:row r="14719">
      <x:c r="A14719" s="85"/>
      <x:c r="B14719" s="86"/>
    </x:row>
    <x:row r="14720">
      <x:c r="A14720" s="85"/>
      <x:c r="B14720" s="86"/>
    </x:row>
    <x:row r="14721">
      <x:c r="A14721" s="85"/>
      <x:c r="B14721" s="86"/>
    </x:row>
    <x:row r="14722">
      <x:c r="A14722" s="85"/>
      <x:c r="B14722" s="86"/>
    </x:row>
    <x:row r="14723">
      <x:c r="A14723" s="85"/>
      <x:c r="B14723" s="86"/>
    </x:row>
    <x:row r="14724">
      <x:c r="A14724" s="85"/>
      <x:c r="B14724" s="86"/>
    </x:row>
    <x:row r="14725">
      <x:c r="A14725" s="85"/>
      <x:c r="B14725" s="86"/>
    </x:row>
    <x:row r="14726">
      <x:c r="A14726" s="85"/>
      <x:c r="B14726" s="86"/>
    </x:row>
    <x:row r="14727">
      <x:c r="A14727" s="85"/>
      <x:c r="B14727" s="86"/>
    </x:row>
    <x:row r="14728">
      <x:c r="A14728" s="85"/>
      <x:c r="B14728" s="86"/>
    </x:row>
    <x:row r="14729">
      <x:c r="A14729" s="85"/>
      <x:c r="B14729" s="86"/>
    </x:row>
    <x:row r="14730">
      <x:c r="A14730" s="85"/>
      <x:c r="B14730" s="86"/>
    </x:row>
    <x:row r="14731">
      <x:c r="A14731" s="85"/>
      <x:c r="B14731" s="86"/>
    </x:row>
    <x:row r="14732">
      <x:c r="A14732" s="85"/>
      <x:c r="B14732" s="86"/>
    </x:row>
    <x:row r="14733">
      <x:c r="A14733" s="85"/>
      <x:c r="B14733" s="86"/>
    </x:row>
    <x:row r="14734">
      <x:c r="A14734" s="85"/>
      <x:c r="B14734" s="86"/>
    </x:row>
    <x:row r="14735">
      <x:c r="A14735" s="85"/>
      <x:c r="B14735" s="86"/>
    </x:row>
    <x:row r="14736">
      <x:c r="A14736" s="85"/>
      <x:c r="B14736" s="86"/>
    </x:row>
    <x:row r="14737">
      <x:c r="A14737" s="85"/>
      <x:c r="B14737" s="86"/>
    </x:row>
    <x:row r="14738">
      <x:c r="A14738" s="85"/>
      <x:c r="B14738" s="86"/>
    </x:row>
    <x:row r="14739">
      <x:c r="A14739" s="85"/>
      <x:c r="B14739" s="86"/>
    </x:row>
    <x:row r="14740">
      <x:c r="A14740" s="85"/>
      <x:c r="B14740" s="86"/>
    </x:row>
    <x:row r="14741">
      <x:c r="A14741" s="85"/>
      <x:c r="B14741" s="86"/>
    </x:row>
    <x:row r="14742">
      <x:c r="A14742" s="85"/>
      <x:c r="B14742" s="86"/>
    </x:row>
    <x:row r="14743">
      <x:c r="A14743" s="85"/>
      <x:c r="B14743" s="86"/>
    </x:row>
    <x:row r="14744">
      <x:c r="A14744" s="85"/>
      <x:c r="B14744" s="86"/>
    </x:row>
    <x:row r="14745">
      <x:c r="A14745" s="85"/>
      <x:c r="B14745" s="86"/>
    </x:row>
    <x:row r="14746">
      <x:c r="A14746" s="85"/>
      <x:c r="B14746" s="86"/>
    </x:row>
    <x:row r="14747">
      <x:c r="A14747" s="85"/>
      <x:c r="B14747" s="86"/>
    </x:row>
    <x:row r="14748">
      <x:c r="A14748" s="85"/>
      <x:c r="B14748" s="86"/>
    </x:row>
    <x:row r="14749">
      <x:c r="A14749" s="85"/>
      <x:c r="B14749" s="86"/>
    </x:row>
    <x:row r="14750">
      <x:c r="A14750" s="85"/>
      <x:c r="B14750" s="86"/>
    </x:row>
    <x:row r="14751">
      <x:c r="A14751" s="85"/>
      <x:c r="B14751" s="86"/>
    </x:row>
    <x:row r="14752">
      <x:c r="A14752" s="85"/>
      <x:c r="B14752" s="86"/>
    </x:row>
    <x:row r="14753">
      <x:c r="A14753" s="85"/>
      <x:c r="B14753" s="86"/>
    </x:row>
    <x:row r="14754">
      <x:c r="A14754" s="85"/>
      <x:c r="B14754" s="86"/>
    </x:row>
    <x:row r="14755">
      <x:c r="A14755" s="85"/>
      <x:c r="B14755" s="86"/>
    </x:row>
    <x:row r="14756">
      <x:c r="A14756" s="85"/>
      <x:c r="B14756" s="86"/>
    </x:row>
    <x:row r="14757">
      <x:c r="A14757" s="85"/>
      <x:c r="B14757" s="86"/>
    </x:row>
    <x:row r="14758">
      <x:c r="A14758" s="85"/>
      <x:c r="B14758" s="86"/>
    </x:row>
    <x:row r="14759">
      <x:c r="A14759" s="85"/>
      <x:c r="B14759" s="86"/>
    </x:row>
    <x:row r="14760">
      <x:c r="A14760" s="85"/>
      <x:c r="B14760" s="86"/>
    </x:row>
    <x:row r="14761">
      <x:c r="A14761" s="85"/>
      <x:c r="B14761" s="86"/>
    </x:row>
    <x:row r="14762">
      <x:c r="A14762" s="85"/>
      <x:c r="B14762" s="86"/>
    </x:row>
    <x:row r="14763">
      <x:c r="A14763" s="85"/>
      <x:c r="B14763" s="86"/>
    </x:row>
    <x:row r="14764">
      <x:c r="A14764" s="85"/>
      <x:c r="B14764" s="86"/>
    </x:row>
    <x:row r="14765">
      <x:c r="A14765" s="85"/>
      <x:c r="B14765" s="86"/>
    </x:row>
    <x:row r="14766">
      <x:c r="A14766" s="85"/>
      <x:c r="B14766" s="86"/>
    </x:row>
    <x:row r="14767">
      <x:c r="A14767" s="85"/>
      <x:c r="B14767" s="86"/>
    </x:row>
    <x:row r="14768">
      <x:c r="A14768" s="85"/>
      <x:c r="B14768" s="86"/>
    </x:row>
    <x:row r="14769">
      <x:c r="A14769" s="85"/>
      <x:c r="B14769" s="86"/>
    </x:row>
    <x:row r="14770">
      <x:c r="A14770" s="85"/>
      <x:c r="B14770" s="86"/>
    </x:row>
    <x:row r="14771">
      <x:c r="A14771" s="85"/>
      <x:c r="B14771" s="86"/>
    </x:row>
    <x:row r="14772">
      <x:c r="A14772" s="85"/>
      <x:c r="B14772" s="86"/>
    </x:row>
    <x:row r="14773">
      <x:c r="A14773" s="85"/>
      <x:c r="B14773" s="86"/>
    </x:row>
    <x:row r="14774">
      <x:c r="A14774" s="85"/>
      <x:c r="B14774" s="86"/>
    </x:row>
    <x:row r="14775">
      <x:c r="A14775" s="85"/>
      <x:c r="B14775" s="86"/>
    </x:row>
    <x:row r="14776">
      <x:c r="A14776" s="85"/>
      <x:c r="B14776" s="86"/>
    </x:row>
    <x:row r="14777">
      <x:c r="A14777" s="85"/>
      <x:c r="B14777" s="86"/>
    </x:row>
    <x:row r="14778">
      <x:c r="A14778" s="85"/>
      <x:c r="B14778" s="86"/>
    </x:row>
    <x:row r="14779">
      <x:c r="A14779" s="85"/>
      <x:c r="B14779" s="86"/>
    </x:row>
    <x:row r="14780">
      <x:c r="A14780" s="85"/>
      <x:c r="B14780" s="86"/>
    </x:row>
    <x:row r="14781">
      <x:c r="A14781" s="85"/>
      <x:c r="B14781" s="86"/>
    </x:row>
    <x:row r="14782">
      <x:c r="A14782" s="85"/>
      <x:c r="B14782" s="86"/>
    </x:row>
    <x:row r="14783">
      <x:c r="A14783" s="85"/>
      <x:c r="B14783" s="86"/>
    </x:row>
    <x:row r="14784">
      <x:c r="A14784" s="85"/>
      <x:c r="B14784" s="86"/>
    </x:row>
    <x:row r="14785">
      <x:c r="A14785" s="85"/>
      <x:c r="B14785" s="86"/>
    </x:row>
    <x:row r="14786">
      <x:c r="A14786" s="85"/>
      <x:c r="B14786" s="86"/>
    </x:row>
    <x:row r="14787">
      <x:c r="A14787" s="85"/>
      <x:c r="B14787" s="86"/>
    </x:row>
    <x:row r="14788">
      <x:c r="A14788" s="85"/>
      <x:c r="B14788" s="86"/>
    </x:row>
    <x:row r="14789">
      <x:c r="A14789" s="85"/>
      <x:c r="B14789" s="86"/>
    </x:row>
    <x:row r="14790">
      <x:c r="A14790" s="85"/>
      <x:c r="B14790" s="86"/>
    </x:row>
    <x:row r="14791">
      <x:c r="A14791" s="85"/>
      <x:c r="B14791" s="86"/>
    </x:row>
    <x:row r="14792">
      <x:c r="A14792" s="85"/>
      <x:c r="B14792" s="86"/>
    </x:row>
    <x:row r="14793">
      <x:c r="A14793" s="85"/>
      <x:c r="B14793" s="86"/>
    </x:row>
    <x:row r="14794">
      <x:c r="A14794" s="85"/>
      <x:c r="B14794" s="86"/>
    </x:row>
    <x:row r="14795">
      <x:c r="A14795" s="85"/>
      <x:c r="B14795" s="86"/>
    </x:row>
    <x:row r="14796">
      <x:c r="A14796" s="85"/>
      <x:c r="B14796" s="86"/>
    </x:row>
    <x:row r="14797">
      <x:c r="A14797" s="85"/>
      <x:c r="B14797" s="86"/>
    </x:row>
    <x:row r="14798">
      <x:c r="A14798" s="85"/>
      <x:c r="B14798" s="86"/>
    </x:row>
    <x:row r="14799">
      <x:c r="A14799" s="85"/>
      <x:c r="B14799" s="86"/>
    </x:row>
    <x:row r="14800">
      <x:c r="A14800" s="85"/>
      <x:c r="B14800" s="86"/>
    </x:row>
    <x:row r="14801">
      <x:c r="A14801" s="85"/>
      <x:c r="B14801" s="86"/>
    </x:row>
    <x:row r="14802">
      <x:c r="A14802" s="85"/>
      <x:c r="B14802" s="86"/>
    </x:row>
    <x:row r="14803">
      <x:c r="A14803" s="85"/>
      <x:c r="B14803" s="86"/>
    </x:row>
    <x:row r="14804">
      <x:c r="A14804" s="85"/>
      <x:c r="B14804" s="86"/>
    </x:row>
    <x:row r="14805">
      <x:c r="A14805" s="85"/>
      <x:c r="B14805" s="86"/>
    </x:row>
    <x:row r="14806">
      <x:c r="A14806" s="85"/>
      <x:c r="B14806" s="86"/>
    </x:row>
    <x:row r="14807">
      <x:c r="A14807" s="85"/>
      <x:c r="B14807" s="86"/>
    </x:row>
    <x:row r="14808">
      <x:c r="A14808" s="85"/>
      <x:c r="B14808" s="86"/>
    </x:row>
    <x:row r="14809">
      <x:c r="A14809" s="85"/>
      <x:c r="B14809" s="86"/>
    </x:row>
    <x:row r="14810">
      <x:c r="A14810" s="85"/>
      <x:c r="B14810" s="86"/>
    </x:row>
    <x:row r="14811">
      <x:c r="A14811" s="85"/>
      <x:c r="B14811" s="86"/>
    </x:row>
    <x:row r="14812">
      <x:c r="A14812" s="85"/>
      <x:c r="B14812" s="86"/>
    </x:row>
    <x:row r="14813">
      <x:c r="A14813" s="85"/>
      <x:c r="B14813" s="86"/>
    </x:row>
    <x:row r="14814">
      <x:c r="A14814" s="85"/>
      <x:c r="B14814" s="86"/>
    </x:row>
    <x:row r="14815">
      <x:c r="A14815" s="85"/>
      <x:c r="B14815" s="86"/>
    </x:row>
    <x:row r="14816">
      <x:c r="A14816" s="85"/>
      <x:c r="B14816" s="86"/>
    </x:row>
    <x:row r="14817">
      <x:c r="A14817" s="85"/>
      <x:c r="B14817" s="86"/>
    </x:row>
    <x:row r="14818">
      <x:c r="A14818" s="85"/>
      <x:c r="B14818" s="86"/>
    </x:row>
    <x:row r="14819">
      <x:c r="A14819" s="85"/>
      <x:c r="B14819" s="86"/>
    </x:row>
    <x:row r="14820">
      <x:c r="A14820" s="85"/>
      <x:c r="B14820" s="86"/>
    </x:row>
    <x:row r="14821">
      <x:c r="A14821" s="85"/>
      <x:c r="B14821" s="86"/>
    </x:row>
    <x:row r="14822">
      <x:c r="A14822" s="85"/>
      <x:c r="B14822" s="86"/>
    </x:row>
    <x:row r="14823">
      <x:c r="A14823" s="85"/>
      <x:c r="B14823" s="86"/>
    </x:row>
    <x:row r="14824">
      <x:c r="A14824" s="85"/>
      <x:c r="B14824" s="86"/>
    </x:row>
    <x:row r="14825">
      <x:c r="A14825" s="85"/>
      <x:c r="B14825" s="86"/>
    </x:row>
    <x:row r="14826">
      <x:c r="A14826" s="85"/>
      <x:c r="B14826" s="86"/>
    </x:row>
    <x:row r="14827">
      <x:c r="A14827" s="85"/>
      <x:c r="B14827" s="86"/>
    </x:row>
    <x:row r="14828">
      <x:c r="A14828" s="85"/>
      <x:c r="B14828" s="86"/>
    </x:row>
    <x:row r="14829">
      <x:c r="A14829" s="85"/>
      <x:c r="B14829" s="86"/>
    </x:row>
    <x:row r="14830">
      <x:c r="A14830" s="85"/>
      <x:c r="B14830" s="86"/>
    </x:row>
    <x:row r="14831">
      <x:c r="A14831" s="85"/>
      <x:c r="B14831" s="86"/>
    </x:row>
    <x:row r="14832">
      <x:c r="A14832" s="85"/>
      <x:c r="B14832" s="86"/>
    </x:row>
    <x:row r="14833">
      <x:c r="A14833" s="85"/>
      <x:c r="B14833" s="86"/>
    </x:row>
    <x:row r="14834">
      <x:c r="A14834" s="85"/>
      <x:c r="B14834" s="86"/>
    </x:row>
    <x:row r="14835">
      <x:c r="A14835" s="85"/>
      <x:c r="B14835" s="86"/>
    </x:row>
    <x:row r="14836">
      <x:c r="A14836" s="85"/>
      <x:c r="B14836" s="86"/>
    </x:row>
    <x:row r="14837">
      <x:c r="A14837" s="85"/>
      <x:c r="B14837" s="86"/>
    </x:row>
    <x:row r="14838">
      <x:c r="A14838" s="85"/>
      <x:c r="B14838" s="86"/>
    </x:row>
    <x:row r="14839">
      <x:c r="A14839" s="85"/>
      <x:c r="B14839" s="86"/>
    </x:row>
    <x:row r="14840">
      <x:c r="A14840" s="85"/>
      <x:c r="B14840" s="86"/>
    </x:row>
    <x:row r="14841">
      <x:c r="A14841" s="85"/>
      <x:c r="B14841" s="86"/>
    </x:row>
    <x:row r="14842">
      <x:c r="A14842" s="85"/>
      <x:c r="B14842" s="86"/>
    </x:row>
    <x:row r="14843">
      <x:c r="A14843" s="85"/>
      <x:c r="B14843" s="86"/>
    </x:row>
    <x:row r="14844">
      <x:c r="A14844" s="85"/>
      <x:c r="B14844" s="86"/>
    </x:row>
    <x:row r="14845">
      <x:c r="A14845" s="85"/>
      <x:c r="B14845" s="86"/>
    </x:row>
    <x:row r="14846">
      <x:c r="A14846" s="85"/>
      <x:c r="B14846" s="86"/>
    </x:row>
    <x:row r="14847">
      <x:c r="A14847" s="85"/>
      <x:c r="B14847" s="86"/>
    </x:row>
    <x:row r="14848">
      <x:c r="A14848" s="85"/>
      <x:c r="B14848" s="86"/>
    </x:row>
    <x:row r="14849">
      <x:c r="A14849" s="85"/>
      <x:c r="B14849" s="86"/>
    </x:row>
    <x:row r="14850">
      <x:c r="A14850" s="85"/>
      <x:c r="B14850" s="86"/>
    </x:row>
    <x:row r="14851">
      <x:c r="A14851" s="85"/>
      <x:c r="B14851" s="86"/>
    </x:row>
    <x:row r="14852">
      <x:c r="A14852" s="85"/>
      <x:c r="B14852" s="86"/>
    </x:row>
    <x:row r="14853">
      <x:c r="A14853" s="85"/>
      <x:c r="B14853" s="86"/>
    </x:row>
    <x:row r="14854">
      <x:c r="A14854" s="85"/>
      <x:c r="B14854" s="86"/>
    </x:row>
    <x:row r="14855">
      <x:c r="A14855" s="85"/>
      <x:c r="B14855" s="86"/>
    </x:row>
    <x:row r="14856">
      <x:c r="A14856" s="85"/>
      <x:c r="B14856" s="86"/>
    </x:row>
    <x:row r="14857">
      <x:c r="A14857" s="85"/>
      <x:c r="B14857" s="86"/>
    </x:row>
    <x:row r="14858">
      <x:c r="A14858" s="85"/>
      <x:c r="B14858" s="86"/>
    </x:row>
    <x:row r="14859">
      <x:c r="A14859" s="85"/>
      <x:c r="B14859" s="86"/>
    </x:row>
    <x:row r="14860">
      <x:c r="A14860" s="85"/>
      <x:c r="B14860" s="86"/>
    </x:row>
    <x:row r="14861">
      <x:c r="A14861" s="85"/>
      <x:c r="B14861" s="86"/>
    </x:row>
    <x:row r="14862">
      <x:c r="A14862" s="85"/>
      <x:c r="B14862" s="86"/>
    </x:row>
    <x:row r="14863">
      <x:c r="A14863" s="85"/>
      <x:c r="B14863" s="86"/>
    </x:row>
    <x:row r="14864">
      <x:c r="A14864" s="85"/>
      <x:c r="B14864" s="86"/>
    </x:row>
    <x:row r="14865">
      <x:c r="A14865" s="85"/>
      <x:c r="B14865" s="86"/>
    </x:row>
    <x:row r="14866">
      <x:c r="A14866" s="85"/>
      <x:c r="B14866" s="86"/>
    </x:row>
    <x:row r="14867">
      <x:c r="A14867" s="85"/>
      <x:c r="B14867" s="86"/>
    </x:row>
    <x:row r="14868">
      <x:c r="A14868" s="85"/>
      <x:c r="B14868" s="86"/>
    </x:row>
    <x:row r="14869">
      <x:c r="A14869" s="85"/>
      <x:c r="B14869" s="86"/>
    </x:row>
    <x:row r="14870">
      <x:c r="A14870" s="85"/>
      <x:c r="B14870" s="86"/>
    </x:row>
    <x:row r="14871">
      <x:c r="A14871" s="85"/>
      <x:c r="B14871" s="86"/>
    </x:row>
    <x:row r="14872">
      <x:c r="A14872" s="85"/>
      <x:c r="B14872" s="86"/>
    </x:row>
    <x:row r="14873">
      <x:c r="A14873" s="85"/>
      <x:c r="B14873" s="86"/>
    </x:row>
    <x:row r="14874">
      <x:c r="A14874" s="85"/>
      <x:c r="B14874" s="86"/>
    </x:row>
    <x:row r="14875">
      <x:c r="A14875" s="85"/>
      <x:c r="B14875" s="86"/>
    </x:row>
    <x:row r="14876">
      <x:c r="A14876" s="85"/>
      <x:c r="B14876" s="86"/>
    </x:row>
    <x:row r="14877">
      <x:c r="A14877" s="85"/>
      <x:c r="B14877" s="86"/>
    </x:row>
    <x:row r="14878">
      <x:c r="A14878" s="85"/>
      <x:c r="B14878" s="86"/>
    </x:row>
    <x:row r="14879">
      <x:c r="A14879" s="85"/>
      <x:c r="B14879" s="86"/>
    </x:row>
    <x:row r="14880">
      <x:c r="A14880" s="85"/>
      <x:c r="B14880" s="86"/>
    </x:row>
    <x:row r="14881">
      <x:c r="A14881" s="85"/>
      <x:c r="B14881" s="86"/>
    </x:row>
    <x:row r="14882">
      <x:c r="A14882" s="85"/>
      <x:c r="B14882" s="86"/>
    </x:row>
    <x:row r="14883">
      <x:c r="A14883" s="85"/>
      <x:c r="B14883" s="86"/>
    </x:row>
    <x:row r="14884">
      <x:c r="A14884" s="85"/>
      <x:c r="B14884" s="86"/>
    </x:row>
    <x:row r="14885">
      <x:c r="A14885" s="85"/>
      <x:c r="B14885" s="86"/>
    </x:row>
    <x:row r="14886">
      <x:c r="A14886" s="85"/>
      <x:c r="B14886" s="86"/>
    </x:row>
    <x:row r="14887">
      <x:c r="A14887" s="85"/>
      <x:c r="B14887" s="86"/>
    </x:row>
    <x:row r="14888">
      <x:c r="A14888" s="85"/>
      <x:c r="B14888" s="86"/>
    </x:row>
    <x:row r="14889">
      <x:c r="A14889" s="85"/>
      <x:c r="B14889" s="86"/>
    </x:row>
    <x:row r="14890">
      <x:c r="A14890" s="85"/>
      <x:c r="B14890" s="86"/>
    </x:row>
    <x:row r="14891">
      <x:c r="A14891" s="85"/>
      <x:c r="B14891" s="86"/>
    </x:row>
    <x:row r="14892">
      <x:c r="A14892" s="85"/>
      <x:c r="B14892" s="86"/>
    </x:row>
    <x:row r="14893">
      <x:c r="A14893" s="85"/>
      <x:c r="B14893" s="86"/>
    </x:row>
    <x:row r="14894">
      <x:c r="A14894" s="85"/>
      <x:c r="B14894" s="86"/>
    </x:row>
    <x:row r="14895">
      <x:c r="A14895" s="85"/>
      <x:c r="B14895" s="86"/>
    </x:row>
    <x:row r="14896">
      <x:c r="A14896" s="85"/>
      <x:c r="B14896" s="86"/>
    </x:row>
    <x:row r="14897">
      <x:c r="A14897" s="85"/>
      <x:c r="B14897" s="86"/>
    </x:row>
    <x:row r="14898">
      <x:c r="A14898" s="85"/>
      <x:c r="B14898" s="86"/>
    </x:row>
    <x:row r="14899">
      <x:c r="A14899" s="85"/>
      <x:c r="B14899" s="86"/>
    </x:row>
    <x:row r="14900">
      <x:c r="A14900" s="85"/>
      <x:c r="B14900" s="86"/>
    </x:row>
    <x:row r="14901">
      <x:c r="A14901" s="85"/>
      <x:c r="B14901" s="86"/>
    </x:row>
    <x:row r="14902">
      <x:c r="A14902" s="85"/>
      <x:c r="B14902" s="86"/>
    </x:row>
    <x:row r="14903">
      <x:c r="A14903" s="85"/>
      <x:c r="B14903" s="86"/>
    </x:row>
    <x:row r="14904">
      <x:c r="A14904" s="85"/>
      <x:c r="B14904" s="86"/>
    </x:row>
    <x:row r="14905">
      <x:c r="A14905" s="85"/>
      <x:c r="B14905" s="86"/>
    </x:row>
    <x:row r="14906">
      <x:c r="A14906" s="85"/>
      <x:c r="B14906" s="86"/>
    </x:row>
    <x:row r="14907">
      <x:c r="A14907" s="85"/>
      <x:c r="B14907" s="86"/>
    </x:row>
    <x:row r="14908">
      <x:c r="A14908" s="85"/>
      <x:c r="B14908" s="86"/>
    </x:row>
    <x:row r="14909">
      <x:c r="A14909" s="85"/>
      <x:c r="B14909" s="86"/>
    </x:row>
    <x:row r="14910">
      <x:c r="A14910" s="85"/>
      <x:c r="B14910" s="86"/>
    </x:row>
    <x:row r="14911">
      <x:c r="A14911" s="85"/>
      <x:c r="B14911" s="86"/>
    </x:row>
    <x:row r="14912">
      <x:c r="A14912" s="85"/>
      <x:c r="B14912" s="86"/>
    </x:row>
    <x:row r="14913">
      <x:c r="A14913" s="85"/>
      <x:c r="B14913" s="86"/>
    </x:row>
    <x:row r="14914">
      <x:c r="A14914" s="85"/>
      <x:c r="B14914" s="86"/>
    </x:row>
    <x:row r="14915">
      <x:c r="A14915" s="85"/>
      <x:c r="B14915" s="86"/>
    </x:row>
    <x:row r="14916">
      <x:c r="A14916" s="85"/>
      <x:c r="B14916" s="86"/>
    </x:row>
    <x:row r="14917">
      <x:c r="A14917" s="85"/>
      <x:c r="B14917" s="86"/>
    </x:row>
    <x:row r="14918">
      <x:c r="A14918" s="85"/>
      <x:c r="B14918" s="86"/>
    </x:row>
    <x:row r="14919">
      <x:c r="A14919" s="85"/>
      <x:c r="B14919" s="86"/>
    </x:row>
    <x:row r="14920">
      <x:c r="A14920" s="85"/>
      <x:c r="B14920" s="86"/>
    </x:row>
    <x:row r="14921">
      <x:c r="A14921" s="85"/>
      <x:c r="B14921" s="86"/>
    </x:row>
    <x:row r="14922">
      <x:c r="A14922" s="85"/>
      <x:c r="B14922" s="86"/>
    </x:row>
    <x:row r="14923">
      <x:c r="A14923" s="85"/>
      <x:c r="B14923" s="86"/>
    </x:row>
    <x:row r="14924">
      <x:c r="A14924" s="85"/>
      <x:c r="B14924" s="86"/>
    </x:row>
    <x:row r="14925">
      <x:c r="A14925" s="85"/>
      <x:c r="B14925" s="86"/>
    </x:row>
    <x:row r="14926">
      <x:c r="A14926" s="85"/>
      <x:c r="B14926" s="86"/>
    </x:row>
    <x:row r="14927">
      <x:c r="A14927" s="85"/>
      <x:c r="B14927" s="86"/>
    </x:row>
    <x:row r="14928">
      <x:c r="A14928" s="85"/>
      <x:c r="B14928" s="86"/>
    </x:row>
    <x:row r="14929">
      <x:c r="A14929" s="85"/>
      <x:c r="B14929" s="86"/>
    </x:row>
    <x:row r="14930">
      <x:c r="A14930" s="85"/>
      <x:c r="B14930" s="86"/>
    </x:row>
    <x:row r="14931">
      <x:c r="A14931" s="85"/>
      <x:c r="B14931" s="86"/>
    </x:row>
    <x:row r="14932">
      <x:c r="A14932" s="85"/>
      <x:c r="B14932" s="86"/>
    </x:row>
    <x:row r="14933">
      <x:c r="A14933" s="85"/>
      <x:c r="B14933" s="86"/>
    </x:row>
    <x:row r="14934">
      <x:c r="A14934" s="85"/>
      <x:c r="B14934" s="86"/>
    </x:row>
    <x:row r="14935">
      <x:c r="A14935" s="85"/>
      <x:c r="B14935" s="86"/>
    </x:row>
    <x:row r="14936">
      <x:c r="A14936" s="85"/>
      <x:c r="B14936" s="86"/>
    </x:row>
    <x:row r="14937">
      <x:c r="A14937" s="85"/>
      <x:c r="B14937" s="86"/>
    </x:row>
    <x:row r="14938">
      <x:c r="A14938" s="85"/>
      <x:c r="B14938" s="86"/>
    </x:row>
    <x:row r="14939">
      <x:c r="A14939" s="85"/>
      <x:c r="B14939" s="86"/>
    </x:row>
    <x:row r="14940">
      <x:c r="A14940" s="85"/>
      <x:c r="B14940" s="86"/>
    </x:row>
    <x:row r="14941">
      <x:c r="A14941" s="85"/>
      <x:c r="B14941" s="86"/>
    </x:row>
    <x:row r="14942">
      <x:c r="A14942" s="85"/>
      <x:c r="B14942" s="86"/>
    </x:row>
    <x:row r="14943">
      <x:c r="A14943" s="85"/>
      <x:c r="B14943" s="86"/>
    </x:row>
    <x:row r="14944">
      <x:c r="A14944" s="85"/>
      <x:c r="B14944" s="86"/>
    </x:row>
    <x:row r="14945">
      <x:c r="A14945" s="85"/>
      <x:c r="B14945" s="86"/>
    </x:row>
    <x:row r="14946">
      <x:c r="A14946" s="85"/>
      <x:c r="B14946" s="86"/>
    </x:row>
    <x:row r="14947">
      <x:c r="A14947" s="85"/>
      <x:c r="B14947" s="86"/>
    </x:row>
    <x:row r="14948">
      <x:c r="A14948" s="85"/>
      <x:c r="B14948" s="86"/>
    </x:row>
    <x:row r="14949">
      <x:c r="A14949" s="85"/>
      <x:c r="B14949" s="86"/>
    </x:row>
    <x:row r="14950">
      <x:c r="A14950" s="85"/>
      <x:c r="B14950" s="86"/>
    </x:row>
    <x:row r="14951">
      <x:c r="A14951" s="85"/>
      <x:c r="B14951" s="86"/>
    </x:row>
    <x:row r="14952">
      <x:c r="A14952" s="85"/>
      <x:c r="B14952" s="86"/>
    </x:row>
    <x:row r="14953">
      <x:c r="A14953" s="85"/>
      <x:c r="B14953" s="86"/>
    </x:row>
    <x:row r="14954">
      <x:c r="A14954" s="85"/>
      <x:c r="B14954" s="86"/>
    </x:row>
    <x:row r="14955">
      <x:c r="A14955" s="85"/>
      <x:c r="B14955" s="86"/>
    </x:row>
    <x:row r="14956">
      <x:c r="A14956" s="85"/>
      <x:c r="B14956" s="86"/>
    </x:row>
    <x:row r="14957">
      <x:c r="A14957" s="85"/>
      <x:c r="B14957" s="86"/>
    </x:row>
    <x:row r="14958">
      <x:c r="A14958" s="85"/>
      <x:c r="B14958" s="86"/>
    </x:row>
    <x:row r="14959">
      <x:c r="A14959" s="85"/>
      <x:c r="B14959" s="86"/>
    </x:row>
    <x:row r="14960">
      <x:c r="A14960" s="85"/>
      <x:c r="B14960" s="86"/>
    </x:row>
    <x:row r="14961">
      <x:c r="A14961" s="85"/>
      <x:c r="B14961" s="86"/>
    </x:row>
    <x:row r="14962">
      <x:c r="A14962" s="85"/>
      <x:c r="B14962" s="86"/>
    </x:row>
    <x:row r="14963">
      <x:c r="A14963" s="85"/>
      <x:c r="B14963" s="86"/>
    </x:row>
    <x:row r="14964">
      <x:c r="A14964" s="85"/>
      <x:c r="B14964" s="86"/>
    </x:row>
    <x:row r="14965">
      <x:c r="A14965" s="85"/>
      <x:c r="B14965" s="86"/>
    </x:row>
    <x:row r="14966">
      <x:c r="A14966" s="85"/>
      <x:c r="B14966" s="86"/>
    </x:row>
    <x:row r="14967">
      <x:c r="A14967" s="85"/>
      <x:c r="B14967" s="86"/>
    </x:row>
    <x:row r="14968">
      <x:c r="A14968" s="85"/>
      <x:c r="B14968" s="86"/>
    </x:row>
    <x:row r="14969">
      <x:c r="A14969" s="85"/>
      <x:c r="B14969" s="86"/>
    </x:row>
    <x:row r="14970">
      <x:c r="A14970" s="85"/>
      <x:c r="B14970" s="86"/>
    </x:row>
    <x:row r="14971">
      <x:c r="A14971" s="85"/>
      <x:c r="B14971" s="86"/>
    </x:row>
    <x:row r="14972">
      <x:c r="A14972" s="85"/>
      <x:c r="B14972" s="86"/>
    </x:row>
    <x:row r="14973">
      <x:c r="A14973" s="85"/>
      <x:c r="B14973" s="86"/>
    </x:row>
    <x:row r="14974">
      <x:c r="A14974" s="85"/>
      <x:c r="B14974" s="86"/>
    </x:row>
    <x:row r="14975">
      <x:c r="A14975" s="85"/>
      <x:c r="B14975" s="86"/>
    </x:row>
    <x:row r="14976">
      <x:c r="A14976" s="85"/>
      <x:c r="B14976" s="86"/>
    </x:row>
    <x:row r="14977">
      <x:c r="A14977" s="85"/>
      <x:c r="B14977" s="86"/>
    </x:row>
    <x:row r="14978">
      <x:c r="A14978" s="85"/>
      <x:c r="B14978" s="86"/>
    </x:row>
    <x:row r="14979">
      <x:c r="A14979" s="85"/>
      <x:c r="B14979" s="86"/>
    </x:row>
    <x:row r="14980">
      <x:c r="A14980" s="85"/>
      <x:c r="B14980" s="86"/>
    </x:row>
    <x:row r="14981">
      <x:c r="A14981" s="85"/>
      <x:c r="B14981" s="86"/>
    </x:row>
    <x:row r="14982">
      <x:c r="A14982" s="85"/>
      <x:c r="B14982" s="86"/>
    </x:row>
    <x:row r="14983">
      <x:c r="A14983" s="85"/>
      <x:c r="B14983" s="86"/>
    </x:row>
    <x:row r="14984">
      <x:c r="A14984" s="85"/>
      <x:c r="B14984" s="86"/>
    </x:row>
    <x:row r="14985">
      <x:c r="A14985" s="85"/>
      <x:c r="B14985" s="86"/>
    </x:row>
    <x:row r="14986">
      <x:c r="A14986" s="85"/>
      <x:c r="B14986" s="86"/>
    </x:row>
    <x:row r="14987">
      <x:c r="A14987" s="85"/>
      <x:c r="B14987" s="86"/>
    </x:row>
    <x:row r="14988">
      <x:c r="A14988" s="85"/>
      <x:c r="B14988" s="86"/>
    </x:row>
    <x:row r="14989">
      <x:c r="A14989" s="85"/>
      <x:c r="B14989" s="86"/>
    </x:row>
    <x:row r="14990">
      <x:c r="A14990" s="85"/>
      <x:c r="B14990" s="86"/>
    </x:row>
    <x:row r="14991">
      <x:c r="A14991" s="85"/>
      <x:c r="B14991" s="86"/>
    </x:row>
    <x:row r="14992">
      <x:c r="A14992" s="85"/>
      <x:c r="B14992" s="86"/>
    </x:row>
    <x:row r="14993">
      <x:c r="A14993" s="85"/>
      <x:c r="B14993" s="86"/>
    </x:row>
    <x:row r="14994">
      <x:c r="A14994" s="85"/>
      <x:c r="B14994" s="86"/>
    </x:row>
    <x:row r="14995">
      <x:c r="A14995" s="85"/>
      <x:c r="B14995" s="86"/>
    </x:row>
    <x:row r="14996">
      <x:c r="A14996" s="85"/>
      <x:c r="B14996" s="86"/>
    </x:row>
    <x:row r="14997">
      <x:c r="A14997" s="85"/>
      <x:c r="B14997" s="86"/>
    </x:row>
    <x:row r="14998">
      <x:c r="A14998" s="85"/>
      <x:c r="B14998" s="86"/>
    </x:row>
    <x:row r="14999">
      <x:c r="A14999" s="85"/>
      <x:c r="B14999" s="86"/>
    </x:row>
    <x:row r="15000">
      <x:c r="A15000" s="85"/>
      <x:c r="B15000" s="86"/>
    </x:row>
    <x:row r="15001">
      <x:c r="A15001" s="85"/>
      <x:c r="B15001" s="86"/>
    </x:row>
    <x:row r="15002">
      <x:c r="A15002" s="85"/>
      <x:c r="B15002" s="86"/>
    </x:row>
    <x:row r="15003">
      <x:c r="A15003" s="85"/>
      <x:c r="B15003" s="86"/>
    </x:row>
    <x:row r="15004">
      <x:c r="A15004" s="85"/>
      <x:c r="B15004" s="86"/>
    </x:row>
    <x:row r="15005">
      <x:c r="A15005" s="85"/>
      <x:c r="B15005" s="86"/>
    </x:row>
    <x:row r="15006">
      <x:c r="A15006" s="85"/>
      <x:c r="B15006" s="86"/>
    </x:row>
    <x:row r="15007">
      <x:c r="A15007" s="85"/>
      <x:c r="B15007" s="86"/>
    </x:row>
    <x:row r="15008">
      <x:c r="A15008" s="85"/>
      <x:c r="B15008" s="86"/>
    </x:row>
    <x:row r="15009">
      <x:c r="A15009" s="85"/>
      <x:c r="B15009" s="86"/>
    </x:row>
    <x:row r="15010">
      <x:c r="A15010" s="85"/>
      <x:c r="B15010" s="86"/>
    </x:row>
    <x:row r="15011">
      <x:c r="A15011" s="85"/>
      <x:c r="B15011" s="86"/>
    </x:row>
    <x:row r="15012">
      <x:c r="A15012" s="85"/>
      <x:c r="B15012" s="86"/>
    </x:row>
    <x:row r="15013">
      <x:c r="A15013" s="85"/>
      <x:c r="B15013" s="86"/>
    </x:row>
    <x:row r="15014">
      <x:c r="A15014" s="85"/>
      <x:c r="B15014" s="86"/>
    </x:row>
    <x:row r="15015">
      <x:c r="A15015" s="85"/>
      <x:c r="B15015" s="86"/>
    </x:row>
    <x:row r="15016">
      <x:c r="A15016" s="85"/>
      <x:c r="B15016" s="86"/>
    </x:row>
    <x:row r="15017">
      <x:c r="A15017" s="85"/>
      <x:c r="B15017" s="86"/>
    </x:row>
    <x:row r="15018">
      <x:c r="A15018" s="85"/>
      <x:c r="B15018" s="86"/>
    </x:row>
    <x:row r="15019">
      <x:c r="A15019" s="85"/>
      <x:c r="B15019" s="86"/>
    </x:row>
    <x:row r="15020">
      <x:c r="A15020" s="85"/>
      <x:c r="B15020" s="86"/>
    </x:row>
    <x:row r="15021">
      <x:c r="A15021" s="85"/>
      <x:c r="B15021" s="86"/>
    </x:row>
    <x:row r="15022">
      <x:c r="A15022" s="85"/>
      <x:c r="B15022" s="86"/>
    </x:row>
    <x:row r="15023">
      <x:c r="A15023" s="85"/>
      <x:c r="B15023" s="86"/>
    </x:row>
    <x:row r="15024">
      <x:c r="A15024" s="85"/>
      <x:c r="B15024" s="86"/>
    </x:row>
    <x:row r="15025">
      <x:c r="A15025" s="85"/>
      <x:c r="B15025" s="86"/>
    </x:row>
    <x:row r="15026">
      <x:c r="A15026" s="85"/>
      <x:c r="B15026" s="86"/>
    </x:row>
    <x:row r="15027">
      <x:c r="A15027" s="85"/>
      <x:c r="B15027" s="86"/>
    </x:row>
    <x:row r="15028">
      <x:c r="A15028" s="85"/>
      <x:c r="B15028" s="86"/>
    </x:row>
    <x:row r="15029">
      <x:c r="A15029" s="85"/>
      <x:c r="B15029" s="86"/>
    </x:row>
    <x:row r="15030">
      <x:c r="A15030" s="85"/>
      <x:c r="B15030" s="86"/>
    </x:row>
    <x:row r="15031">
      <x:c r="A15031" s="85"/>
      <x:c r="B15031" s="86"/>
    </x:row>
    <x:row r="15032">
      <x:c r="A15032" s="85"/>
      <x:c r="B15032" s="86"/>
    </x:row>
    <x:row r="15033">
      <x:c r="A15033" s="85"/>
      <x:c r="B15033" s="86"/>
    </x:row>
    <x:row r="15034">
      <x:c r="A15034" s="85"/>
      <x:c r="B15034" s="86"/>
    </x:row>
    <x:row r="15035">
      <x:c r="A15035" s="85"/>
      <x:c r="B15035" s="86"/>
    </x:row>
    <x:row r="15036">
      <x:c r="A15036" s="85"/>
      <x:c r="B15036" s="86"/>
    </x:row>
    <x:row r="15037">
      <x:c r="A15037" s="85"/>
      <x:c r="B15037" s="86"/>
    </x:row>
    <x:row r="15038">
      <x:c r="A15038" s="85"/>
      <x:c r="B15038" s="86"/>
    </x:row>
    <x:row r="15039">
      <x:c r="A15039" s="85"/>
      <x:c r="B15039" s="86"/>
    </x:row>
    <x:row r="15040">
      <x:c r="A15040" s="85"/>
      <x:c r="B15040" s="86"/>
    </x:row>
    <x:row r="15041">
      <x:c r="A15041" s="85"/>
      <x:c r="B15041" s="86"/>
    </x:row>
    <x:row r="15042">
      <x:c r="A15042" s="85"/>
      <x:c r="B15042" s="86"/>
    </x:row>
    <x:row r="15043">
      <x:c r="A15043" s="85"/>
      <x:c r="B15043" s="86"/>
    </x:row>
    <x:row r="15044">
      <x:c r="A15044" s="85"/>
      <x:c r="B15044" s="86"/>
    </x:row>
    <x:row r="15045">
      <x:c r="A15045" s="85"/>
      <x:c r="B15045" s="86"/>
    </x:row>
    <x:row r="15046">
      <x:c r="A15046" s="85"/>
      <x:c r="B15046" s="86"/>
    </x:row>
    <x:row r="15047">
      <x:c r="A15047" s="85"/>
      <x:c r="B15047" s="86"/>
    </x:row>
    <x:row r="15048">
      <x:c r="A15048" s="85"/>
      <x:c r="B15048" s="86"/>
    </x:row>
    <x:row r="15049">
      <x:c r="A15049" s="85"/>
      <x:c r="B15049" s="86"/>
    </x:row>
    <x:row r="15050">
      <x:c r="A15050" s="85"/>
      <x:c r="B15050" s="86"/>
    </x:row>
    <x:row r="15051">
      <x:c r="A15051" s="85"/>
      <x:c r="B15051" s="86"/>
    </x:row>
    <x:row r="15052">
      <x:c r="A15052" s="85"/>
      <x:c r="B15052" s="86"/>
    </x:row>
    <x:row r="15053">
      <x:c r="A15053" s="85"/>
      <x:c r="B15053" s="86"/>
    </x:row>
    <x:row r="15054">
      <x:c r="A15054" s="85"/>
      <x:c r="B15054" s="86"/>
    </x:row>
    <x:row r="15055">
      <x:c r="A15055" s="85"/>
      <x:c r="B15055" s="86"/>
    </x:row>
    <x:row r="15056">
      <x:c r="A15056" s="85"/>
      <x:c r="B15056" s="86"/>
    </x:row>
    <x:row r="15057">
      <x:c r="A15057" s="85"/>
      <x:c r="B15057" s="86"/>
    </x:row>
    <x:row r="15058">
      <x:c r="A15058" s="85"/>
      <x:c r="B15058" s="86"/>
    </x:row>
    <x:row r="15059">
      <x:c r="A15059" s="85"/>
      <x:c r="B15059" s="86"/>
    </x:row>
    <x:row r="15060">
      <x:c r="A15060" s="85"/>
      <x:c r="B15060" s="86"/>
    </x:row>
    <x:row r="15061">
      <x:c r="A15061" s="85"/>
      <x:c r="B15061" s="86"/>
    </x:row>
    <x:row r="15062">
      <x:c r="A15062" s="85"/>
      <x:c r="B15062" s="86"/>
    </x:row>
    <x:row r="15063">
      <x:c r="A15063" s="85"/>
      <x:c r="B15063" s="86"/>
    </x:row>
    <x:row r="15064">
      <x:c r="A15064" s="85"/>
      <x:c r="B15064" s="86"/>
    </x:row>
    <x:row r="15065">
      <x:c r="A15065" s="85"/>
      <x:c r="B15065" s="86"/>
    </x:row>
    <x:row r="15066">
      <x:c r="A15066" s="85"/>
      <x:c r="B15066" s="86"/>
    </x:row>
    <x:row r="15067">
      <x:c r="A15067" s="85"/>
      <x:c r="B15067" s="86"/>
    </x:row>
    <x:row r="15068">
      <x:c r="A15068" s="85"/>
      <x:c r="B15068" s="86"/>
    </x:row>
    <x:row r="15069">
      <x:c r="A15069" s="85"/>
      <x:c r="B15069" s="86"/>
    </x:row>
    <x:row r="15070">
      <x:c r="A15070" s="85"/>
      <x:c r="B15070" s="86"/>
    </x:row>
    <x:row r="15071">
      <x:c r="A15071" s="85"/>
      <x:c r="B15071" s="86"/>
    </x:row>
    <x:row r="15072">
      <x:c r="A15072" s="85"/>
      <x:c r="B15072" s="86"/>
    </x:row>
    <x:row r="15073">
      <x:c r="A15073" s="85"/>
      <x:c r="B15073" s="86"/>
    </x:row>
    <x:row r="15074">
      <x:c r="A15074" s="85"/>
      <x:c r="B15074" s="86"/>
    </x:row>
    <x:row r="15075">
      <x:c r="A15075" s="85"/>
      <x:c r="B15075" s="86"/>
    </x:row>
    <x:row r="15076">
      <x:c r="A15076" s="85"/>
      <x:c r="B15076" s="86"/>
    </x:row>
    <x:row r="15077">
      <x:c r="A15077" s="85"/>
      <x:c r="B15077" s="86"/>
    </x:row>
    <x:row r="15078">
      <x:c r="A15078" s="85"/>
      <x:c r="B15078" s="86"/>
    </x:row>
    <x:row r="15079">
      <x:c r="A15079" s="85"/>
      <x:c r="B15079" s="86"/>
    </x:row>
    <x:row r="15080">
      <x:c r="A15080" s="85"/>
      <x:c r="B15080" s="86"/>
    </x:row>
    <x:row r="15081">
      <x:c r="A15081" s="85"/>
      <x:c r="B15081" s="86"/>
    </x:row>
    <x:row r="15082">
      <x:c r="A15082" s="85"/>
      <x:c r="B15082" s="86"/>
    </x:row>
    <x:row r="15083">
      <x:c r="A15083" s="85"/>
      <x:c r="B15083" s="86"/>
    </x:row>
    <x:row r="15084">
      <x:c r="A15084" s="85"/>
      <x:c r="B15084" s="86"/>
    </x:row>
    <x:row r="15085">
      <x:c r="A15085" s="85"/>
      <x:c r="B15085" s="86"/>
    </x:row>
    <x:row r="15086">
      <x:c r="A15086" s="85"/>
      <x:c r="B15086" s="86"/>
    </x:row>
    <x:row r="15087">
      <x:c r="A15087" s="85"/>
      <x:c r="B15087" s="86"/>
    </x:row>
    <x:row r="15088">
      <x:c r="A15088" s="85"/>
      <x:c r="B15088" s="86"/>
    </x:row>
    <x:row r="15089">
      <x:c r="A15089" s="85"/>
      <x:c r="B15089" s="86"/>
    </x:row>
    <x:row r="15090">
      <x:c r="A15090" s="85"/>
      <x:c r="B15090" s="86"/>
    </x:row>
    <x:row r="15091">
      <x:c r="A15091" s="85"/>
      <x:c r="B15091" s="86"/>
    </x:row>
    <x:row r="15092">
      <x:c r="A15092" s="85"/>
      <x:c r="B15092" s="86"/>
    </x:row>
    <x:row r="15093">
      <x:c r="A15093" s="85"/>
      <x:c r="B15093" s="86"/>
    </x:row>
    <x:row r="15094">
      <x:c r="A15094" s="85"/>
      <x:c r="B15094" s="86"/>
    </x:row>
    <x:row r="15095">
      <x:c r="A15095" s="85"/>
      <x:c r="B15095" s="86"/>
    </x:row>
    <x:row r="15096">
      <x:c r="A15096" s="85"/>
      <x:c r="B15096" s="86"/>
    </x:row>
    <x:row r="15097">
      <x:c r="A15097" s="85"/>
      <x:c r="B15097" s="86"/>
    </x:row>
    <x:row r="15098">
      <x:c r="A15098" s="85"/>
      <x:c r="B15098" s="86"/>
    </x:row>
    <x:row r="15099">
      <x:c r="A15099" s="85"/>
      <x:c r="B15099" s="86"/>
    </x:row>
    <x:row r="15100">
      <x:c r="A15100" s="85"/>
      <x:c r="B15100" s="86"/>
    </x:row>
    <x:row r="15101">
      <x:c r="A15101" s="85"/>
      <x:c r="B15101" s="86"/>
    </x:row>
    <x:row r="15102">
      <x:c r="A15102" s="85"/>
      <x:c r="B15102" s="86"/>
    </x:row>
    <x:row r="15103">
      <x:c r="A15103" s="85"/>
      <x:c r="B15103" s="86"/>
    </x:row>
    <x:row r="15104">
      <x:c r="A15104" s="85"/>
      <x:c r="B15104" s="86"/>
    </x:row>
    <x:row r="15105">
      <x:c r="A15105" s="85"/>
      <x:c r="B15105" s="86"/>
    </x:row>
    <x:row r="15106">
      <x:c r="A15106" s="85"/>
      <x:c r="B15106" s="86"/>
    </x:row>
    <x:row r="15107">
      <x:c r="A15107" s="85"/>
      <x:c r="B15107" s="86"/>
    </x:row>
    <x:row r="15108">
      <x:c r="A15108" s="85"/>
      <x:c r="B15108" s="86"/>
    </x:row>
    <x:row r="15109">
      <x:c r="A15109" s="85"/>
      <x:c r="B15109" s="86"/>
    </x:row>
    <x:row r="15110">
      <x:c r="A15110" s="85"/>
      <x:c r="B15110" s="86"/>
    </x:row>
    <x:row r="15111">
      <x:c r="A15111" s="85"/>
      <x:c r="B15111" s="86"/>
    </x:row>
    <x:row r="15112">
      <x:c r="A15112" s="85"/>
      <x:c r="B15112" s="86"/>
    </x:row>
    <x:row r="15113">
      <x:c r="A15113" s="85"/>
      <x:c r="B15113" s="86"/>
    </x:row>
    <x:row r="15114">
      <x:c r="A15114" s="85"/>
      <x:c r="B15114" s="86"/>
    </x:row>
    <x:row r="15115">
      <x:c r="A15115" s="85"/>
      <x:c r="B15115" s="86"/>
    </x:row>
    <x:row r="15116">
      <x:c r="A15116" s="85"/>
      <x:c r="B15116" s="86"/>
    </x:row>
    <x:row r="15117">
      <x:c r="A15117" s="85"/>
      <x:c r="B15117" s="86"/>
    </x:row>
    <x:row r="15118">
      <x:c r="A15118" s="85"/>
      <x:c r="B15118" s="86"/>
    </x:row>
    <x:row r="15119">
      <x:c r="A15119" s="85"/>
      <x:c r="B15119" s="86"/>
    </x:row>
    <x:row r="15120">
      <x:c r="A15120" s="85"/>
      <x:c r="B15120" s="86"/>
    </x:row>
    <x:row r="15121">
      <x:c r="A15121" s="85"/>
      <x:c r="B15121" s="86"/>
    </x:row>
    <x:row r="15122">
      <x:c r="A15122" s="85"/>
      <x:c r="B15122" s="86"/>
    </x:row>
    <x:row r="15123">
      <x:c r="A15123" s="85"/>
      <x:c r="B15123" s="86"/>
    </x:row>
    <x:row r="15124">
      <x:c r="A15124" s="85"/>
      <x:c r="B15124" s="86"/>
    </x:row>
    <x:row r="15125">
      <x:c r="A15125" s="85"/>
      <x:c r="B15125" s="86"/>
    </x:row>
    <x:row r="15126">
      <x:c r="A15126" s="85"/>
      <x:c r="B15126" s="86"/>
    </x:row>
    <x:row r="15127">
      <x:c r="A15127" s="85"/>
      <x:c r="B15127" s="86"/>
    </x:row>
    <x:row r="15128">
      <x:c r="A15128" s="85"/>
      <x:c r="B15128" s="86"/>
    </x:row>
    <x:row r="15129">
      <x:c r="A15129" s="85"/>
      <x:c r="B15129" s="86"/>
    </x:row>
    <x:row r="15130">
      <x:c r="A15130" s="85"/>
      <x:c r="B15130" s="86"/>
    </x:row>
    <x:row r="15131">
      <x:c r="A15131" s="85"/>
      <x:c r="B15131" s="86"/>
    </x:row>
    <x:row r="15132">
      <x:c r="A15132" s="85"/>
      <x:c r="B15132" s="86"/>
    </x:row>
    <x:row r="15133">
      <x:c r="A15133" s="85"/>
      <x:c r="B15133" s="86"/>
    </x:row>
    <x:row r="15134">
      <x:c r="A15134" s="85"/>
      <x:c r="B15134" s="86"/>
    </x:row>
    <x:row r="15135">
      <x:c r="A15135" s="85"/>
      <x:c r="B15135" s="86"/>
    </x:row>
    <x:row r="15136">
      <x:c r="A15136" s="85"/>
      <x:c r="B15136" s="86"/>
    </x:row>
    <x:row r="15137">
      <x:c r="A15137" s="85"/>
      <x:c r="B15137" s="86"/>
    </x:row>
    <x:row r="15138">
      <x:c r="A15138" s="85"/>
      <x:c r="B15138" s="86"/>
    </x:row>
    <x:row r="15139">
      <x:c r="A15139" s="85"/>
      <x:c r="B15139" s="86"/>
    </x:row>
    <x:row r="15140">
      <x:c r="A15140" s="85"/>
      <x:c r="B15140" s="86"/>
    </x:row>
    <x:row r="15141">
      <x:c r="A15141" s="85"/>
      <x:c r="B15141" s="86"/>
    </x:row>
    <x:row r="15142">
      <x:c r="A15142" s="85"/>
      <x:c r="B15142" s="86"/>
    </x:row>
    <x:row r="15143">
      <x:c r="A15143" s="85"/>
      <x:c r="B15143" s="86"/>
    </x:row>
    <x:row r="15144">
      <x:c r="A15144" s="85"/>
      <x:c r="B15144" s="86"/>
    </x:row>
    <x:row r="15145">
      <x:c r="A15145" s="85"/>
      <x:c r="B15145" s="86"/>
    </x:row>
    <x:row r="15146">
      <x:c r="A15146" s="85"/>
      <x:c r="B15146" s="86"/>
    </x:row>
    <x:row r="15147">
      <x:c r="A15147" s="85"/>
      <x:c r="B15147" s="86"/>
    </x:row>
    <x:row r="15148">
      <x:c r="A15148" s="85"/>
      <x:c r="B15148" s="86"/>
    </x:row>
    <x:row r="15149">
      <x:c r="A15149" s="85"/>
      <x:c r="B15149" s="86"/>
    </x:row>
    <x:row r="15150">
      <x:c r="A15150" s="85"/>
      <x:c r="B15150" s="86"/>
    </x:row>
    <x:row r="15151">
      <x:c r="A15151" s="85"/>
      <x:c r="B15151" s="86"/>
    </x:row>
    <x:row r="15152">
      <x:c r="A15152" s="85"/>
      <x:c r="B15152" s="86"/>
    </x:row>
    <x:row r="15153">
      <x:c r="A15153" s="85"/>
      <x:c r="B15153" s="86"/>
    </x:row>
    <x:row r="15154">
      <x:c r="A15154" s="85"/>
      <x:c r="B15154" s="86"/>
    </x:row>
    <x:row r="15155">
      <x:c r="A15155" s="85"/>
      <x:c r="B15155" s="86"/>
    </x:row>
    <x:row r="15156">
      <x:c r="A15156" s="85"/>
      <x:c r="B15156" s="86"/>
    </x:row>
    <x:row r="15157">
      <x:c r="A15157" s="85"/>
      <x:c r="B15157" s="86"/>
    </x:row>
    <x:row r="15158">
      <x:c r="A15158" s="85"/>
      <x:c r="B15158" s="86"/>
    </x:row>
    <x:row r="15159">
      <x:c r="A15159" s="85"/>
      <x:c r="B15159" s="86"/>
    </x:row>
    <x:row r="15160">
      <x:c r="A15160" s="85"/>
      <x:c r="B15160" s="86"/>
    </x:row>
    <x:row r="15161">
      <x:c r="A15161" s="85"/>
      <x:c r="B15161" s="86"/>
    </x:row>
    <x:row r="15162">
      <x:c r="A15162" s="85"/>
      <x:c r="B15162" s="86"/>
    </x:row>
    <x:row r="15163">
      <x:c r="A15163" s="85"/>
      <x:c r="B15163" s="86"/>
    </x:row>
    <x:row r="15164">
      <x:c r="A15164" s="85"/>
      <x:c r="B15164" s="86"/>
    </x:row>
    <x:row r="15165">
      <x:c r="A15165" s="85"/>
      <x:c r="B15165" s="86"/>
    </x:row>
    <x:row r="15166">
      <x:c r="A15166" s="85"/>
      <x:c r="B15166" s="86"/>
    </x:row>
    <x:row r="15167">
      <x:c r="A15167" s="85"/>
      <x:c r="B15167" s="86"/>
    </x:row>
    <x:row r="15168">
      <x:c r="A15168" s="85"/>
      <x:c r="B15168" s="86"/>
    </x:row>
    <x:row r="15169">
      <x:c r="A15169" s="85"/>
      <x:c r="B15169" s="86"/>
    </x:row>
    <x:row r="15170">
      <x:c r="A15170" s="85"/>
      <x:c r="B15170" s="86"/>
    </x:row>
    <x:row r="15171">
      <x:c r="A15171" s="85"/>
      <x:c r="B15171" s="86"/>
    </x:row>
    <x:row r="15172">
      <x:c r="A15172" s="85"/>
      <x:c r="B15172" s="86"/>
    </x:row>
    <x:row r="15173">
      <x:c r="A15173" s="85"/>
      <x:c r="B15173" s="86"/>
    </x:row>
    <x:row r="15174">
      <x:c r="A15174" s="85"/>
      <x:c r="B15174" s="86"/>
    </x:row>
    <x:row r="15175">
      <x:c r="A15175" s="85"/>
      <x:c r="B15175" s="86"/>
    </x:row>
    <x:row r="15176">
      <x:c r="A15176" s="85"/>
      <x:c r="B15176" s="86"/>
    </x:row>
    <x:row r="15177">
      <x:c r="A15177" s="85"/>
      <x:c r="B15177" s="86"/>
    </x:row>
    <x:row r="15178">
      <x:c r="A15178" s="85"/>
      <x:c r="B15178" s="86"/>
    </x:row>
    <x:row r="15179">
      <x:c r="A15179" s="85"/>
      <x:c r="B15179" s="86"/>
    </x:row>
    <x:row r="15180">
      <x:c r="A15180" s="85"/>
      <x:c r="B15180" s="86"/>
    </x:row>
    <x:row r="15181">
      <x:c r="A15181" s="85"/>
      <x:c r="B15181" s="86"/>
    </x:row>
    <x:row r="15182">
      <x:c r="A15182" s="85"/>
      <x:c r="B15182" s="86"/>
    </x:row>
    <x:row r="15183">
      <x:c r="A15183" s="85"/>
      <x:c r="B15183" s="86"/>
    </x:row>
    <x:row r="15184">
      <x:c r="A15184" s="85"/>
      <x:c r="B15184" s="86"/>
    </x:row>
    <x:row r="15185">
      <x:c r="A15185" s="85"/>
      <x:c r="B15185" s="86"/>
    </x:row>
    <x:row r="15186">
      <x:c r="A15186" s="85"/>
      <x:c r="B15186" s="86"/>
    </x:row>
    <x:row r="15187">
      <x:c r="A15187" s="85"/>
      <x:c r="B15187" s="86"/>
    </x:row>
    <x:row r="15188">
      <x:c r="A15188" s="85"/>
      <x:c r="B15188" s="86"/>
    </x:row>
    <x:row r="15189">
      <x:c r="A15189" s="85"/>
      <x:c r="B15189" s="86"/>
    </x:row>
    <x:row r="15190">
      <x:c r="A15190" s="85"/>
      <x:c r="B15190" s="86"/>
    </x:row>
    <x:row r="15191">
      <x:c r="A15191" s="85"/>
      <x:c r="B15191" s="86"/>
    </x:row>
    <x:row r="15192">
      <x:c r="A15192" s="85"/>
      <x:c r="B15192" s="86"/>
    </x:row>
    <x:row r="15193">
      <x:c r="A15193" s="85"/>
      <x:c r="B15193" s="86"/>
    </x:row>
    <x:row r="15194">
      <x:c r="A15194" s="85"/>
      <x:c r="B15194" s="86"/>
    </x:row>
    <x:row r="15195">
      <x:c r="A15195" s="85"/>
      <x:c r="B15195" s="86"/>
    </x:row>
    <x:row r="15196">
      <x:c r="A15196" s="85"/>
      <x:c r="B15196" s="86"/>
    </x:row>
    <x:row r="15197">
      <x:c r="A15197" s="85"/>
      <x:c r="B15197" s="86"/>
    </x:row>
    <x:row r="15198">
      <x:c r="A15198" s="85"/>
      <x:c r="B15198" s="86"/>
    </x:row>
    <x:row r="15199">
      <x:c r="A15199" s="85"/>
      <x:c r="B15199" s="86"/>
    </x:row>
    <x:row r="15200">
      <x:c r="A15200" s="85"/>
      <x:c r="B15200" s="86"/>
    </x:row>
    <x:row r="15201">
      <x:c r="A15201" s="85"/>
      <x:c r="B15201" s="86"/>
    </x:row>
    <x:row r="15202">
      <x:c r="A15202" s="85"/>
      <x:c r="B15202" s="86"/>
    </x:row>
    <x:row r="15203">
      <x:c r="A15203" s="85"/>
      <x:c r="B15203" s="86"/>
    </x:row>
    <x:row r="15204">
      <x:c r="A15204" s="85"/>
      <x:c r="B15204" s="86"/>
    </x:row>
    <x:row r="15205">
      <x:c r="A15205" s="85"/>
      <x:c r="B15205" s="86"/>
    </x:row>
    <x:row r="15206">
      <x:c r="A15206" s="85"/>
      <x:c r="B15206" s="86"/>
    </x:row>
    <x:row r="15207">
      <x:c r="A15207" s="85"/>
      <x:c r="B15207" s="86"/>
    </x:row>
    <x:row r="15208">
      <x:c r="A15208" s="85"/>
      <x:c r="B15208" s="86"/>
    </x:row>
    <x:row r="15209">
      <x:c r="A15209" s="85"/>
      <x:c r="B15209" s="86"/>
    </x:row>
    <x:row r="15210">
      <x:c r="A15210" s="85"/>
      <x:c r="B15210" s="86"/>
    </x:row>
    <x:row r="15211">
      <x:c r="A15211" s="85"/>
      <x:c r="B15211" s="86"/>
    </x:row>
    <x:row r="15212">
      <x:c r="A15212" s="85"/>
      <x:c r="B15212" s="86"/>
    </x:row>
    <x:row r="15213">
      <x:c r="A15213" s="85"/>
      <x:c r="B15213" s="86"/>
    </x:row>
    <x:row r="15214">
      <x:c r="A15214" s="85"/>
      <x:c r="B15214" s="86"/>
    </x:row>
    <x:row r="15215">
      <x:c r="A15215" s="85"/>
      <x:c r="B15215" s="86"/>
    </x:row>
    <x:row r="15216">
      <x:c r="A15216" s="85"/>
      <x:c r="B15216" s="86"/>
    </x:row>
    <x:row r="15217">
      <x:c r="A15217" s="85"/>
      <x:c r="B15217" s="86"/>
    </x:row>
    <x:row r="15218">
      <x:c r="A15218" s="85"/>
      <x:c r="B15218" s="86"/>
    </x:row>
    <x:row r="15219">
      <x:c r="A15219" s="85"/>
      <x:c r="B15219" s="86"/>
    </x:row>
    <x:row r="15220">
      <x:c r="A15220" s="85"/>
      <x:c r="B15220" s="86"/>
    </x:row>
    <x:row r="15221">
      <x:c r="A15221" s="85"/>
      <x:c r="B15221" s="86"/>
    </x:row>
    <x:row r="15222">
      <x:c r="A15222" s="85"/>
      <x:c r="B15222" s="86"/>
    </x:row>
    <x:row r="15223">
      <x:c r="A15223" s="85"/>
      <x:c r="B15223" s="86"/>
    </x:row>
    <x:row r="15224">
      <x:c r="A15224" s="85"/>
      <x:c r="B15224" s="86"/>
    </x:row>
    <x:row r="15225">
      <x:c r="A15225" s="85"/>
      <x:c r="B15225" s="86"/>
    </x:row>
    <x:row r="15226">
      <x:c r="A15226" s="85"/>
      <x:c r="B15226" s="86"/>
    </x:row>
    <x:row r="15227">
      <x:c r="A15227" s="85"/>
      <x:c r="B15227" s="86"/>
    </x:row>
    <x:row r="15228">
      <x:c r="A15228" s="85"/>
      <x:c r="B15228" s="86"/>
    </x:row>
    <x:row r="15229">
      <x:c r="A15229" s="85"/>
      <x:c r="B15229" s="86"/>
    </x:row>
    <x:row r="15230">
      <x:c r="A15230" s="85"/>
      <x:c r="B15230" s="86"/>
    </x:row>
    <x:row r="15231">
      <x:c r="A15231" s="85"/>
      <x:c r="B15231" s="86"/>
    </x:row>
    <x:row r="15232">
      <x:c r="A15232" s="85"/>
      <x:c r="B15232" s="86"/>
    </x:row>
    <x:row r="15233">
      <x:c r="A15233" s="85"/>
      <x:c r="B15233" s="86"/>
    </x:row>
    <x:row r="15234">
      <x:c r="A15234" s="85"/>
      <x:c r="B15234" s="86"/>
    </x:row>
    <x:row r="15235">
      <x:c r="A15235" s="85"/>
      <x:c r="B15235" s="86"/>
    </x:row>
    <x:row r="15236">
      <x:c r="A15236" s="85"/>
      <x:c r="B15236" s="86"/>
    </x:row>
    <x:row r="15237">
      <x:c r="A15237" s="85"/>
      <x:c r="B15237" s="86"/>
    </x:row>
    <x:row r="15238">
      <x:c r="A15238" s="85"/>
      <x:c r="B15238" s="86"/>
    </x:row>
    <x:row r="15239">
      <x:c r="A15239" s="85"/>
      <x:c r="B15239" s="86"/>
    </x:row>
    <x:row r="15240">
      <x:c r="A15240" s="85"/>
      <x:c r="B15240" s="86"/>
    </x:row>
    <x:row r="15241">
      <x:c r="A15241" s="85"/>
      <x:c r="B15241" s="86"/>
    </x:row>
    <x:row r="15242">
      <x:c r="A15242" s="85"/>
      <x:c r="B15242" s="86"/>
    </x:row>
    <x:row r="15243">
      <x:c r="A15243" s="85"/>
      <x:c r="B15243" s="86"/>
    </x:row>
    <x:row r="15244">
      <x:c r="A15244" s="85"/>
      <x:c r="B15244" s="86"/>
    </x:row>
    <x:row r="15245">
      <x:c r="A15245" s="85"/>
      <x:c r="B15245" s="86"/>
    </x:row>
    <x:row r="15246">
      <x:c r="A15246" s="85"/>
      <x:c r="B15246" s="86"/>
    </x:row>
    <x:row r="15247">
      <x:c r="A15247" s="85"/>
      <x:c r="B15247" s="86"/>
    </x:row>
    <x:row r="15248">
      <x:c r="A15248" s="85"/>
      <x:c r="B15248" s="86"/>
    </x:row>
    <x:row r="15249">
      <x:c r="A15249" s="85"/>
      <x:c r="B15249" s="86"/>
    </x:row>
    <x:row r="15250">
      <x:c r="A15250" s="85"/>
      <x:c r="B15250" s="86"/>
    </x:row>
    <x:row r="15251">
      <x:c r="A15251" s="85"/>
      <x:c r="B15251" s="86"/>
    </x:row>
    <x:row r="15252">
      <x:c r="A15252" s="85"/>
      <x:c r="B15252" s="86"/>
    </x:row>
    <x:row r="15253">
      <x:c r="A15253" s="85"/>
      <x:c r="B15253" s="86"/>
    </x:row>
    <x:row r="15254">
      <x:c r="A15254" s="85"/>
      <x:c r="B15254" s="86"/>
    </x:row>
    <x:row r="15255">
      <x:c r="A15255" s="85"/>
      <x:c r="B15255" s="86"/>
    </x:row>
    <x:row r="15256">
      <x:c r="A15256" s="85"/>
      <x:c r="B15256" s="86"/>
    </x:row>
    <x:row r="15257">
      <x:c r="A15257" s="85"/>
      <x:c r="B15257" s="86"/>
    </x:row>
    <x:row r="15258">
      <x:c r="A15258" s="85"/>
      <x:c r="B15258" s="86"/>
    </x:row>
    <x:row r="15259">
      <x:c r="A15259" s="85"/>
      <x:c r="B15259" s="86"/>
    </x:row>
    <x:row r="15260">
      <x:c r="A15260" s="85"/>
      <x:c r="B15260" s="86"/>
    </x:row>
    <x:row r="15261">
      <x:c r="A15261" s="85"/>
      <x:c r="B15261" s="86"/>
    </x:row>
    <x:row r="15262">
      <x:c r="A15262" s="85"/>
      <x:c r="B15262" s="86"/>
    </x:row>
    <x:row r="15263">
      <x:c r="A15263" s="85"/>
      <x:c r="B15263" s="86"/>
    </x:row>
    <x:row r="15264">
      <x:c r="A15264" s="85"/>
      <x:c r="B15264" s="86"/>
    </x:row>
    <x:row r="15265">
      <x:c r="A15265" s="85"/>
      <x:c r="B15265" s="86"/>
    </x:row>
    <x:row r="15266">
      <x:c r="A15266" s="85"/>
      <x:c r="B15266" s="86"/>
    </x:row>
    <x:row r="15267">
      <x:c r="A15267" s="85"/>
      <x:c r="B15267" s="86"/>
    </x:row>
    <x:row r="15268">
      <x:c r="A15268" s="85"/>
      <x:c r="B15268" s="86"/>
    </x:row>
    <x:row r="15269">
      <x:c r="A15269" s="85"/>
      <x:c r="B15269" s="86"/>
    </x:row>
    <x:row r="15270">
      <x:c r="A15270" s="85"/>
      <x:c r="B15270" s="86"/>
    </x:row>
    <x:row r="15271">
      <x:c r="A15271" s="85"/>
      <x:c r="B15271" s="86"/>
    </x:row>
    <x:row r="15272">
      <x:c r="A15272" s="85"/>
      <x:c r="B15272" s="86"/>
    </x:row>
    <x:row r="15273">
      <x:c r="A15273" s="85"/>
      <x:c r="B15273" s="86"/>
    </x:row>
    <x:row r="15274">
      <x:c r="A15274" s="85"/>
      <x:c r="B15274" s="86"/>
    </x:row>
    <x:row r="15275">
      <x:c r="A15275" s="85"/>
      <x:c r="B15275" s="86"/>
    </x:row>
    <x:row r="15276">
      <x:c r="A15276" s="85"/>
      <x:c r="B15276" s="86"/>
    </x:row>
    <x:row r="15277">
      <x:c r="A15277" s="85"/>
      <x:c r="B15277" s="86"/>
    </x:row>
    <x:row r="15278">
      <x:c r="A15278" s="85"/>
      <x:c r="B15278" s="86"/>
    </x:row>
    <x:row r="15279">
      <x:c r="A15279" s="85"/>
      <x:c r="B15279" s="86"/>
    </x:row>
    <x:row r="15280">
      <x:c r="A15280" s="85"/>
      <x:c r="B15280" s="86"/>
    </x:row>
    <x:row r="15281">
      <x:c r="A15281" s="85"/>
      <x:c r="B15281" s="86"/>
    </x:row>
    <x:row r="15282">
      <x:c r="A15282" s="85"/>
      <x:c r="B15282" s="86"/>
    </x:row>
    <x:row r="15283">
      <x:c r="A15283" s="85"/>
      <x:c r="B15283" s="86"/>
    </x:row>
    <x:row r="15284">
      <x:c r="A15284" s="85"/>
      <x:c r="B15284" s="86"/>
    </x:row>
    <x:row r="15285">
      <x:c r="A15285" s="85"/>
      <x:c r="B15285" s="86"/>
    </x:row>
    <x:row r="15286">
      <x:c r="A15286" s="85"/>
      <x:c r="B15286" s="86"/>
    </x:row>
    <x:row r="15287">
      <x:c r="A15287" s="85"/>
      <x:c r="B15287" s="86"/>
    </x:row>
    <x:row r="15288">
      <x:c r="A15288" s="85"/>
      <x:c r="B15288" s="86"/>
    </x:row>
    <x:row r="15289">
      <x:c r="A15289" s="85"/>
      <x:c r="B15289" s="86"/>
    </x:row>
    <x:row r="15290">
      <x:c r="A15290" s="85"/>
      <x:c r="B15290" s="86"/>
    </x:row>
    <x:row r="15291">
      <x:c r="A15291" s="85"/>
      <x:c r="B15291" s="86"/>
    </x:row>
    <x:row r="15292">
      <x:c r="A15292" s="85"/>
      <x:c r="B15292" s="86"/>
    </x:row>
    <x:row r="15293">
      <x:c r="A15293" s="85"/>
      <x:c r="B15293" s="86"/>
    </x:row>
    <x:row r="15294">
      <x:c r="A15294" s="85"/>
      <x:c r="B15294" s="86"/>
    </x:row>
    <x:row r="15295">
      <x:c r="A15295" s="85"/>
      <x:c r="B15295" s="86"/>
    </x:row>
    <x:row r="15296">
      <x:c r="A15296" s="85"/>
      <x:c r="B15296" s="86"/>
    </x:row>
    <x:row r="15297">
      <x:c r="A15297" s="85"/>
      <x:c r="B15297" s="86"/>
    </x:row>
    <x:row r="15298">
      <x:c r="A15298" s="85"/>
      <x:c r="B15298" s="86"/>
    </x:row>
    <x:row r="15299">
      <x:c r="A15299" s="85"/>
      <x:c r="B15299" s="86"/>
    </x:row>
    <x:row r="15300">
      <x:c r="A15300" s="85"/>
      <x:c r="B15300" s="86"/>
    </x:row>
    <x:row r="15301">
      <x:c r="A15301" s="85"/>
      <x:c r="B15301" s="86"/>
    </x:row>
    <x:row r="15302">
      <x:c r="A15302" s="85"/>
      <x:c r="B15302" s="86"/>
    </x:row>
    <x:row r="15303">
      <x:c r="A15303" s="85"/>
      <x:c r="B15303" s="86"/>
    </x:row>
    <x:row r="15304">
      <x:c r="A15304" s="85"/>
      <x:c r="B15304" s="86"/>
    </x:row>
    <x:row r="15305">
      <x:c r="A15305" s="85"/>
      <x:c r="B15305" s="86"/>
    </x:row>
    <x:row r="15306">
      <x:c r="A15306" s="85"/>
      <x:c r="B15306" s="86"/>
    </x:row>
    <x:row r="15307">
      <x:c r="A15307" s="85"/>
      <x:c r="B15307" s="86"/>
    </x:row>
    <x:row r="15308">
      <x:c r="A15308" s="85"/>
      <x:c r="B15308" s="86"/>
    </x:row>
    <x:row r="15309">
      <x:c r="A15309" s="85"/>
      <x:c r="B15309" s="86"/>
    </x:row>
    <x:row r="15310">
      <x:c r="A15310" s="85"/>
      <x:c r="B15310" s="86"/>
    </x:row>
    <x:row r="15311">
      <x:c r="A15311" s="85"/>
      <x:c r="B15311" s="86"/>
    </x:row>
    <x:row r="15312">
      <x:c r="A15312" s="85"/>
      <x:c r="B15312" s="86"/>
    </x:row>
    <x:row r="15313">
      <x:c r="A15313" s="85"/>
      <x:c r="B15313" s="86"/>
    </x:row>
    <x:row r="15314">
      <x:c r="A15314" s="85"/>
      <x:c r="B15314" s="86"/>
    </x:row>
    <x:row r="15315">
      <x:c r="A15315" s="85"/>
      <x:c r="B15315" s="86"/>
    </x:row>
    <x:row r="15316">
      <x:c r="A15316" s="85"/>
      <x:c r="B15316" s="86"/>
    </x:row>
    <x:row r="15317">
      <x:c r="A15317" s="85"/>
      <x:c r="B15317" s="86"/>
    </x:row>
    <x:row r="15318">
      <x:c r="A15318" s="85"/>
      <x:c r="B15318" s="86"/>
    </x:row>
    <x:row r="15319">
      <x:c r="A15319" s="85"/>
      <x:c r="B15319" s="86"/>
    </x:row>
    <x:row r="15320">
      <x:c r="A15320" s="85"/>
      <x:c r="B15320" s="86"/>
    </x:row>
    <x:row r="15321">
      <x:c r="A15321" s="85"/>
      <x:c r="B15321" s="86"/>
    </x:row>
    <x:row r="15322">
      <x:c r="A15322" s="85"/>
      <x:c r="B15322" s="86"/>
    </x:row>
    <x:row r="15323">
      <x:c r="A15323" s="85"/>
      <x:c r="B15323" s="86"/>
    </x:row>
    <x:row r="15324">
      <x:c r="A15324" s="85"/>
      <x:c r="B15324" s="86"/>
    </x:row>
    <x:row r="15325">
      <x:c r="A15325" s="85"/>
      <x:c r="B15325" s="86"/>
    </x:row>
    <x:row r="15326">
      <x:c r="A15326" s="85"/>
      <x:c r="B15326" s="86"/>
    </x:row>
    <x:row r="15327">
      <x:c r="A15327" s="85"/>
      <x:c r="B15327" s="86"/>
    </x:row>
    <x:row r="15328">
      <x:c r="A15328" s="85"/>
      <x:c r="B15328" s="86"/>
    </x:row>
    <x:row r="15329">
      <x:c r="A15329" s="85"/>
      <x:c r="B15329" s="86"/>
    </x:row>
    <x:row r="15330">
      <x:c r="A15330" s="85"/>
      <x:c r="B15330" s="86"/>
    </x:row>
    <x:row r="15331">
      <x:c r="A15331" s="85"/>
      <x:c r="B15331" s="86"/>
    </x:row>
    <x:row r="15332">
      <x:c r="A15332" s="85"/>
      <x:c r="B15332" s="86"/>
    </x:row>
    <x:row r="15333">
      <x:c r="A15333" s="85"/>
      <x:c r="B15333" s="86"/>
    </x:row>
    <x:row r="15334">
      <x:c r="A15334" s="85"/>
      <x:c r="B15334" s="86"/>
    </x:row>
    <x:row r="15335">
      <x:c r="A15335" s="85"/>
      <x:c r="B15335" s="86"/>
    </x:row>
    <x:row r="15336">
      <x:c r="A15336" s="85"/>
      <x:c r="B15336" s="86"/>
    </x:row>
    <x:row r="15337">
      <x:c r="A15337" s="85"/>
      <x:c r="B15337" s="86"/>
    </x:row>
    <x:row r="15338">
      <x:c r="A15338" s="85"/>
      <x:c r="B15338" s="86"/>
    </x:row>
    <x:row r="15339">
      <x:c r="A15339" s="85"/>
      <x:c r="B15339" s="86"/>
    </x:row>
    <x:row r="15340">
      <x:c r="A15340" s="85"/>
      <x:c r="B15340" s="86"/>
    </x:row>
    <x:row r="15341">
      <x:c r="A15341" s="85"/>
      <x:c r="B15341" s="86"/>
    </x:row>
    <x:row r="15342">
      <x:c r="A15342" s="85"/>
      <x:c r="B15342" s="86"/>
    </x:row>
    <x:row r="15343">
      <x:c r="A15343" s="85"/>
      <x:c r="B15343" s="86"/>
    </x:row>
    <x:row r="15344">
      <x:c r="A15344" s="85"/>
      <x:c r="B15344" s="86"/>
    </x:row>
    <x:row r="15345">
      <x:c r="A15345" s="85"/>
      <x:c r="B15345" s="86"/>
    </x:row>
    <x:row r="15346">
      <x:c r="A15346" s="85"/>
      <x:c r="B15346" s="86"/>
    </x:row>
    <x:row r="15347">
      <x:c r="A15347" s="85"/>
      <x:c r="B15347" s="86"/>
    </x:row>
    <x:row r="15348">
      <x:c r="A15348" s="85"/>
      <x:c r="B15348" s="86"/>
    </x:row>
    <x:row r="15349">
      <x:c r="A15349" s="85"/>
      <x:c r="B15349" s="86"/>
    </x:row>
    <x:row r="15350">
      <x:c r="A15350" s="85"/>
      <x:c r="B15350" s="86"/>
    </x:row>
    <x:row r="15351">
      <x:c r="A15351" s="85"/>
      <x:c r="B15351" s="86"/>
    </x:row>
    <x:row r="15352">
      <x:c r="A15352" s="85"/>
      <x:c r="B15352" s="86"/>
    </x:row>
    <x:row r="15353">
      <x:c r="A15353" s="85"/>
      <x:c r="B15353" s="86"/>
    </x:row>
    <x:row r="15354">
      <x:c r="A15354" s="85"/>
      <x:c r="B15354" s="86"/>
    </x:row>
    <x:row r="15355">
      <x:c r="A15355" s="85"/>
      <x:c r="B15355" s="86"/>
    </x:row>
    <x:row r="15356">
      <x:c r="A15356" s="85"/>
      <x:c r="B15356" s="86"/>
    </x:row>
    <x:row r="15357">
      <x:c r="A15357" s="85"/>
      <x:c r="B15357" s="86"/>
    </x:row>
    <x:row r="15358">
      <x:c r="A15358" s="85"/>
      <x:c r="B15358" s="86"/>
    </x:row>
    <x:row r="15359">
      <x:c r="A15359" s="85"/>
      <x:c r="B15359" s="86"/>
    </x:row>
    <x:row r="15360">
      <x:c r="A15360" s="85"/>
      <x:c r="B15360" s="86"/>
    </x:row>
    <x:row r="15361">
      <x:c r="A15361" s="85"/>
      <x:c r="B15361" s="86"/>
    </x:row>
    <x:row r="15362">
      <x:c r="A15362" s="85"/>
      <x:c r="B15362" s="86"/>
    </x:row>
    <x:row r="15363">
      <x:c r="A15363" s="85"/>
      <x:c r="B15363" s="86"/>
    </x:row>
    <x:row r="15364">
      <x:c r="A15364" s="85"/>
      <x:c r="B15364" s="86"/>
    </x:row>
    <x:row r="15365">
      <x:c r="A15365" s="85"/>
      <x:c r="B15365" s="86"/>
    </x:row>
    <x:row r="15366">
      <x:c r="A15366" s="85"/>
      <x:c r="B15366" s="86"/>
    </x:row>
    <x:row r="15367">
      <x:c r="A15367" s="85"/>
      <x:c r="B15367" s="86"/>
    </x:row>
    <x:row r="15368">
      <x:c r="A15368" s="85"/>
      <x:c r="B15368" s="86"/>
    </x:row>
    <x:row r="15369">
      <x:c r="A15369" s="85"/>
      <x:c r="B15369" s="86"/>
    </x:row>
    <x:row r="15370">
      <x:c r="A15370" s="85"/>
      <x:c r="B15370" s="86"/>
    </x:row>
    <x:row r="15371">
      <x:c r="A15371" s="85"/>
      <x:c r="B15371" s="86"/>
    </x:row>
    <x:row r="15372">
      <x:c r="A15372" s="85"/>
      <x:c r="B15372" s="86"/>
    </x:row>
    <x:row r="15373">
      <x:c r="A15373" s="85"/>
      <x:c r="B15373" s="86"/>
    </x:row>
    <x:row r="15374">
      <x:c r="A15374" s="85"/>
      <x:c r="B15374" s="86"/>
    </x:row>
    <x:row r="15375">
      <x:c r="A15375" s="85"/>
      <x:c r="B15375" s="86"/>
    </x:row>
    <x:row r="15376">
      <x:c r="A15376" s="85"/>
      <x:c r="B15376" s="86"/>
    </x:row>
    <x:row r="15377">
      <x:c r="A15377" s="85"/>
      <x:c r="B15377" s="86"/>
    </x:row>
    <x:row r="15378">
      <x:c r="A15378" s="85"/>
      <x:c r="B15378" s="86"/>
    </x:row>
    <x:row r="15379">
      <x:c r="A15379" s="85"/>
      <x:c r="B15379" s="86"/>
    </x:row>
    <x:row r="15380">
      <x:c r="A15380" s="85"/>
      <x:c r="B15380" s="86"/>
    </x:row>
    <x:row r="15381">
      <x:c r="A15381" s="85"/>
      <x:c r="B15381" s="86"/>
    </x:row>
    <x:row r="15382">
      <x:c r="A15382" s="85"/>
      <x:c r="B15382" s="86"/>
    </x:row>
    <x:row r="15383">
      <x:c r="A15383" s="85"/>
      <x:c r="B15383" s="86"/>
    </x:row>
    <x:row r="15384">
      <x:c r="A15384" s="85"/>
      <x:c r="B15384" s="86"/>
    </x:row>
    <x:row r="15385">
      <x:c r="A15385" s="85"/>
      <x:c r="B15385" s="86"/>
    </x:row>
    <x:row r="15386">
      <x:c r="A15386" s="85"/>
      <x:c r="B15386" s="86"/>
    </x:row>
    <x:row r="15387">
      <x:c r="A15387" s="85"/>
      <x:c r="B15387" s="86"/>
    </x:row>
    <x:row r="15388">
      <x:c r="A15388" s="85"/>
      <x:c r="B15388" s="86"/>
    </x:row>
    <x:row r="15389">
      <x:c r="A15389" s="85"/>
      <x:c r="B15389" s="86"/>
    </x:row>
    <x:row r="15390">
      <x:c r="A15390" s="85"/>
      <x:c r="B15390" s="86"/>
    </x:row>
    <x:row r="15391">
      <x:c r="A15391" s="85"/>
      <x:c r="B15391" s="86"/>
    </x:row>
    <x:row r="15392">
      <x:c r="A15392" s="85"/>
      <x:c r="B15392" s="86"/>
    </x:row>
    <x:row r="15393">
      <x:c r="A15393" s="85"/>
      <x:c r="B15393" s="86"/>
    </x:row>
    <x:row r="15394">
      <x:c r="A15394" s="85"/>
      <x:c r="B15394" s="86"/>
    </x:row>
    <x:row r="15395">
      <x:c r="A15395" s="85"/>
      <x:c r="B15395" s="86"/>
    </x:row>
    <x:row r="15396">
      <x:c r="A15396" s="85"/>
      <x:c r="B15396" s="86"/>
    </x:row>
    <x:row r="15397">
      <x:c r="A15397" s="85"/>
      <x:c r="B15397" s="86"/>
    </x:row>
    <x:row r="15398">
      <x:c r="A15398" s="85"/>
      <x:c r="B15398" s="86"/>
    </x:row>
    <x:row r="15399">
      <x:c r="A15399" s="85"/>
      <x:c r="B15399" s="86"/>
    </x:row>
    <x:row r="15400">
      <x:c r="A15400" s="85"/>
      <x:c r="B15400" s="86"/>
    </x:row>
    <x:row r="15401">
      <x:c r="A15401" s="85"/>
      <x:c r="B15401" s="86"/>
    </x:row>
    <x:row r="15402">
      <x:c r="A15402" s="85"/>
      <x:c r="B15402" s="86"/>
    </x:row>
    <x:row r="15403">
      <x:c r="A15403" s="85"/>
      <x:c r="B15403" s="86"/>
    </x:row>
    <x:row r="15404">
      <x:c r="A15404" s="85"/>
      <x:c r="B15404" s="86"/>
    </x:row>
    <x:row r="15405">
      <x:c r="A15405" s="85"/>
      <x:c r="B15405" s="86"/>
    </x:row>
    <x:row r="15406">
      <x:c r="A15406" s="85"/>
      <x:c r="B15406" s="86"/>
    </x:row>
    <x:row r="15407">
      <x:c r="A15407" s="85"/>
      <x:c r="B15407" s="86"/>
    </x:row>
    <x:row r="15408">
      <x:c r="A15408" s="85"/>
      <x:c r="B15408" s="86"/>
    </x:row>
    <x:row r="15409">
      <x:c r="A15409" s="85"/>
      <x:c r="B15409" s="86"/>
    </x:row>
    <x:row r="15410">
      <x:c r="A15410" s="85"/>
      <x:c r="B15410" s="86"/>
    </x:row>
    <x:row r="15411">
      <x:c r="A15411" s="85"/>
      <x:c r="B15411" s="86"/>
    </x:row>
    <x:row r="15412">
      <x:c r="A15412" s="85"/>
      <x:c r="B15412" s="86"/>
    </x:row>
    <x:row r="15413">
      <x:c r="A15413" s="85"/>
      <x:c r="B15413" s="86"/>
    </x:row>
    <x:row r="15414">
      <x:c r="A15414" s="85"/>
      <x:c r="B15414" s="86"/>
    </x:row>
    <x:row r="15415">
      <x:c r="A15415" s="85"/>
      <x:c r="B15415" s="86"/>
    </x:row>
    <x:row r="15416">
      <x:c r="A15416" s="85"/>
      <x:c r="B15416" s="86"/>
    </x:row>
    <x:row r="15417">
      <x:c r="A15417" s="85"/>
      <x:c r="B15417" s="86"/>
    </x:row>
    <x:row r="15418">
      <x:c r="A15418" s="85"/>
      <x:c r="B15418" s="86"/>
    </x:row>
    <x:row r="15419">
      <x:c r="A15419" s="85"/>
      <x:c r="B15419" s="86"/>
    </x:row>
    <x:row r="15420">
      <x:c r="A15420" s="85"/>
      <x:c r="B15420" s="86"/>
    </x:row>
    <x:row r="15421">
      <x:c r="A15421" s="85"/>
      <x:c r="B15421" s="86"/>
    </x:row>
    <x:row r="15422">
      <x:c r="A15422" s="85"/>
      <x:c r="B15422" s="86"/>
    </x:row>
    <x:row r="15423">
      <x:c r="A15423" s="85"/>
      <x:c r="B15423" s="86"/>
    </x:row>
    <x:row r="15424">
      <x:c r="A15424" s="85"/>
      <x:c r="B15424" s="86"/>
    </x:row>
    <x:row r="15425">
      <x:c r="A15425" s="85"/>
      <x:c r="B15425" s="86"/>
    </x:row>
    <x:row r="15426">
      <x:c r="A15426" s="85"/>
      <x:c r="B15426" s="86"/>
    </x:row>
    <x:row r="15427">
      <x:c r="A15427" s="85"/>
      <x:c r="B15427" s="86"/>
    </x:row>
    <x:row r="15428">
      <x:c r="A15428" s="85"/>
      <x:c r="B15428" s="86"/>
    </x:row>
    <x:row r="15429">
      <x:c r="A15429" s="85"/>
      <x:c r="B15429" s="86"/>
    </x:row>
    <x:row r="15430">
      <x:c r="A15430" s="85"/>
      <x:c r="B15430" s="86"/>
    </x:row>
    <x:row r="15431">
      <x:c r="A15431" s="85"/>
      <x:c r="B15431" s="86"/>
    </x:row>
    <x:row r="15432">
      <x:c r="A15432" s="85"/>
      <x:c r="B15432" s="86"/>
    </x:row>
    <x:row r="15433">
      <x:c r="A15433" s="85"/>
      <x:c r="B15433" s="86"/>
    </x:row>
    <x:row r="15434">
      <x:c r="A15434" s="85"/>
      <x:c r="B15434" s="86"/>
    </x:row>
    <x:row r="15435">
      <x:c r="A15435" s="85"/>
      <x:c r="B15435" s="86"/>
    </x:row>
    <x:row r="15436">
      <x:c r="A15436" s="85"/>
      <x:c r="B15436" s="86"/>
    </x:row>
    <x:row r="15437">
      <x:c r="A15437" s="85"/>
      <x:c r="B15437" s="86"/>
    </x:row>
    <x:row r="15438">
      <x:c r="A15438" s="85"/>
      <x:c r="B15438" s="86"/>
    </x:row>
    <x:row r="15439">
      <x:c r="A15439" s="85"/>
      <x:c r="B15439" s="86"/>
    </x:row>
    <x:row r="15440">
      <x:c r="A15440" s="85"/>
      <x:c r="B15440" s="86"/>
    </x:row>
    <x:row r="15441">
      <x:c r="A15441" s="85"/>
      <x:c r="B15441" s="86"/>
    </x:row>
    <x:row r="15442">
      <x:c r="A15442" s="85"/>
      <x:c r="B15442" s="86"/>
    </x:row>
    <x:row r="15443">
      <x:c r="A15443" s="85"/>
      <x:c r="B15443" s="86"/>
    </x:row>
    <x:row r="15444">
      <x:c r="A15444" s="85"/>
      <x:c r="B15444" s="86"/>
    </x:row>
    <x:row r="15445">
      <x:c r="A15445" s="85"/>
      <x:c r="B15445" s="86"/>
    </x:row>
    <x:row r="15446">
      <x:c r="A15446" s="85"/>
      <x:c r="B15446" s="86"/>
    </x:row>
    <x:row r="15447">
      <x:c r="A15447" s="85"/>
      <x:c r="B15447" s="86"/>
    </x:row>
    <x:row r="15448">
      <x:c r="A15448" s="85"/>
      <x:c r="B15448" s="86"/>
    </x:row>
    <x:row r="15449">
      <x:c r="A15449" s="85"/>
      <x:c r="B15449" s="86"/>
    </x:row>
    <x:row r="15450">
      <x:c r="A15450" s="85"/>
      <x:c r="B15450" s="86"/>
    </x:row>
    <x:row r="15451">
      <x:c r="A15451" s="85"/>
      <x:c r="B15451" s="86"/>
    </x:row>
    <x:row r="15452">
      <x:c r="A15452" s="85"/>
      <x:c r="B15452" s="86"/>
    </x:row>
    <x:row r="15453">
      <x:c r="A15453" s="85"/>
      <x:c r="B15453" s="86"/>
    </x:row>
    <x:row r="15454">
      <x:c r="A15454" s="85"/>
      <x:c r="B15454" s="86"/>
    </x:row>
    <x:row r="15455">
      <x:c r="A15455" s="85"/>
      <x:c r="B15455" s="86"/>
    </x:row>
    <x:row r="15456">
      <x:c r="A15456" s="85"/>
      <x:c r="B15456" s="86"/>
    </x:row>
    <x:row r="15457">
      <x:c r="A15457" s="85"/>
      <x:c r="B15457" s="86"/>
    </x:row>
    <x:row r="15458">
      <x:c r="A15458" s="85"/>
      <x:c r="B15458" s="86"/>
    </x:row>
    <x:row r="15459">
      <x:c r="A15459" s="85"/>
      <x:c r="B15459" s="86"/>
    </x:row>
    <x:row r="15460">
      <x:c r="A15460" s="85"/>
      <x:c r="B15460" s="86"/>
    </x:row>
    <x:row r="15461">
      <x:c r="A15461" s="85"/>
      <x:c r="B15461" s="86"/>
    </x:row>
    <x:row r="15462">
      <x:c r="A15462" s="85"/>
      <x:c r="B15462" s="86"/>
    </x:row>
    <x:row r="15463">
      <x:c r="A15463" s="85"/>
      <x:c r="B15463" s="86"/>
    </x:row>
    <x:row r="15464">
      <x:c r="A15464" s="85"/>
      <x:c r="B15464" s="86"/>
    </x:row>
    <x:row r="15465">
      <x:c r="A15465" s="85"/>
      <x:c r="B15465" s="86"/>
    </x:row>
    <x:row r="15466">
      <x:c r="A15466" s="85"/>
      <x:c r="B15466" s="86"/>
    </x:row>
    <x:row r="15467">
      <x:c r="A15467" s="85"/>
      <x:c r="B15467" s="86"/>
    </x:row>
    <x:row r="15468">
      <x:c r="A15468" s="85"/>
      <x:c r="B15468" s="86"/>
    </x:row>
    <x:row r="15469">
      <x:c r="A15469" s="85"/>
      <x:c r="B15469" s="86"/>
    </x:row>
    <x:row r="15470">
      <x:c r="A15470" s="85"/>
      <x:c r="B15470" s="86"/>
    </x:row>
    <x:row r="15471">
      <x:c r="A15471" s="85"/>
      <x:c r="B15471" s="86"/>
    </x:row>
    <x:row r="15472">
      <x:c r="A15472" s="85"/>
      <x:c r="B15472" s="86"/>
    </x:row>
    <x:row r="15473">
      <x:c r="A15473" s="85"/>
      <x:c r="B15473" s="86"/>
    </x:row>
    <x:row r="15474">
      <x:c r="A15474" s="85"/>
      <x:c r="B15474" s="86"/>
    </x:row>
    <x:row r="15475">
      <x:c r="A15475" s="85"/>
      <x:c r="B15475" s="86"/>
    </x:row>
    <x:row r="15476">
      <x:c r="A15476" s="85"/>
      <x:c r="B15476" s="86"/>
    </x:row>
    <x:row r="15477">
      <x:c r="A15477" s="85"/>
      <x:c r="B15477" s="86"/>
    </x:row>
    <x:row r="15478">
      <x:c r="A15478" s="85"/>
      <x:c r="B15478" s="86"/>
    </x:row>
    <x:row r="15479">
      <x:c r="A15479" s="85"/>
      <x:c r="B15479" s="86"/>
    </x:row>
    <x:row r="15480">
      <x:c r="A15480" s="85"/>
      <x:c r="B15480" s="86"/>
    </x:row>
    <x:row r="15481">
      <x:c r="A15481" s="85"/>
      <x:c r="B15481" s="86"/>
    </x:row>
    <x:row r="15482">
      <x:c r="A15482" s="85"/>
      <x:c r="B15482" s="86"/>
    </x:row>
    <x:row r="15483">
      <x:c r="A15483" s="85"/>
      <x:c r="B15483" s="86"/>
    </x:row>
    <x:row r="15484">
      <x:c r="A15484" s="85"/>
      <x:c r="B15484" s="86"/>
    </x:row>
    <x:row r="15485">
      <x:c r="A15485" s="85"/>
      <x:c r="B15485" s="86"/>
    </x:row>
    <x:row r="15486">
      <x:c r="A15486" s="85"/>
      <x:c r="B15486" s="86"/>
    </x:row>
    <x:row r="15487">
      <x:c r="A15487" s="85"/>
      <x:c r="B15487" s="86"/>
    </x:row>
    <x:row r="15488">
      <x:c r="A15488" s="85"/>
      <x:c r="B15488" s="86"/>
    </x:row>
    <x:row r="15489">
      <x:c r="A15489" s="85"/>
      <x:c r="B15489" s="86"/>
    </x:row>
    <x:row r="15490">
      <x:c r="A15490" s="85"/>
      <x:c r="B15490" s="86"/>
    </x:row>
    <x:row r="15491">
      <x:c r="A15491" s="85"/>
      <x:c r="B15491" s="86"/>
    </x:row>
    <x:row r="15492">
      <x:c r="A15492" s="85"/>
      <x:c r="B15492" s="86"/>
    </x:row>
    <x:row r="15493">
      <x:c r="A15493" s="85"/>
      <x:c r="B15493" s="86"/>
    </x:row>
    <x:row r="15494">
      <x:c r="A15494" s="85"/>
      <x:c r="B15494" s="86"/>
    </x:row>
    <x:row r="15495">
      <x:c r="A15495" s="85"/>
      <x:c r="B15495" s="86"/>
    </x:row>
    <x:row r="15496">
      <x:c r="A15496" s="85"/>
      <x:c r="B15496" s="86"/>
    </x:row>
    <x:row r="15497">
      <x:c r="A15497" s="85"/>
      <x:c r="B15497" s="86"/>
    </x:row>
    <x:row r="15498">
      <x:c r="A15498" s="85"/>
      <x:c r="B15498" s="86"/>
    </x:row>
    <x:row r="15499">
      <x:c r="A15499" s="85"/>
      <x:c r="B15499" s="86"/>
    </x:row>
    <x:row r="15500">
      <x:c r="A15500" s="85"/>
      <x:c r="B15500" s="86"/>
    </x:row>
    <x:row r="15501">
      <x:c r="A15501" s="85"/>
      <x:c r="B15501" s="86"/>
    </x:row>
    <x:row r="15502">
      <x:c r="A15502" s="85"/>
      <x:c r="B15502" s="86"/>
    </x:row>
    <x:row r="15503">
      <x:c r="A15503" s="85"/>
      <x:c r="B15503" s="86"/>
    </x:row>
    <x:row r="15504">
      <x:c r="A15504" s="85"/>
      <x:c r="B15504" s="86"/>
    </x:row>
    <x:row r="15505">
      <x:c r="A15505" s="85"/>
      <x:c r="B15505" s="86"/>
    </x:row>
    <x:row r="15506">
      <x:c r="A15506" s="85"/>
      <x:c r="B15506" s="86"/>
    </x:row>
    <x:row r="15507">
      <x:c r="A15507" s="85"/>
      <x:c r="B15507" s="86"/>
    </x:row>
    <x:row r="15508">
      <x:c r="A15508" s="85"/>
      <x:c r="B15508" s="86"/>
    </x:row>
    <x:row r="15509">
      <x:c r="A15509" s="85"/>
      <x:c r="B15509" s="86"/>
    </x:row>
    <x:row r="15510">
      <x:c r="A15510" s="85"/>
      <x:c r="B15510" s="86"/>
    </x:row>
    <x:row r="15511">
      <x:c r="A15511" s="85"/>
      <x:c r="B15511" s="86"/>
    </x:row>
    <x:row r="15512">
      <x:c r="A15512" s="85"/>
      <x:c r="B15512" s="86"/>
    </x:row>
    <x:row r="15513">
      <x:c r="A15513" s="85"/>
      <x:c r="B15513" s="86"/>
    </x:row>
    <x:row r="15514">
      <x:c r="A15514" s="85"/>
      <x:c r="B15514" s="86"/>
    </x:row>
    <x:row r="15515">
      <x:c r="A15515" s="85"/>
      <x:c r="B15515" s="86"/>
    </x:row>
    <x:row r="15516">
      <x:c r="A15516" s="85"/>
      <x:c r="B15516" s="86"/>
    </x:row>
    <x:row r="15517">
      <x:c r="A15517" s="85"/>
      <x:c r="B15517" s="86"/>
    </x:row>
    <x:row r="15518">
      <x:c r="A15518" s="85"/>
      <x:c r="B15518" s="86"/>
    </x:row>
    <x:row r="15519">
      <x:c r="A15519" s="85"/>
      <x:c r="B15519" s="86"/>
    </x:row>
    <x:row r="15520">
      <x:c r="A15520" s="85"/>
      <x:c r="B15520" s="86"/>
    </x:row>
    <x:row r="15521">
      <x:c r="A15521" s="85"/>
      <x:c r="B15521" s="86"/>
    </x:row>
    <x:row r="15522">
      <x:c r="A15522" s="85"/>
      <x:c r="B15522" s="86"/>
    </x:row>
    <x:row r="15523">
      <x:c r="A15523" s="85"/>
      <x:c r="B15523" s="86"/>
    </x:row>
    <x:row r="15524">
      <x:c r="A15524" s="85"/>
      <x:c r="B15524" s="86"/>
    </x:row>
    <x:row r="15525">
      <x:c r="A15525" s="85"/>
      <x:c r="B15525" s="86"/>
    </x:row>
    <x:row r="15526">
      <x:c r="A15526" s="85"/>
      <x:c r="B15526" s="86"/>
    </x:row>
    <x:row r="15527">
      <x:c r="A15527" s="85"/>
      <x:c r="B15527" s="86"/>
    </x:row>
    <x:row r="15528">
      <x:c r="A15528" s="85"/>
      <x:c r="B15528" s="86"/>
    </x:row>
    <x:row r="15529">
      <x:c r="A15529" s="85"/>
      <x:c r="B15529" s="86"/>
    </x:row>
    <x:row r="15530">
      <x:c r="A15530" s="85"/>
      <x:c r="B15530" s="86"/>
    </x:row>
    <x:row r="15531">
      <x:c r="A15531" s="85"/>
      <x:c r="B15531" s="86"/>
    </x:row>
    <x:row r="15532">
      <x:c r="A15532" s="85"/>
      <x:c r="B15532" s="86"/>
    </x:row>
    <x:row r="15533">
      <x:c r="A15533" s="85"/>
      <x:c r="B15533" s="86"/>
    </x:row>
    <x:row r="15534">
      <x:c r="A15534" s="85"/>
      <x:c r="B15534" s="86"/>
    </x:row>
    <x:row r="15535">
      <x:c r="A15535" s="85"/>
      <x:c r="B15535" s="86"/>
    </x:row>
    <x:row r="15536">
      <x:c r="A15536" s="85"/>
      <x:c r="B15536" s="86"/>
    </x:row>
    <x:row r="15537">
      <x:c r="A15537" s="85"/>
      <x:c r="B15537" s="86"/>
    </x:row>
    <x:row r="15538">
      <x:c r="A15538" s="85"/>
      <x:c r="B15538" s="86"/>
    </x:row>
    <x:row r="15539">
      <x:c r="A15539" s="85"/>
      <x:c r="B15539" s="86"/>
    </x:row>
    <x:row r="15540">
      <x:c r="A15540" s="85"/>
      <x:c r="B15540" s="86"/>
    </x:row>
    <x:row r="15541">
      <x:c r="A15541" s="85"/>
      <x:c r="B15541" s="86"/>
    </x:row>
    <x:row r="15542">
      <x:c r="A15542" s="85"/>
      <x:c r="B15542" s="86"/>
    </x:row>
    <x:row r="15543">
      <x:c r="A15543" s="85"/>
      <x:c r="B15543" s="86"/>
    </x:row>
    <x:row r="15544">
      <x:c r="A15544" s="85"/>
      <x:c r="B15544" s="86"/>
    </x:row>
    <x:row r="15545">
      <x:c r="A15545" s="85"/>
      <x:c r="B15545" s="86"/>
    </x:row>
    <x:row r="15546">
      <x:c r="A15546" s="85"/>
      <x:c r="B15546" s="86"/>
    </x:row>
    <x:row r="15547">
      <x:c r="A15547" s="85"/>
      <x:c r="B15547" s="86"/>
    </x:row>
    <x:row r="15548">
      <x:c r="A15548" s="85"/>
      <x:c r="B15548" s="86"/>
    </x:row>
    <x:row r="15549">
      <x:c r="A15549" s="85"/>
      <x:c r="B15549" s="86"/>
    </x:row>
    <x:row r="15550">
      <x:c r="A15550" s="85"/>
      <x:c r="B15550" s="86"/>
    </x:row>
    <x:row r="15551">
      <x:c r="A15551" s="85"/>
      <x:c r="B15551" s="86"/>
    </x:row>
    <x:row r="15552">
      <x:c r="A15552" s="85"/>
      <x:c r="B15552" s="86"/>
    </x:row>
    <x:row r="15553">
      <x:c r="A15553" s="85"/>
      <x:c r="B15553" s="86"/>
    </x:row>
    <x:row r="15554">
      <x:c r="A15554" s="85"/>
      <x:c r="B15554" s="86"/>
    </x:row>
    <x:row r="15555">
      <x:c r="A15555" s="85"/>
      <x:c r="B15555" s="86"/>
    </x:row>
    <x:row r="15556">
      <x:c r="A15556" s="85"/>
      <x:c r="B15556" s="86"/>
    </x:row>
    <x:row r="15557">
      <x:c r="A15557" s="85"/>
      <x:c r="B15557" s="86"/>
    </x:row>
    <x:row r="15558">
      <x:c r="A15558" s="85"/>
      <x:c r="B15558" s="86"/>
    </x:row>
    <x:row r="15559">
      <x:c r="A15559" s="85"/>
      <x:c r="B15559" s="86"/>
    </x:row>
    <x:row r="15560">
      <x:c r="A15560" s="85"/>
      <x:c r="B15560" s="86"/>
    </x:row>
    <x:row r="15561">
      <x:c r="A15561" s="85"/>
      <x:c r="B15561" s="86"/>
    </x:row>
    <x:row r="15562">
      <x:c r="A15562" s="85"/>
      <x:c r="B15562" s="86"/>
    </x:row>
    <x:row r="15563">
      <x:c r="A15563" s="85"/>
      <x:c r="B15563" s="86"/>
    </x:row>
    <x:row r="15564">
      <x:c r="A15564" s="85"/>
      <x:c r="B15564" s="86"/>
    </x:row>
    <x:row r="15565">
      <x:c r="A15565" s="85"/>
      <x:c r="B15565" s="86"/>
    </x:row>
    <x:row r="15566">
      <x:c r="A15566" s="85"/>
      <x:c r="B15566" s="86"/>
    </x:row>
    <x:row r="15567">
      <x:c r="A15567" s="85"/>
      <x:c r="B15567" s="86"/>
    </x:row>
    <x:row r="15568">
      <x:c r="A15568" s="85"/>
      <x:c r="B15568" s="86"/>
    </x:row>
    <x:row r="15569">
      <x:c r="A15569" s="85"/>
      <x:c r="B15569" s="86"/>
    </x:row>
    <x:row r="15570">
      <x:c r="A15570" s="85"/>
      <x:c r="B15570" s="86"/>
    </x:row>
    <x:row r="15571">
      <x:c r="A15571" s="85"/>
      <x:c r="B15571" s="86"/>
    </x:row>
    <x:row r="15572">
      <x:c r="A15572" s="85"/>
      <x:c r="B15572" s="86"/>
    </x:row>
    <x:row r="15573">
      <x:c r="A15573" s="85"/>
      <x:c r="B15573" s="86"/>
    </x:row>
    <x:row r="15574">
      <x:c r="A15574" s="85"/>
      <x:c r="B15574" s="86"/>
    </x:row>
    <x:row r="15575">
      <x:c r="A15575" s="85"/>
      <x:c r="B15575" s="86"/>
    </x:row>
    <x:row r="15576">
      <x:c r="A15576" s="85"/>
      <x:c r="B15576" s="86"/>
    </x:row>
    <x:row r="15577">
      <x:c r="A15577" s="85"/>
      <x:c r="B15577" s="86"/>
    </x:row>
    <x:row r="15578">
      <x:c r="A15578" s="85"/>
      <x:c r="B15578" s="86"/>
    </x:row>
    <x:row r="15579">
      <x:c r="A15579" s="85"/>
      <x:c r="B15579" s="86"/>
    </x:row>
    <x:row r="15580">
      <x:c r="A15580" s="85"/>
      <x:c r="B15580" s="86"/>
    </x:row>
    <x:row r="15581">
      <x:c r="A15581" s="85"/>
      <x:c r="B15581" s="86"/>
    </x:row>
    <x:row r="15582">
      <x:c r="A15582" s="85"/>
      <x:c r="B15582" s="86"/>
    </x:row>
    <x:row r="15583">
      <x:c r="A15583" s="85"/>
      <x:c r="B15583" s="86"/>
    </x:row>
    <x:row r="15584">
      <x:c r="A15584" s="85"/>
      <x:c r="B15584" s="86"/>
    </x:row>
    <x:row r="15585">
      <x:c r="A15585" s="85"/>
      <x:c r="B15585" s="86"/>
    </x:row>
    <x:row r="15586">
      <x:c r="A15586" s="85"/>
      <x:c r="B15586" s="86"/>
    </x:row>
    <x:row r="15587">
      <x:c r="A15587" s="85"/>
      <x:c r="B15587" s="86"/>
    </x:row>
    <x:row r="15588">
      <x:c r="A15588" s="85"/>
      <x:c r="B15588" s="86"/>
    </x:row>
    <x:row r="15589">
      <x:c r="A15589" s="85"/>
      <x:c r="B15589" s="86"/>
    </x:row>
    <x:row r="15590">
      <x:c r="A15590" s="85"/>
      <x:c r="B15590" s="86"/>
    </x:row>
    <x:row r="15591">
      <x:c r="A15591" s="85"/>
      <x:c r="B15591" s="86"/>
    </x:row>
    <x:row r="15592">
      <x:c r="A15592" s="85"/>
      <x:c r="B15592" s="86"/>
    </x:row>
    <x:row r="15593">
      <x:c r="A15593" s="85"/>
      <x:c r="B15593" s="86"/>
    </x:row>
    <x:row r="15594">
      <x:c r="A15594" s="85"/>
      <x:c r="B15594" s="86"/>
    </x:row>
    <x:row r="15595">
      <x:c r="A15595" s="85"/>
      <x:c r="B15595" s="86"/>
    </x:row>
    <x:row r="15596">
      <x:c r="A15596" s="85"/>
      <x:c r="B15596" s="86"/>
    </x:row>
    <x:row r="15597">
      <x:c r="A15597" s="85"/>
      <x:c r="B15597" s="86"/>
    </x:row>
    <x:row r="15598">
      <x:c r="A15598" s="85"/>
      <x:c r="B15598" s="86"/>
    </x:row>
    <x:row r="15599">
      <x:c r="A15599" s="85"/>
      <x:c r="B15599" s="86"/>
    </x:row>
    <x:row r="15600">
      <x:c r="A15600" s="85"/>
      <x:c r="B15600" s="86"/>
    </x:row>
    <x:row r="15601">
      <x:c r="A15601" s="85"/>
      <x:c r="B15601" s="86"/>
    </x:row>
    <x:row r="15602">
      <x:c r="A15602" s="85"/>
      <x:c r="B15602" s="86"/>
    </x:row>
    <x:row r="15603">
      <x:c r="A15603" s="85"/>
      <x:c r="B15603" s="86"/>
    </x:row>
    <x:row r="15604">
      <x:c r="A15604" s="85"/>
      <x:c r="B15604" s="86"/>
    </x:row>
    <x:row r="15605">
      <x:c r="A15605" s="85"/>
      <x:c r="B15605" s="86"/>
    </x:row>
    <x:row r="15606">
      <x:c r="A15606" s="85"/>
      <x:c r="B15606" s="86"/>
    </x:row>
    <x:row r="15607">
      <x:c r="A15607" s="85"/>
      <x:c r="B15607" s="86"/>
    </x:row>
    <x:row r="15608">
      <x:c r="A15608" s="85"/>
      <x:c r="B15608" s="86"/>
    </x:row>
    <x:row r="15609">
      <x:c r="A15609" s="85"/>
      <x:c r="B15609" s="86"/>
    </x:row>
    <x:row r="15610">
      <x:c r="A15610" s="85"/>
      <x:c r="B15610" s="86"/>
    </x:row>
    <x:row r="15611">
      <x:c r="A15611" s="85"/>
      <x:c r="B15611" s="86"/>
    </x:row>
    <x:row r="15612">
      <x:c r="A15612" s="85"/>
      <x:c r="B15612" s="86"/>
    </x:row>
    <x:row r="15613">
      <x:c r="A15613" s="85"/>
      <x:c r="B15613" s="86"/>
    </x:row>
    <x:row r="15614">
      <x:c r="A15614" s="85"/>
      <x:c r="B15614" s="86"/>
    </x:row>
    <x:row r="15615">
      <x:c r="A15615" s="85"/>
      <x:c r="B15615" s="86"/>
    </x:row>
    <x:row r="15616">
      <x:c r="A15616" s="85"/>
      <x:c r="B15616" s="86"/>
    </x:row>
    <x:row r="15617">
      <x:c r="A15617" s="85"/>
      <x:c r="B15617" s="86"/>
    </x:row>
    <x:row r="15618">
      <x:c r="A15618" s="85"/>
      <x:c r="B15618" s="86"/>
    </x:row>
    <x:row r="15619">
      <x:c r="A15619" s="85"/>
      <x:c r="B15619" s="86"/>
    </x:row>
    <x:row r="15620">
      <x:c r="A15620" s="85"/>
      <x:c r="B15620" s="86"/>
    </x:row>
    <x:row r="15621">
      <x:c r="A15621" s="85"/>
      <x:c r="B15621" s="86"/>
    </x:row>
    <x:row r="15622">
      <x:c r="A15622" s="85"/>
      <x:c r="B15622" s="86"/>
    </x:row>
    <x:row r="15623">
      <x:c r="A15623" s="85"/>
      <x:c r="B15623" s="86"/>
    </x:row>
    <x:row r="15624">
      <x:c r="A15624" s="85"/>
      <x:c r="B15624" s="86"/>
    </x:row>
    <x:row r="15625">
      <x:c r="A15625" s="85"/>
      <x:c r="B15625" s="86"/>
    </x:row>
    <x:row r="15626">
      <x:c r="A15626" s="85"/>
      <x:c r="B15626" s="86"/>
    </x:row>
    <x:row r="15627">
      <x:c r="A15627" s="85"/>
      <x:c r="B15627" s="86"/>
    </x:row>
    <x:row r="15628">
      <x:c r="A15628" s="85"/>
      <x:c r="B15628" s="86"/>
    </x:row>
    <x:row r="15629">
      <x:c r="A15629" s="85"/>
      <x:c r="B15629" s="86"/>
    </x:row>
    <x:row r="15630">
      <x:c r="A15630" s="85"/>
      <x:c r="B15630" s="86"/>
    </x:row>
    <x:row r="15631">
      <x:c r="A15631" s="85"/>
      <x:c r="B15631" s="86"/>
    </x:row>
    <x:row r="15632">
      <x:c r="A15632" s="85"/>
      <x:c r="B15632" s="86"/>
    </x:row>
    <x:row r="15633">
      <x:c r="A15633" s="85"/>
      <x:c r="B15633" s="86"/>
    </x:row>
    <x:row r="15634">
      <x:c r="A15634" s="85"/>
      <x:c r="B15634" s="86"/>
    </x:row>
    <x:row r="15635">
      <x:c r="A15635" s="85"/>
      <x:c r="B15635" s="86"/>
    </x:row>
    <x:row r="15636">
      <x:c r="A15636" s="85"/>
      <x:c r="B15636" s="86"/>
    </x:row>
    <x:row r="15637">
      <x:c r="A15637" s="85"/>
      <x:c r="B15637" s="86"/>
    </x:row>
    <x:row r="15638">
      <x:c r="A15638" s="85"/>
      <x:c r="B15638" s="86"/>
    </x:row>
    <x:row r="15639">
      <x:c r="A15639" s="85"/>
      <x:c r="B15639" s="86"/>
    </x:row>
    <x:row r="15640">
      <x:c r="A15640" s="85"/>
      <x:c r="B15640" s="86"/>
    </x:row>
    <x:row r="15641">
      <x:c r="A15641" s="85"/>
      <x:c r="B15641" s="86"/>
    </x:row>
    <x:row r="15642">
      <x:c r="A15642" s="85"/>
      <x:c r="B15642" s="86"/>
    </x:row>
    <x:row r="15643">
      <x:c r="A15643" s="85"/>
      <x:c r="B15643" s="86"/>
    </x:row>
    <x:row r="15644">
      <x:c r="A15644" s="85"/>
      <x:c r="B15644" s="86"/>
    </x:row>
    <x:row r="15645">
      <x:c r="A15645" s="85"/>
      <x:c r="B15645" s="86"/>
    </x:row>
    <x:row r="15646">
      <x:c r="A15646" s="85"/>
      <x:c r="B15646" s="86"/>
    </x:row>
    <x:row r="15647">
      <x:c r="A15647" s="85"/>
      <x:c r="B15647" s="86"/>
    </x:row>
    <x:row r="15648">
      <x:c r="A15648" s="85"/>
      <x:c r="B15648" s="86"/>
    </x:row>
    <x:row r="15649">
      <x:c r="A15649" s="85"/>
      <x:c r="B15649" s="86"/>
    </x:row>
    <x:row r="15650">
      <x:c r="A15650" s="85"/>
      <x:c r="B15650" s="86"/>
    </x:row>
    <x:row r="15651">
      <x:c r="A15651" s="85"/>
      <x:c r="B15651" s="86"/>
    </x:row>
    <x:row r="15652">
      <x:c r="A15652" s="85"/>
      <x:c r="B15652" s="86"/>
    </x:row>
    <x:row r="15653">
      <x:c r="A15653" s="85"/>
      <x:c r="B15653" s="86"/>
    </x:row>
    <x:row r="15654">
      <x:c r="A15654" s="85"/>
      <x:c r="B15654" s="86"/>
    </x:row>
    <x:row r="15655">
      <x:c r="A15655" s="85"/>
      <x:c r="B15655" s="86"/>
    </x:row>
    <x:row r="15656">
      <x:c r="A15656" s="85"/>
      <x:c r="B15656" s="86"/>
    </x:row>
    <x:row r="15657">
      <x:c r="A15657" s="85"/>
      <x:c r="B15657" s="86"/>
    </x:row>
    <x:row r="15658">
      <x:c r="A15658" s="85"/>
      <x:c r="B15658" s="86"/>
    </x:row>
    <x:row r="15659">
      <x:c r="A15659" s="85"/>
      <x:c r="B15659" s="86"/>
    </x:row>
    <x:row r="15660">
      <x:c r="A15660" s="85"/>
      <x:c r="B15660" s="86"/>
    </x:row>
    <x:row r="15661">
      <x:c r="A15661" s="85"/>
      <x:c r="B15661" s="86"/>
    </x:row>
    <x:row r="15662">
      <x:c r="A15662" s="85"/>
      <x:c r="B15662" s="86"/>
    </x:row>
    <x:row r="15663">
      <x:c r="A15663" s="85"/>
      <x:c r="B15663" s="86"/>
    </x:row>
    <x:row r="15664">
      <x:c r="A15664" s="85"/>
      <x:c r="B15664" s="86"/>
    </x:row>
    <x:row r="15665">
      <x:c r="A15665" s="85"/>
      <x:c r="B15665" s="86"/>
    </x:row>
    <x:row r="15666">
      <x:c r="A15666" s="85"/>
      <x:c r="B15666" s="86"/>
    </x:row>
    <x:row r="15667">
      <x:c r="A15667" s="85"/>
      <x:c r="B15667" s="86"/>
    </x:row>
    <x:row r="15668">
      <x:c r="A15668" s="85"/>
      <x:c r="B15668" s="86"/>
    </x:row>
    <x:row r="15669">
      <x:c r="A15669" s="85"/>
      <x:c r="B15669" s="86"/>
    </x:row>
    <x:row r="15670">
      <x:c r="A15670" s="85"/>
      <x:c r="B15670" s="86"/>
    </x:row>
    <x:row r="15671">
      <x:c r="A15671" s="85"/>
      <x:c r="B15671" s="86"/>
    </x:row>
    <x:row r="15672">
      <x:c r="A15672" s="85"/>
      <x:c r="B15672" s="86"/>
    </x:row>
    <x:row r="15673">
      <x:c r="A15673" s="85"/>
      <x:c r="B15673" s="86"/>
    </x:row>
    <x:row r="15674">
      <x:c r="A15674" s="85"/>
      <x:c r="B15674" s="86"/>
    </x:row>
    <x:row r="15675">
      <x:c r="A15675" s="85"/>
      <x:c r="B15675" s="86"/>
    </x:row>
    <x:row r="15676">
      <x:c r="A15676" s="85"/>
      <x:c r="B15676" s="86"/>
    </x:row>
    <x:row r="15677">
      <x:c r="A15677" s="85"/>
      <x:c r="B15677" s="86"/>
    </x:row>
    <x:row r="15678">
      <x:c r="A15678" s="85"/>
      <x:c r="B15678" s="86"/>
    </x:row>
    <x:row r="15679">
      <x:c r="A15679" s="85"/>
      <x:c r="B15679" s="86"/>
    </x:row>
    <x:row r="15680">
      <x:c r="A15680" s="85"/>
      <x:c r="B15680" s="86"/>
    </x:row>
    <x:row r="15681">
      <x:c r="A15681" s="85"/>
      <x:c r="B15681" s="86"/>
    </x:row>
    <x:row r="15682">
      <x:c r="A15682" s="85"/>
      <x:c r="B15682" s="86"/>
    </x:row>
    <x:row r="15683">
      <x:c r="A15683" s="85"/>
      <x:c r="B15683" s="86"/>
    </x:row>
    <x:row r="15684">
      <x:c r="A15684" s="85"/>
      <x:c r="B15684" s="86"/>
    </x:row>
    <x:row r="15685">
      <x:c r="A15685" s="85"/>
      <x:c r="B15685" s="86"/>
    </x:row>
    <x:row r="15686">
      <x:c r="A15686" s="85"/>
      <x:c r="B15686" s="86"/>
    </x:row>
    <x:row r="15687">
      <x:c r="A15687" s="85"/>
      <x:c r="B15687" s="86"/>
    </x:row>
    <x:row r="15688">
      <x:c r="A15688" s="85"/>
      <x:c r="B15688" s="86"/>
    </x:row>
    <x:row r="15689">
      <x:c r="A15689" s="85"/>
      <x:c r="B15689" s="86"/>
    </x:row>
    <x:row r="15690">
      <x:c r="A15690" s="85"/>
      <x:c r="B15690" s="86"/>
    </x:row>
    <x:row r="15691">
      <x:c r="A15691" s="85"/>
      <x:c r="B15691" s="86"/>
    </x:row>
    <x:row r="15692">
      <x:c r="A15692" s="85"/>
      <x:c r="B15692" s="86"/>
    </x:row>
    <x:row r="15693">
      <x:c r="A15693" s="85"/>
      <x:c r="B15693" s="86"/>
    </x:row>
    <x:row r="15694">
      <x:c r="A15694" s="85"/>
      <x:c r="B15694" s="86"/>
    </x:row>
    <x:row r="15695">
      <x:c r="A15695" s="85"/>
      <x:c r="B15695" s="86"/>
    </x:row>
    <x:row r="15696">
      <x:c r="A15696" s="85"/>
      <x:c r="B15696" s="86"/>
    </x:row>
    <x:row r="15697">
      <x:c r="A15697" s="85"/>
      <x:c r="B15697" s="86"/>
    </x:row>
    <x:row r="15698">
      <x:c r="A15698" s="85"/>
      <x:c r="B15698" s="86"/>
    </x:row>
    <x:row r="15699">
      <x:c r="A15699" s="85"/>
      <x:c r="B15699" s="86"/>
    </x:row>
    <x:row r="15700">
      <x:c r="A15700" s="85"/>
      <x:c r="B15700" s="86"/>
    </x:row>
    <x:row r="15701">
      <x:c r="A15701" s="85"/>
      <x:c r="B15701" s="86"/>
    </x:row>
    <x:row r="15702">
      <x:c r="A15702" s="85"/>
      <x:c r="B15702" s="86"/>
    </x:row>
    <x:row r="15703">
      <x:c r="A15703" s="85"/>
      <x:c r="B15703" s="86"/>
    </x:row>
    <x:row r="15704">
      <x:c r="A15704" s="85"/>
      <x:c r="B15704" s="86"/>
    </x:row>
    <x:row r="15705">
      <x:c r="A15705" s="85"/>
      <x:c r="B15705" s="86"/>
    </x:row>
    <x:row r="15706">
      <x:c r="A15706" s="85"/>
      <x:c r="B15706" s="86"/>
    </x:row>
    <x:row r="15707">
      <x:c r="A15707" s="85"/>
      <x:c r="B15707" s="86"/>
    </x:row>
    <x:row r="15708">
      <x:c r="A15708" s="85"/>
      <x:c r="B15708" s="86"/>
    </x:row>
    <x:row r="15709">
      <x:c r="A15709" s="85"/>
      <x:c r="B15709" s="86"/>
    </x:row>
    <x:row r="15710">
      <x:c r="A15710" s="85"/>
      <x:c r="B15710" s="86"/>
    </x:row>
    <x:row r="15711">
      <x:c r="A15711" s="85"/>
      <x:c r="B15711" s="86"/>
    </x:row>
    <x:row r="15712">
      <x:c r="A15712" s="85"/>
      <x:c r="B15712" s="86"/>
    </x:row>
    <x:row r="15713">
      <x:c r="A15713" s="85"/>
      <x:c r="B15713" s="86"/>
    </x:row>
    <x:row r="15714">
      <x:c r="A15714" s="85"/>
      <x:c r="B15714" s="86"/>
    </x:row>
    <x:row r="15715">
      <x:c r="A15715" s="85"/>
      <x:c r="B15715" s="86"/>
    </x:row>
    <x:row r="15716">
      <x:c r="A15716" s="85"/>
      <x:c r="B15716" s="86"/>
    </x:row>
    <x:row r="15717">
      <x:c r="A15717" s="85"/>
      <x:c r="B15717" s="86"/>
    </x:row>
    <x:row r="15718">
      <x:c r="A15718" s="85"/>
      <x:c r="B15718" s="86"/>
    </x:row>
    <x:row r="15719">
      <x:c r="A15719" s="85"/>
      <x:c r="B15719" s="86"/>
    </x:row>
    <x:row r="15720">
      <x:c r="A15720" s="85"/>
      <x:c r="B15720" s="86"/>
    </x:row>
    <x:row r="15721">
      <x:c r="A15721" s="85"/>
      <x:c r="B15721" s="86"/>
    </x:row>
    <x:row r="15722">
      <x:c r="A15722" s="85"/>
      <x:c r="B15722" s="86"/>
    </x:row>
    <x:row r="15723">
      <x:c r="A15723" s="85"/>
      <x:c r="B15723" s="86"/>
    </x:row>
    <x:row r="15724">
      <x:c r="A15724" s="85"/>
      <x:c r="B15724" s="86"/>
    </x:row>
    <x:row r="15725">
      <x:c r="A15725" s="85"/>
      <x:c r="B15725" s="86"/>
    </x:row>
    <x:row r="15726">
      <x:c r="A15726" s="85"/>
      <x:c r="B15726" s="86"/>
    </x:row>
    <x:row r="15727">
      <x:c r="A15727" s="85"/>
      <x:c r="B15727" s="86"/>
    </x:row>
    <x:row r="15728">
      <x:c r="A15728" s="85"/>
      <x:c r="B15728" s="86"/>
    </x:row>
    <x:row r="15729">
      <x:c r="A15729" s="85"/>
      <x:c r="B15729" s="86"/>
    </x:row>
    <x:row r="15730">
      <x:c r="A15730" s="85"/>
      <x:c r="B15730" s="86"/>
    </x:row>
    <x:row r="15731">
      <x:c r="A15731" s="85"/>
      <x:c r="B15731" s="86"/>
    </x:row>
    <x:row r="15732">
      <x:c r="A15732" s="85"/>
      <x:c r="B15732" s="86"/>
    </x:row>
    <x:row r="15733">
      <x:c r="A15733" s="85"/>
      <x:c r="B15733" s="86"/>
    </x:row>
    <x:row r="15734">
      <x:c r="A15734" s="85"/>
      <x:c r="B15734" s="86"/>
    </x:row>
    <x:row r="15735">
      <x:c r="A15735" s="85"/>
      <x:c r="B15735" s="86"/>
    </x:row>
    <x:row r="15736">
      <x:c r="A15736" s="85"/>
      <x:c r="B15736" s="86"/>
    </x:row>
    <x:row r="15737">
      <x:c r="A15737" s="85"/>
      <x:c r="B15737" s="86"/>
    </x:row>
    <x:row r="15738">
      <x:c r="A15738" s="85"/>
      <x:c r="B15738" s="86"/>
    </x:row>
    <x:row r="15739">
      <x:c r="A15739" s="85"/>
      <x:c r="B15739" s="86"/>
    </x:row>
    <x:row r="15740">
      <x:c r="A15740" s="85"/>
      <x:c r="B15740" s="86"/>
    </x:row>
    <x:row r="15741">
      <x:c r="A15741" s="85"/>
      <x:c r="B15741" s="86"/>
    </x:row>
    <x:row r="15742">
      <x:c r="A15742" s="85"/>
      <x:c r="B15742" s="86"/>
    </x:row>
    <x:row r="15743">
      <x:c r="A15743" s="85"/>
      <x:c r="B15743" s="86"/>
    </x:row>
    <x:row r="15744">
      <x:c r="A15744" s="85"/>
      <x:c r="B15744" s="86"/>
    </x:row>
    <x:row r="15745">
      <x:c r="A15745" s="85"/>
      <x:c r="B15745" s="86"/>
    </x:row>
    <x:row r="15746">
      <x:c r="A15746" s="85"/>
      <x:c r="B15746" s="86"/>
    </x:row>
    <x:row r="15747">
      <x:c r="A15747" s="85"/>
      <x:c r="B15747" s="86"/>
    </x:row>
    <x:row r="15748">
      <x:c r="A15748" s="85"/>
      <x:c r="B15748" s="86"/>
    </x:row>
    <x:row r="15749">
      <x:c r="A15749" s="85"/>
      <x:c r="B15749" s="86"/>
    </x:row>
    <x:row r="15750">
      <x:c r="A15750" s="85"/>
      <x:c r="B15750" s="86"/>
    </x:row>
    <x:row r="15751">
      <x:c r="A15751" s="85"/>
      <x:c r="B15751" s="86"/>
    </x:row>
    <x:row r="15752">
      <x:c r="A15752" s="85"/>
      <x:c r="B15752" s="86"/>
    </x:row>
    <x:row r="15753">
      <x:c r="A15753" s="85"/>
      <x:c r="B15753" s="86"/>
    </x:row>
    <x:row r="15754">
      <x:c r="A15754" s="85"/>
      <x:c r="B15754" s="86"/>
    </x:row>
    <x:row r="15755">
      <x:c r="A15755" s="85"/>
      <x:c r="B15755" s="86"/>
    </x:row>
    <x:row r="15756">
      <x:c r="A15756" s="85"/>
      <x:c r="B15756" s="86"/>
    </x:row>
    <x:row r="15757">
      <x:c r="A15757" s="85"/>
      <x:c r="B15757" s="86"/>
    </x:row>
    <x:row r="15758">
      <x:c r="A15758" s="85"/>
      <x:c r="B15758" s="86"/>
    </x:row>
    <x:row r="15759">
      <x:c r="A15759" s="85"/>
      <x:c r="B15759" s="86"/>
    </x:row>
    <x:row r="15760">
      <x:c r="A15760" s="85"/>
      <x:c r="B15760" s="86"/>
    </x:row>
    <x:row r="15761">
      <x:c r="A15761" s="85"/>
      <x:c r="B15761" s="86"/>
    </x:row>
    <x:row r="15762">
      <x:c r="A15762" s="85"/>
      <x:c r="B15762" s="86"/>
    </x:row>
    <x:row r="15763">
      <x:c r="A15763" s="85"/>
      <x:c r="B15763" s="86"/>
    </x:row>
    <x:row r="15764">
      <x:c r="A15764" s="85"/>
      <x:c r="B15764" s="86"/>
    </x:row>
    <x:row r="15765">
      <x:c r="A15765" s="85"/>
      <x:c r="B15765" s="86"/>
    </x:row>
    <x:row r="15766">
      <x:c r="A15766" s="85"/>
      <x:c r="B15766" s="86"/>
    </x:row>
    <x:row r="15767">
      <x:c r="A15767" s="85"/>
      <x:c r="B15767" s="86"/>
    </x:row>
    <x:row r="15768">
      <x:c r="A15768" s="85"/>
      <x:c r="B15768" s="86"/>
    </x:row>
    <x:row r="15769">
      <x:c r="A15769" s="85"/>
      <x:c r="B15769" s="86"/>
    </x:row>
    <x:row r="15770">
      <x:c r="A15770" s="85"/>
      <x:c r="B15770" s="86"/>
    </x:row>
    <x:row r="15771">
      <x:c r="A15771" s="85"/>
      <x:c r="B15771" s="86"/>
    </x:row>
    <x:row r="15772">
      <x:c r="A15772" s="85"/>
      <x:c r="B15772" s="86"/>
    </x:row>
    <x:row r="15773">
      <x:c r="A15773" s="85"/>
      <x:c r="B15773" s="86"/>
    </x:row>
    <x:row r="15774">
      <x:c r="A15774" s="85"/>
      <x:c r="B15774" s="86"/>
    </x:row>
    <x:row r="15775">
      <x:c r="A15775" s="85"/>
      <x:c r="B15775" s="86"/>
    </x:row>
    <x:row r="15776">
      <x:c r="A15776" s="85"/>
      <x:c r="B15776" s="86"/>
    </x:row>
    <x:row r="15777">
      <x:c r="A15777" s="85"/>
      <x:c r="B15777" s="86"/>
    </x:row>
    <x:row r="15778">
      <x:c r="A15778" s="85"/>
      <x:c r="B15778" s="86"/>
    </x:row>
    <x:row r="15779">
      <x:c r="A15779" s="85"/>
      <x:c r="B15779" s="86"/>
    </x:row>
    <x:row r="15780">
      <x:c r="A15780" s="85"/>
      <x:c r="B15780" s="86"/>
    </x:row>
    <x:row r="15781">
      <x:c r="A15781" s="85"/>
      <x:c r="B15781" s="86"/>
    </x:row>
    <x:row r="15782">
      <x:c r="A15782" s="85"/>
      <x:c r="B15782" s="86"/>
    </x:row>
    <x:row r="15783">
      <x:c r="A15783" s="85"/>
      <x:c r="B15783" s="86"/>
    </x:row>
    <x:row r="15784">
      <x:c r="A15784" s="85"/>
      <x:c r="B15784" s="86"/>
    </x:row>
    <x:row r="15785">
      <x:c r="A15785" s="85"/>
      <x:c r="B15785" s="86"/>
    </x:row>
    <x:row r="15786">
      <x:c r="A15786" s="85"/>
      <x:c r="B15786" s="86"/>
    </x:row>
    <x:row r="15787">
      <x:c r="A15787" s="85"/>
      <x:c r="B15787" s="86"/>
    </x:row>
    <x:row r="15788">
      <x:c r="A15788" s="85"/>
      <x:c r="B15788" s="86"/>
    </x:row>
    <x:row r="15789">
      <x:c r="A15789" s="85"/>
      <x:c r="B15789" s="86"/>
    </x:row>
    <x:row r="15790">
      <x:c r="A15790" s="85"/>
      <x:c r="B15790" s="86"/>
    </x:row>
    <x:row r="15791">
      <x:c r="A15791" s="85"/>
      <x:c r="B15791" s="86"/>
    </x:row>
    <x:row r="15792">
      <x:c r="A15792" s="85"/>
      <x:c r="B15792" s="86"/>
    </x:row>
    <x:row r="15793">
      <x:c r="A15793" s="85"/>
      <x:c r="B15793" s="86"/>
    </x:row>
    <x:row r="15794">
      <x:c r="A15794" s="85"/>
      <x:c r="B15794" s="86"/>
    </x:row>
    <x:row r="15795">
      <x:c r="A15795" s="85"/>
      <x:c r="B15795" s="86"/>
    </x:row>
    <x:row r="15796">
      <x:c r="A15796" s="85"/>
      <x:c r="B15796" s="86"/>
    </x:row>
    <x:row r="15797">
      <x:c r="A15797" s="85"/>
      <x:c r="B15797" s="86"/>
    </x:row>
    <x:row r="15798">
      <x:c r="A15798" s="85"/>
      <x:c r="B15798" s="86"/>
    </x:row>
    <x:row r="15799">
      <x:c r="A15799" s="85"/>
      <x:c r="B15799" s="86"/>
    </x:row>
    <x:row r="15800">
      <x:c r="A15800" s="85"/>
      <x:c r="B15800" s="86"/>
    </x:row>
    <x:row r="15801">
      <x:c r="A15801" s="85"/>
      <x:c r="B15801" s="86"/>
    </x:row>
    <x:row r="15802">
      <x:c r="A15802" s="85"/>
      <x:c r="B15802" s="86"/>
    </x:row>
    <x:row r="15803">
      <x:c r="A15803" s="85"/>
      <x:c r="B15803" s="86"/>
    </x:row>
    <x:row r="15804">
      <x:c r="A15804" s="85"/>
      <x:c r="B15804" s="86"/>
    </x:row>
    <x:row r="15805">
      <x:c r="A15805" s="85"/>
      <x:c r="B15805" s="86"/>
    </x:row>
    <x:row r="15806">
      <x:c r="A15806" s="85"/>
      <x:c r="B15806" s="86"/>
    </x:row>
    <x:row r="15807">
      <x:c r="A15807" s="85"/>
      <x:c r="B15807" s="86"/>
    </x:row>
    <x:row r="15808">
      <x:c r="A15808" s="85"/>
      <x:c r="B15808" s="86"/>
    </x:row>
    <x:row r="15809">
      <x:c r="A15809" s="85"/>
      <x:c r="B15809" s="86"/>
    </x:row>
    <x:row r="15810">
      <x:c r="A15810" s="85"/>
      <x:c r="B15810" s="86"/>
    </x:row>
    <x:row r="15811">
      <x:c r="A15811" s="85"/>
      <x:c r="B15811" s="86"/>
    </x:row>
    <x:row r="15812">
      <x:c r="A15812" s="85"/>
      <x:c r="B15812" s="86"/>
    </x:row>
    <x:row r="15813">
      <x:c r="A15813" s="85"/>
      <x:c r="B15813" s="86"/>
    </x:row>
    <x:row r="15814">
      <x:c r="A15814" s="85"/>
      <x:c r="B15814" s="86"/>
    </x:row>
    <x:row r="15815">
      <x:c r="A15815" s="85"/>
      <x:c r="B15815" s="86"/>
    </x:row>
    <x:row r="15816">
      <x:c r="A15816" s="85"/>
      <x:c r="B15816" s="86"/>
    </x:row>
    <x:row r="15817">
      <x:c r="A15817" s="85"/>
      <x:c r="B15817" s="86"/>
    </x:row>
    <x:row r="15818">
      <x:c r="A15818" s="85"/>
      <x:c r="B15818" s="86"/>
    </x:row>
    <x:row r="15819">
      <x:c r="A15819" s="85"/>
      <x:c r="B15819" s="86"/>
    </x:row>
    <x:row r="15820">
      <x:c r="A15820" s="85"/>
      <x:c r="B15820" s="86"/>
    </x:row>
    <x:row r="15821">
      <x:c r="A15821" s="85"/>
      <x:c r="B15821" s="86"/>
    </x:row>
    <x:row r="15822">
      <x:c r="A15822" s="85"/>
      <x:c r="B15822" s="86"/>
    </x:row>
    <x:row r="15823">
      <x:c r="A15823" s="85"/>
      <x:c r="B15823" s="86"/>
    </x:row>
    <x:row r="15824">
      <x:c r="A15824" s="85"/>
      <x:c r="B15824" s="86"/>
    </x:row>
    <x:row r="15825">
      <x:c r="A15825" s="85"/>
      <x:c r="B15825" s="86"/>
    </x:row>
    <x:row r="15826">
      <x:c r="A15826" s="85"/>
      <x:c r="B15826" s="86"/>
    </x:row>
    <x:row r="15827">
      <x:c r="A15827" s="85"/>
      <x:c r="B15827" s="86"/>
    </x:row>
    <x:row r="15828">
      <x:c r="A15828" s="85"/>
      <x:c r="B15828" s="86"/>
    </x:row>
    <x:row r="15829">
      <x:c r="A15829" s="85"/>
      <x:c r="B15829" s="86"/>
    </x:row>
    <x:row r="15830">
      <x:c r="A15830" s="85"/>
      <x:c r="B15830" s="86"/>
    </x:row>
    <x:row r="15831">
      <x:c r="A15831" s="85"/>
      <x:c r="B15831" s="86"/>
    </x:row>
    <x:row r="15832">
      <x:c r="A15832" s="85"/>
      <x:c r="B15832" s="86"/>
    </x:row>
    <x:row r="15833">
      <x:c r="A15833" s="85"/>
      <x:c r="B15833" s="86"/>
    </x:row>
    <x:row r="15834">
      <x:c r="A15834" s="85"/>
      <x:c r="B15834" s="86"/>
    </x:row>
    <x:row r="15835">
      <x:c r="A15835" s="85"/>
      <x:c r="B15835" s="86"/>
    </x:row>
    <x:row r="15836">
      <x:c r="A15836" s="85"/>
      <x:c r="B15836" s="86"/>
    </x:row>
    <x:row r="15837">
      <x:c r="A15837" s="85"/>
      <x:c r="B15837" s="86"/>
    </x:row>
    <x:row r="15838">
      <x:c r="A15838" s="85"/>
      <x:c r="B15838" s="86"/>
    </x:row>
    <x:row r="15839">
      <x:c r="A15839" s="85"/>
      <x:c r="B15839" s="86"/>
    </x:row>
    <x:row r="15840">
      <x:c r="A15840" s="85"/>
      <x:c r="B15840" s="86"/>
    </x:row>
    <x:row r="15841">
      <x:c r="A15841" s="85"/>
      <x:c r="B15841" s="86"/>
    </x:row>
    <x:row r="15842">
      <x:c r="A15842" s="85"/>
      <x:c r="B15842" s="86"/>
    </x:row>
    <x:row r="15843">
      <x:c r="A15843" s="85"/>
      <x:c r="B15843" s="86"/>
    </x:row>
    <x:row r="15844">
      <x:c r="A15844" s="85"/>
      <x:c r="B15844" s="86"/>
    </x:row>
    <x:row r="15845">
      <x:c r="A15845" s="85"/>
      <x:c r="B15845" s="86"/>
    </x:row>
    <x:row r="15846">
      <x:c r="A15846" s="85"/>
      <x:c r="B15846" s="86"/>
    </x:row>
    <x:row r="15847">
      <x:c r="A15847" s="85"/>
      <x:c r="B15847" s="86"/>
    </x:row>
    <x:row r="15848">
      <x:c r="A15848" s="85"/>
      <x:c r="B15848" s="86"/>
    </x:row>
    <x:row r="15849">
      <x:c r="A15849" s="85"/>
      <x:c r="B15849" s="86"/>
    </x:row>
    <x:row r="15850">
      <x:c r="A15850" s="85"/>
      <x:c r="B15850" s="86"/>
    </x:row>
    <x:row r="15851">
      <x:c r="A15851" s="85"/>
      <x:c r="B15851" s="86"/>
    </x:row>
    <x:row r="15852">
      <x:c r="A15852" s="85"/>
      <x:c r="B15852" s="86"/>
    </x:row>
    <x:row r="15853">
      <x:c r="A15853" s="85"/>
      <x:c r="B15853" s="86"/>
    </x:row>
    <x:row r="15854">
      <x:c r="A15854" s="85"/>
      <x:c r="B15854" s="86"/>
    </x:row>
    <x:row r="15855">
      <x:c r="A15855" s="85"/>
      <x:c r="B15855" s="86"/>
    </x:row>
    <x:row r="15856">
      <x:c r="A15856" s="85"/>
      <x:c r="B15856" s="86"/>
    </x:row>
    <x:row r="15857">
      <x:c r="A15857" s="85"/>
      <x:c r="B15857" s="86"/>
    </x:row>
    <x:row r="15858">
      <x:c r="A15858" s="85"/>
      <x:c r="B15858" s="86"/>
    </x:row>
    <x:row r="15859">
      <x:c r="A15859" s="85"/>
      <x:c r="B15859" s="86"/>
    </x:row>
    <x:row r="15860">
      <x:c r="A15860" s="85"/>
      <x:c r="B15860" s="86"/>
    </x:row>
    <x:row r="15861">
      <x:c r="A15861" s="85"/>
      <x:c r="B15861" s="86"/>
    </x:row>
    <x:row r="15862">
      <x:c r="A15862" s="85"/>
      <x:c r="B15862" s="86"/>
    </x:row>
    <x:row r="15863">
      <x:c r="A15863" s="85"/>
      <x:c r="B15863" s="86"/>
    </x:row>
    <x:row r="15864">
      <x:c r="A15864" s="85"/>
      <x:c r="B15864" s="86"/>
    </x:row>
    <x:row r="15865">
      <x:c r="A15865" s="85"/>
      <x:c r="B15865" s="86"/>
    </x:row>
    <x:row r="15866">
      <x:c r="A15866" s="85"/>
      <x:c r="B15866" s="86"/>
    </x:row>
    <x:row r="15867">
      <x:c r="A15867" s="85"/>
      <x:c r="B15867" s="86"/>
    </x:row>
    <x:row r="15868">
      <x:c r="A15868" s="85"/>
      <x:c r="B15868" s="86"/>
    </x:row>
    <x:row r="15869">
      <x:c r="A15869" s="85"/>
      <x:c r="B15869" s="86"/>
    </x:row>
    <x:row r="15870">
      <x:c r="A15870" s="85"/>
      <x:c r="B15870" s="86"/>
    </x:row>
    <x:row r="15871">
      <x:c r="A15871" s="85"/>
      <x:c r="B15871" s="86"/>
    </x:row>
    <x:row r="15872">
      <x:c r="A15872" s="85"/>
      <x:c r="B15872" s="86"/>
    </x:row>
    <x:row r="15873">
      <x:c r="A15873" s="85"/>
      <x:c r="B15873" s="86"/>
    </x:row>
    <x:row r="15874">
      <x:c r="A15874" s="85"/>
      <x:c r="B15874" s="86"/>
    </x:row>
    <x:row r="15875">
      <x:c r="A15875" s="85"/>
      <x:c r="B15875" s="86"/>
    </x:row>
    <x:row r="15876">
      <x:c r="A15876" s="85"/>
      <x:c r="B15876" s="86"/>
    </x:row>
    <x:row r="15877">
      <x:c r="A15877" s="85"/>
      <x:c r="B15877" s="86"/>
    </x:row>
    <x:row r="15878">
      <x:c r="A15878" s="85"/>
      <x:c r="B15878" s="86"/>
    </x:row>
    <x:row r="15879">
      <x:c r="A15879" s="85"/>
      <x:c r="B15879" s="86"/>
    </x:row>
    <x:row r="15880">
      <x:c r="A15880" s="85"/>
      <x:c r="B15880" s="86"/>
    </x:row>
    <x:row r="15881">
      <x:c r="A15881" s="85"/>
      <x:c r="B15881" s="86"/>
    </x:row>
    <x:row r="15882">
      <x:c r="A15882" s="85"/>
      <x:c r="B15882" s="86"/>
    </x:row>
    <x:row r="15883">
      <x:c r="A15883" s="85"/>
      <x:c r="B15883" s="86"/>
    </x:row>
    <x:row r="15884">
      <x:c r="A15884" s="85"/>
      <x:c r="B15884" s="86"/>
    </x:row>
    <x:row r="15885">
      <x:c r="A15885" s="85"/>
      <x:c r="B15885" s="86"/>
    </x:row>
    <x:row r="15886">
      <x:c r="A15886" s="85"/>
      <x:c r="B15886" s="86"/>
    </x:row>
    <x:row r="15887">
      <x:c r="A15887" s="85"/>
      <x:c r="B15887" s="86"/>
    </x:row>
    <x:row r="15888">
      <x:c r="A15888" s="85"/>
      <x:c r="B15888" s="86"/>
    </x:row>
    <x:row r="15889">
      <x:c r="A15889" s="85"/>
      <x:c r="B15889" s="86"/>
    </x:row>
    <x:row r="15890">
      <x:c r="A15890" s="85"/>
      <x:c r="B15890" s="86"/>
    </x:row>
    <x:row r="15891">
      <x:c r="A15891" s="85"/>
      <x:c r="B15891" s="86"/>
    </x:row>
    <x:row r="15892">
      <x:c r="A15892" s="85"/>
      <x:c r="B15892" s="86"/>
    </x:row>
    <x:row r="15893">
      <x:c r="A15893" s="85"/>
      <x:c r="B15893" s="86"/>
    </x:row>
    <x:row r="15894">
      <x:c r="A15894" s="85"/>
      <x:c r="B15894" s="86"/>
    </x:row>
    <x:row r="15895">
      <x:c r="A15895" s="85"/>
      <x:c r="B15895" s="86"/>
    </x:row>
    <x:row r="15896">
      <x:c r="A15896" s="85"/>
      <x:c r="B15896" s="86"/>
    </x:row>
    <x:row r="15897">
      <x:c r="A15897" s="85"/>
      <x:c r="B15897" s="86"/>
    </x:row>
    <x:row r="15898">
      <x:c r="A15898" s="85"/>
      <x:c r="B15898" s="86"/>
    </x:row>
    <x:row r="15899">
      <x:c r="A15899" s="85"/>
      <x:c r="B15899" s="86"/>
    </x:row>
    <x:row r="15900">
      <x:c r="A15900" s="85"/>
      <x:c r="B15900" s="86"/>
    </x:row>
    <x:row r="15901">
      <x:c r="A15901" s="85"/>
      <x:c r="B15901" s="86"/>
    </x:row>
    <x:row r="15902">
      <x:c r="A15902" s="85"/>
      <x:c r="B15902" s="86"/>
    </x:row>
    <x:row r="15903">
      <x:c r="A15903" s="85"/>
      <x:c r="B15903" s="86"/>
    </x:row>
    <x:row r="15904">
      <x:c r="A15904" s="85"/>
      <x:c r="B15904" s="86"/>
    </x:row>
    <x:row r="15905">
      <x:c r="A15905" s="85"/>
      <x:c r="B15905" s="86"/>
    </x:row>
    <x:row r="15906">
      <x:c r="A15906" s="85"/>
      <x:c r="B15906" s="86"/>
    </x:row>
    <x:row r="15907">
      <x:c r="A15907" s="85"/>
      <x:c r="B15907" s="86"/>
    </x:row>
    <x:row r="15908">
      <x:c r="A15908" s="85"/>
      <x:c r="B15908" s="86"/>
    </x:row>
    <x:row r="15909">
      <x:c r="A15909" s="85"/>
      <x:c r="B15909" s="86"/>
    </x:row>
    <x:row r="15910">
      <x:c r="A15910" s="85"/>
      <x:c r="B15910" s="86"/>
    </x:row>
    <x:row r="15911">
      <x:c r="A15911" s="85"/>
      <x:c r="B15911" s="86"/>
    </x:row>
    <x:row r="15912">
      <x:c r="A15912" s="85"/>
      <x:c r="B15912" s="86"/>
    </x:row>
    <x:row r="15913">
      <x:c r="A15913" s="85"/>
      <x:c r="B15913" s="86"/>
    </x:row>
    <x:row r="15914">
      <x:c r="A15914" s="85"/>
      <x:c r="B15914" s="86"/>
    </x:row>
    <x:row r="15915">
      <x:c r="A15915" s="85"/>
      <x:c r="B15915" s="86"/>
    </x:row>
    <x:row r="15916">
      <x:c r="A15916" s="85"/>
      <x:c r="B15916" s="86"/>
    </x:row>
    <x:row r="15917">
      <x:c r="A15917" s="85"/>
      <x:c r="B15917" s="86"/>
    </x:row>
    <x:row r="15918">
      <x:c r="A15918" s="85"/>
      <x:c r="B15918" s="86"/>
    </x:row>
    <x:row r="15919">
      <x:c r="A15919" s="85"/>
      <x:c r="B15919" s="86"/>
    </x:row>
    <x:row r="15920">
      <x:c r="A15920" s="85"/>
      <x:c r="B15920" s="86"/>
    </x:row>
    <x:row r="15921">
      <x:c r="A15921" s="85"/>
      <x:c r="B15921" s="86"/>
    </x:row>
    <x:row r="15922">
      <x:c r="A15922" s="85"/>
      <x:c r="B15922" s="86"/>
    </x:row>
    <x:row r="15923">
      <x:c r="A15923" s="85"/>
      <x:c r="B15923" s="86"/>
    </x:row>
    <x:row r="15924">
      <x:c r="A15924" s="85"/>
      <x:c r="B15924" s="86"/>
    </x:row>
    <x:row r="15925">
      <x:c r="A15925" s="85"/>
      <x:c r="B15925" s="86"/>
    </x:row>
    <x:row r="15926">
      <x:c r="A15926" s="85"/>
      <x:c r="B15926" s="86"/>
    </x:row>
    <x:row r="15927">
      <x:c r="A15927" s="85"/>
      <x:c r="B15927" s="86"/>
    </x:row>
    <x:row r="15928">
      <x:c r="A15928" s="85"/>
      <x:c r="B15928" s="86"/>
    </x:row>
    <x:row r="15929">
      <x:c r="A15929" s="85"/>
      <x:c r="B15929" s="86"/>
    </x:row>
    <x:row r="15930">
      <x:c r="A15930" s="85"/>
      <x:c r="B15930" s="86"/>
    </x:row>
    <x:row r="15931">
      <x:c r="A15931" s="85"/>
      <x:c r="B15931" s="86"/>
    </x:row>
    <x:row r="15932">
      <x:c r="A15932" s="85"/>
      <x:c r="B15932" s="86"/>
    </x:row>
    <x:row r="15933">
      <x:c r="A15933" s="85"/>
      <x:c r="B15933" s="86"/>
    </x:row>
    <x:row r="15934">
      <x:c r="A15934" s="85"/>
      <x:c r="B15934" s="86"/>
    </x:row>
    <x:row r="15935">
      <x:c r="A15935" s="85"/>
      <x:c r="B15935" s="86"/>
    </x:row>
    <x:row r="15936">
      <x:c r="A15936" s="85"/>
      <x:c r="B15936" s="86"/>
    </x:row>
    <x:row r="15937">
      <x:c r="A15937" s="85"/>
      <x:c r="B15937" s="86"/>
    </x:row>
    <x:row r="15938">
      <x:c r="A15938" s="85"/>
      <x:c r="B15938" s="86"/>
    </x:row>
    <x:row r="15939">
      <x:c r="A15939" s="85"/>
      <x:c r="B15939" s="86"/>
    </x:row>
    <x:row r="15940">
      <x:c r="A15940" s="85"/>
      <x:c r="B15940" s="86"/>
    </x:row>
    <x:row r="15941">
      <x:c r="A15941" s="85"/>
      <x:c r="B15941" s="86"/>
    </x:row>
    <x:row r="15942">
      <x:c r="A15942" s="85"/>
      <x:c r="B15942" s="86"/>
    </x:row>
    <x:row r="15943">
      <x:c r="A15943" s="85"/>
      <x:c r="B15943" s="86"/>
    </x:row>
    <x:row r="15944">
      <x:c r="A15944" s="85"/>
      <x:c r="B15944" s="86"/>
    </x:row>
    <x:row r="15945">
      <x:c r="A15945" s="85"/>
      <x:c r="B15945" s="86"/>
    </x:row>
    <x:row r="15946">
      <x:c r="A15946" s="85"/>
      <x:c r="B15946" s="86"/>
    </x:row>
    <x:row r="15947">
      <x:c r="A15947" s="85"/>
      <x:c r="B15947" s="86"/>
    </x:row>
    <x:row r="15948">
      <x:c r="A15948" s="85"/>
      <x:c r="B15948" s="86"/>
    </x:row>
    <x:row r="15949">
      <x:c r="A15949" s="85"/>
      <x:c r="B15949" s="86"/>
    </x:row>
    <x:row r="15950">
      <x:c r="A15950" s="85"/>
      <x:c r="B15950" s="86"/>
    </x:row>
    <x:row r="15951">
      <x:c r="A15951" s="85"/>
      <x:c r="B15951" s="86"/>
    </x:row>
    <x:row r="15952">
      <x:c r="A15952" s="85"/>
      <x:c r="B15952" s="86"/>
    </x:row>
    <x:row r="15953">
      <x:c r="A15953" s="85"/>
      <x:c r="B15953" s="86"/>
    </x:row>
    <x:row r="15954">
      <x:c r="A15954" s="85"/>
      <x:c r="B15954" s="86"/>
    </x:row>
    <x:row r="15955">
      <x:c r="A15955" s="85"/>
      <x:c r="B15955" s="86"/>
    </x:row>
    <x:row r="15956">
      <x:c r="A15956" s="85"/>
      <x:c r="B15956" s="86"/>
    </x:row>
    <x:row r="15957">
      <x:c r="A15957" s="85"/>
      <x:c r="B15957" s="86"/>
    </x:row>
    <x:row r="15958">
      <x:c r="A15958" s="85"/>
      <x:c r="B15958" s="86"/>
    </x:row>
    <x:row r="15959">
      <x:c r="A15959" s="85"/>
      <x:c r="B15959" s="86"/>
    </x:row>
    <x:row r="15960">
      <x:c r="A15960" s="85"/>
      <x:c r="B15960" s="86"/>
    </x:row>
    <x:row r="15961">
      <x:c r="A15961" s="85"/>
      <x:c r="B15961" s="86"/>
    </x:row>
    <x:row r="15962">
      <x:c r="A15962" s="85"/>
      <x:c r="B15962" s="86"/>
    </x:row>
    <x:row r="15963">
      <x:c r="A15963" s="85"/>
      <x:c r="B15963" s="86"/>
    </x:row>
    <x:row r="15964">
      <x:c r="A15964" s="85"/>
      <x:c r="B15964" s="86"/>
    </x:row>
    <x:row r="15965">
      <x:c r="A15965" s="85"/>
      <x:c r="B15965" s="86"/>
    </x:row>
    <x:row r="15966">
      <x:c r="A15966" s="85"/>
      <x:c r="B15966" s="86"/>
    </x:row>
    <x:row r="15967">
      <x:c r="A15967" s="85"/>
      <x:c r="B15967" s="86"/>
    </x:row>
    <x:row r="15968">
      <x:c r="A15968" s="85"/>
      <x:c r="B15968" s="86"/>
    </x:row>
    <x:row r="15969">
      <x:c r="A15969" s="85"/>
      <x:c r="B15969" s="86"/>
    </x:row>
    <x:row r="15970">
      <x:c r="A15970" s="85"/>
      <x:c r="B15970" s="86"/>
    </x:row>
    <x:row r="15971">
      <x:c r="A15971" s="85"/>
      <x:c r="B15971" s="86"/>
    </x:row>
    <x:row r="15972">
      <x:c r="A15972" s="85"/>
      <x:c r="B15972" s="86"/>
    </x:row>
    <x:row r="15973">
      <x:c r="A15973" s="85"/>
      <x:c r="B15973" s="86"/>
    </x:row>
    <x:row r="15974">
      <x:c r="A15974" s="85"/>
      <x:c r="B15974" s="86"/>
    </x:row>
    <x:row r="15975">
      <x:c r="A15975" s="85"/>
      <x:c r="B15975" s="86"/>
    </x:row>
    <x:row r="15976">
      <x:c r="A15976" s="85"/>
      <x:c r="B15976" s="86"/>
    </x:row>
    <x:row r="15977">
      <x:c r="A15977" s="85"/>
      <x:c r="B15977" s="86"/>
    </x:row>
    <x:row r="15978">
      <x:c r="A15978" s="85"/>
      <x:c r="B15978" s="86"/>
    </x:row>
    <x:row r="15979">
      <x:c r="A15979" s="85"/>
      <x:c r="B15979" s="86"/>
    </x:row>
    <x:row r="15980">
      <x:c r="A15980" s="85"/>
      <x:c r="B15980" s="86"/>
    </x:row>
    <x:row r="15981">
      <x:c r="A15981" s="85"/>
      <x:c r="B15981" s="86"/>
    </x:row>
    <x:row r="15982">
      <x:c r="A15982" s="85"/>
      <x:c r="B15982" s="86"/>
    </x:row>
    <x:row r="15983">
      <x:c r="A15983" s="85"/>
      <x:c r="B15983" s="86"/>
    </x:row>
    <x:row r="15984">
      <x:c r="A15984" s="85"/>
      <x:c r="B15984" s="86"/>
    </x:row>
    <x:row r="15985">
      <x:c r="A15985" s="85"/>
      <x:c r="B15985" s="86"/>
    </x:row>
    <x:row r="15986">
      <x:c r="A15986" s="85"/>
      <x:c r="B15986" s="86"/>
    </x:row>
    <x:row r="15987">
      <x:c r="A15987" s="85"/>
      <x:c r="B15987" s="86"/>
    </x:row>
    <x:row r="15988">
      <x:c r="A15988" s="85"/>
      <x:c r="B15988" s="86"/>
    </x:row>
    <x:row r="15989">
      <x:c r="A15989" s="85"/>
      <x:c r="B15989" s="86"/>
    </x:row>
    <x:row r="15990">
      <x:c r="A15990" s="85"/>
      <x:c r="B15990" s="86"/>
    </x:row>
    <x:row r="15991">
      <x:c r="A15991" s="85"/>
      <x:c r="B15991" s="86"/>
    </x:row>
    <x:row r="15992">
      <x:c r="A15992" s="85"/>
      <x:c r="B15992" s="86"/>
    </x:row>
    <x:row r="15993">
      <x:c r="A15993" s="85"/>
      <x:c r="B15993" s="86"/>
    </x:row>
    <x:row r="15994">
      <x:c r="A15994" s="85"/>
      <x:c r="B15994" s="86"/>
    </x:row>
    <x:row r="15995">
      <x:c r="A15995" s="85"/>
      <x:c r="B15995" s="86"/>
    </x:row>
    <x:row r="15996">
      <x:c r="A15996" s="85"/>
      <x:c r="B15996" s="86"/>
    </x:row>
    <x:row r="15997">
      <x:c r="A15997" s="85"/>
      <x:c r="B15997" s="86"/>
    </x:row>
    <x:row r="15998">
      <x:c r="A15998" s="85"/>
      <x:c r="B15998" s="86"/>
    </x:row>
    <x:row r="15999">
      <x:c r="A15999" s="85"/>
      <x:c r="B15999" s="86"/>
    </x:row>
    <x:row r="16000">
      <x:c r="A16000" s="85"/>
      <x:c r="B16000" s="86"/>
    </x:row>
    <x:row r="16001">
      <x:c r="A16001" s="85"/>
      <x:c r="B16001" s="86"/>
    </x:row>
    <x:row r="16002">
      <x:c r="A16002" s="85"/>
      <x:c r="B16002" s="86"/>
    </x:row>
    <x:row r="16003">
      <x:c r="A16003" s="85"/>
      <x:c r="B16003" s="86"/>
    </x:row>
    <x:row r="16004">
      <x:c r="A16004" s="85"/>
      <x:c r="B16004" s="86"/>
    </x:row>
    <x:row r="16005">
      <x:c r="A16005" s="85"/>
      <x:c r="B16005" s="86"/>
    </x:row>
    <x:row r="16006">
      <x:c r="A16006" s="85"/>
      <x:c r="B16006" s="86"/>
    </x:row>
    <x:row r="16007">
      <x:c r="A16007" s="85"/>
      <x:c r="B16007" s="86"/>
    </x:row>
    <x:row r="16008">
      <x:c r="A16008" s="85"/>
      <x:c r="B16008" s="86"/>
    </x:row>
    <x:row r="16009">
      <x:c r="A16009" s="85"/>
      <x:c r="B16009" s="86"/>
    </x:row>
    <x:row r="16010">
      <x:c r="A16010" s="85"/>
      <x:c r="B16010" s="86"/>
    </x:row>
    <x:row r="16011">
      <x:c r="A16011" s="85"/>
      <x:c r="B16011" s="86"/>
    </x:row>
    <x:row r="16012">
      <x:c r="A16012" s="85"/>
      <x:c r="B16012" s="86"/>
    </x:row>
    <x:row r="16013">
      <x:c r="A16013" s="85"/>
      <x:c r="B16013" s="86"/>
    </x:row>
    <x:row r="16014">
      <x:c r="A16014" s="85"/>
      <x:c r="B16014" s="86"/>
    </x:row>
    <x:row r="16015">
      <x:c r="A16015" s="85"/>
      <x:c r="B16015" s="86"/>
    </x:row>
    <x:row r="16016">
      <x:c r="A16016" s="85"/>
      <x:c r="B16016" s="86"/>
    </x:row>
    <x:row r="16017">
      <x:c r="A16017" s="85"/>
      <x:c r="B16017" s="86"/>
    </x:row>
    <x:row r="16018">
      <x:c r="A16018" s="85"/>
      <x:c r="B16018" s="86"/>
    </x:row>
    <x:row r="16019">
      <x:c r="A16019" s="85"/>
      <x:c r="B16019" s="86"/>
    </x:row>
    <x:row r="16020">
      <x:c r="A16020" s="85"/>
      <x:c r="B16020" s="86"/>
    </x:row>
    <x:row r="16021">
      <x:c r="A16021" s="85"/>
      <x:c r="B16021" s="86"/>
    </x:row>
    <x:row r="16022">
      <x:c r="A16022" s="85"/>
      <x:c r="B16022" s="86"/>
    </x:row>
    <x:row r="16023">
      <x:c r="A16023" s="85"/>
      <x:c r="B16023" s="86"/>
    </x:row>
    <x:row r="16024">
      <x:c r="A16024" s="85"/>
      <x:c r="B16024" s="86"/>
    </x:row>
    <x:row r="16025">
      <x:c r="A16025" s="85"/>
      <x:c r="B16025" s="86"/>
    </x:row>
    <x:row r="16026">
      <x:c r="A16026" s="85"/>
      <x:c r="B16026" s="86"/>
    </x:row>
    <x:row r="16027">
      <x:c r="A16027" s="85"/>
      <x:c r="B16027" s="86"/>
    </x:row>
    <x:row r="16028">
      <x:c r="A16028" s="85"/>
      <x:c r="B16028" s="86"/>
    </x:row>
    <x:row r="16029">
      <x:c r="A16029" s="85"/>
      <x:c r="B16029" s="86"/>
    </x:row>
    <x:row r="16030">
      <x:c r="A16030" s="85"/>
      <x:c r="B16030" s="86"/>
    </x:row>
    <x:row r="16031">
      <x:c r="A16031" s="85"/>
      <x:c r="B16031" s="86"/>
    </x:row>
    <x:row r="16032">
      <x:c r="A16032" s="85"/>
      <x:c r="B16032" s="86"/>
    </x:row>
    <x:row r="16033">
      <x:c r="A16033" s="85"/>
      <x:c r="B16033" s="86"/>
    </x:row>
    <x:row r="16034">
      <x:c r="A16034" s="85"/>
      <x:c r="B16034" s="86"/>
    </x:row>
    <x:row r="16035">
      <x:c r="A16035" s="85"/>
      <x:c r="B16035" s="86"/>
    </x:row>
    <x:row r="16036">
      <x:c r="A16036" s="85"/>
      <x:c r="B16036" s="86"/>
    </x:row>
    <x:row r="16037">
      <x:c r="A16037" s="85"/>
      <x:c r="B16037" s="86"/>
    </x:row>
    <x:row r="16038">
      <x:c r="A16038" s="85"/>
      <x:c r="B16038" s="86"/>
    </x:row>
    <x:row r="16039">
      <x:c r="A16039" s="85"/>
      <x:c r="B16039" s="86"/>
    </x:row>
    <x:row r="16040">
      <x:c r="A16040" s="85"/>
      <x:c r="B16040" s="86"/>
    </x:row>
    <x:row r="16041">
      <x:c r="A16041" s="85"/>
      <x:c r="B16041" s="86"/>
    </x:row>
    <x:row r="16042">
      <x:c r="A16042" s="85"/>
      <x:c r="B16042" s="86"/>
    </x:row>
    <x:row r="16043">
      <x:c r="A16043" s="85"/>
      <x:c r="B16043" s="86"/>
    </x:row>
    <x:row r="16044">
      <x:c r="A16044" s="85"/>
      <x:c r="B16044" s="86"/>
    </x:row>
    <x:row r="16045">
      <x:c r="A16045" s="85"/>
      <x:c r="B16045" s="86"/>
    </x:row>
    <x:row r="16046">
      <x:c r="A16046" s="85"/>
      <x:c r="B16046" s="86"/>
    </x:row>
    <x:row r="16047">
      <x:c r="A16047" s="85"/>
      <x:c r="B16047" s="86"/>
    </x:row>
    <x:row r="16048">
      <x:c r="A16048" s="85"/>
      <x:c r="B16048" s="86"/>
    </x:row>
    <x:row r="16049">
      <x:c r="A16049" s="85"/>
      <x:c r="B16049" s="86"/>
    </x:row>
    <x:row r="16050">
      <x:c r="A16050" s="85"/>
      <x:c r="B16050" s="86"/>
    </x:row>
    <x:row r="16051">
      <x:c r="A16051" s="85"/>
      <x:c r="B16051" s="86"/>
    </x:row>
    <x:row r="16052">
      <x:c r="A16052" s="85"/>
      <x:c r="B16052" s="86"/>
    </x:row>
    <x:row r="16053">
      <x:c r="A16053" s="85"/>
      <x:c r="B16053" s="86"/>
    </x:row>
    <x:row r="16054">
      <x:c r="A16054" s="85"/>
      <x:c r="B16054" s="86"/>
    </x:row>
    <x:row r="16055">
      <x:c r="A16055" s="85"/>
      <x:c r="B16055" s="86"/>
    </x:row>
    <x:row r="16056">
      <x:c r="A16056" s="85"/>
      <x:c r="B16056" s="86"/>
    </x:row>
    <x:row r="16057">
      <x:c r="A16057" s="85"/>
      <x:c r="B16057" s="86"/>
    </x:row>
    <x:row r="16058">
      <x:c r="A16058" s="85"/>
      <x:c r="B16058" s="86"/>
    </x:row>
    <x:row r="16059">
      <x:c r="A16059" s="85"/>
      <x:c r="B16059" s="86"/>
    </x:row>
    <x:row r="16060">
      <x:c r="A16060" s="85"/>
      <x:c r="B16060" s="86"/>
    </x:row>
    <x:row r="16061">
      <x:c r="A16061" s="85"/>
      <x:c r="B16061" s="86"/>
    </x:row>
    <x:row r="16062">
      <x:c r="A16062" s="85"/>
      <x:c r="B16062" s="86"/>
    </x:row>
    <x:row r="16063">
      <x:c r="A16063" s="85"/>
      <x:c r="B16063" s="86"/>
    </x:row>
    <x:row r="16064">
      <x:c r="A16064" s="85"/>
      <x:c r="B16064" s="86"/>
    </x:row>
    <x:row r="16065">
      <x:c r="A16065" s="85"/>
      <x:c r="B16065" s="86"/>
    </x:row>
    <x:row r="16066">
      <x:c r="A16066" s="85"/>
      <x:c r="B16066" s="86"/>
    </x:row>
    <x:row r="16067">
      <x:c r="A16067" s="85"/>
      <x:c r="B16067" s="86"/>
    </x:row>
    <x:row r="16068">
      <x:c r="A16068" s="85"/>
      <x:c r="B16068" s="86"/>
    </x:row>
    <x:row r="16069">
      <x:c r="A16069" s="85"/>
      <x:c r="B16069" s="86"/>
    </x:row>
    <x:row r="16070">
      <x:c r="A16070" s="85"/>
      <x:c r="B16070" s="86"/>
    </x:row>
    <x:row r="16071">
      <x:c r="A16071" s="85"/>
      <x:c r="B16071" s="86"/>
    </x:row>
    <x:row r="16072">
      <x:c r="A16072" s="85"/>
      <x:c r="B16072" s="86"/>
    </x:row>
    <x:row r="16073">
      <x:c r="A16073" s="85"/>
      <x:c r="B16073" s="86"/>
    </x:row>
    <x:row r="16074">
      <x:c r="A16074" s="85"/>
      <x:c r="B16074" s="86"/>
    </x:row>
    <x:row r="16075">
      <x:c r="A16075" s="85"/>
      <x:c r="B16075" s="86"/>
    </x:row>
    <x:row r="16076">
      <x:c r="A16076" s="85"/>
      <x:c r="B16076" s="86"/>
    </x:row>
    <x:row r="16077">
      <x:c r="A16077" s="85"/>
      <x:c r="B16077" s="86"/>
    </x:row>
    <x:row r="16078">
      <x:c r="A16078" s="85"/>
      <x:c r="B16078" s="86"/>
    </x:row>
    <x:row r="16079">
      <x:c r="A16079" s="85"/>
      <x:c r="B16079" s="86"/>
    </x:row>
    <x:row r="16080">
      <x:c r="A16080" s="85"/>
      <x:c r="B16080" s="86"/>
    </x:row>
    <x:row r="16081">
      <x:c r="A16081" s="85"/>
      <x:c r="B16081" s="86"/>
    </x:row>
    <x:row r="16082">
      <x:c r="A16082" s="85"/>
      <x:c r="B16082" s="86"/>
    </x:row>
    <x:row r="16083">
      <x:c r="A16083" s="85"/>
      <x:c r="B16083" s="86"/>
    </x:row>
    <x:row r="16084">
      <x:c r="A16084" s="85"/>
      <x:c r="B16084" s="86"/>
    </x:row>
    <x:row r="16085">
      <x:c r="A16085" s="85"/>
      <x:c r="B16085" s="86"/>
    </x:row>
    <x:row r="16086">
      <x:c r="A16086" s="85"/>
      <x:c r="B16086" s="86"/>
    </x:row>
    <x:row r="16087">
      <x:c r="A16087" s="85"/>
      <x:c r="B16087" s="86"/>
    </x:row>
    <x:row r="16088">
      <x:c r="A16088" s="85"/>
      <x:c r="B16088" s="86"/>
    </x:row>
    <x:row r="16089">
      <x:c r="A16089" s="85"/>
      <x:c r="B16089" s="86"/>
    </x:row>
    <x:row r="16090">
      <x:c r="A16090" s="85"/>
      <x:c r="B16090" s="86"/>
    </x:row>
    <x:row r="16091">
      <x:c r="A16091" s="85"/>
      <x:c r="B16091" s="86"/>
    </x:row>
    <x:row r="16092">
      <x:c r="A16092" s="85"/>
      <x:c r="B16092" s="86"/>
    </x:row>
    <x:row r="16093">
      <x:c r="A16093" s="85"/>
      <x:c r="B16093" s="86"/>
    </x:row>
    <x:row r="16094">
      <x:c r="A16094" s="85"/>
      <x:c r="B16094" s="86"/>
    </x:row>
    <x:row r="16095">
      <x:c r="A16095" s="85"/>
      <x:c r="B16095" s="86"/>
    </x:row>
    <x:row r="16096">
      <x:c r="A16096" s="85"/>
      <x:c r="B16096" s="86"/>
    </x:row>
    <x:row r="16097">
      <x:c r="A16097" s="85"/>
      <x:c r="B16097" s="86"/>
    </x:row>
    <x:row r="16098">
      <x:c r="A16098" s="85"/>
      <x:c r="B16098" s="86"/>
    </x:row>
    <x:row r="16099">
      <x:c r="A16099" s="85"/>
      <x:c r="B16099" s="86"/>
    </x:row>
    <x:row r="16100">
      <x:c r="A16100" s="85"/>
      <x:c r="B16100" s="86"/>
    </x:row>
    <x:row r="16101">
      <x:c r="A16101" s="85"/>
      <x:c r="B16101" s="86"/>
    </x:row>
    <x:row r="16102">
      <x:c r="A16102" s="85"/>
      <x:c r="B16102" s="86"/>
    </x:row>
    <x:row r="16103">
      <x:c r="A16103" s="85"/>
      <x:c r="B16103" s="86"/>
    </x:row>
    <x:row r="16104">
      <x:c r="A16104" s="85"/>
      <x:c r="B16104" s="86"/>
    </x:row>
    <x:row r="16105">
      <x:c r="A16105" s="85"/>
      <x:c r="B16105" s="86"/>
    </x:row>
    <x:row r="16106">
      <x:c r="A16106" s="85"/>
      <x:c r="B16106" s="86"/>
    </x:row>
    <x:row r="16107">
      <x:c r="A16107" s="85"/>
      <x:c r="B16107" s="86"/>
    </x:row>
    <x:row r="16108">
      <x:c r="A16108" s="85"/>
      <x:c r="B16108" s="86"/>
    </x:row>
    <x:row r="16109">
      <x:c r="A16109" s="85"/>
      <x:c r="B16109" s="86"/>
    </x:row>
    <x:row r="16110">
      <x:c r="A16110" s="85"/>
      <x:c r="B16110" s="86"/>
    </x:row>
    <x:row r="16111">
      <x:c r="A16111" s="85"/>
      <x:c r="B16111" s="86"/>
    </x:row>
    <x:row r="16112">
      <x:c r="A16112" s="85"/>
      <x:c r="B16112" s="86"/>
    </x:row>
    <x:row r="16113">
      <x:c r="A16113" s="85"/>
      <x:c r="B16113" s="86"/>
    </x:row>
    <x:row r="16114">
      <x:c r="A16114" s="85"/>
      <x:c r="B16114" s="86"/>
    </x:row>
    <x:row r="16115">
      <x:c r="A16115" s="85"/>
      <x:c r="B16115" s="86"/>
    </x:row>
    <x:row r="16116">
      <x:c r="A16116" s="85"/>
      <x:c r="B16116" s="86"/>
    </x:row>
    <x:row r="16117">
      <x:c r="A16117" s="85"/>
      <x:c r="B16117" s="86"/>
    </x:row>
    <x:row r="16118">
      <x:c r="A16118" s="85"/>
      <x:c r="B16118" s="86"/>
    </x:row>
    <x:row r="16119">
      <x:c r="A16119" s="85"/>
      <x:c r="B16119" s="86"/>
    </x:row>
    <x:row r="16120">
      <x:c r="A16120" s="85"/>
      <x:c r="B16120" s="86"/>
    </x:row>
    <x:row r="16121">
      <x:c r="A16121" s="85"/>
      <x:c r="B16121" s="86"/>
    </x:row>
    <x:row r="16122">
      <x:c r="A16122" s="85"/>
      <x:c r="B16122" s="86"/>
    </x:row>
    <x:row r="16123">
      <x:c r="A16123" s="85"/>
      <x:c r="B16123" s="86"/>
    </x:row>
    <x:row r="16124">
      <x:c r="A16124" s="85"/>
      <x:c r="B16124" s="86"/>
    </x:row>
    <x:row r="16125">
      <x:c r="A16125" s="85"/>
      <x:c r="B16125" s="86"/>
    </x:row>
    <x:row r="16126">
      <x:c r="A16126" s="85"/>
      <x:c r="B16126" s="86"/>
    </x:row>
    <x:row r="16127">
      <x:c r="A16127" s="85"/>
      <x:c r="B16127" s="86"/>
    </x:row>
    <x:row r="16128">
      <x:c r="A16128" s="85"/>
      <x:c r="B16128" s="86"/>
    </x:row>
    <x:row r="16129">
      <x:c r="A16129" s="85"/>
      <x:c r="B16129" s="86"/>
    </x:row>
    <x:row r="16130">
      <x:c r="A16130" s="85"/>
      <x:c r="B16130" s="86"/>
    </x:row>
    <x:row r="16131">
      <x:c r="A16131" s="85"/>
      <x:c r="B16131" s="86"/>
    </x:row>
    <x:row r="16132">
      <x:c r="A16132" s="85"/>
      <x:c r="B16132" s="86"/>
    </x:row>
    <x:row r="16133">
      <x:c r="A16133" s="85"/>
      <x:c r="B16133" s="86"/>
    </x:row>
    <x:row r="16134">
      <x:c r="A16134" s="85"/>
      <x:c r="B16134" s="86"/>
    </x:row>
    <x:row r="16135">
      <x:c r="A16135" s="85"/>
      <x:c r="B16135" s="86"/>
    </x:row>
    <x:row r="16136">
      <x:c r="A16136" s="85"/>
      <x:c r="B16136" s="86"/>
    </x:row>
    <x:row r="16137">
      <x:c r="A16137" s="85"/>
      <x:c r="B16137" s="86"/>
    </x:row>
    <x:row r="16138">
      <x:c r="A16138" s="85"/>
      <x:c r="B16138" s="86"/>
    </x:row>
    <x:row r="16139">
      <x:c r="A16139" s="85"/>
      <x:c r="B16139" s="86"/>
    </x:row>
    <x:row r="16140">
      <x:c r="A16140" s="85"/>
      <x:c r="B16140" s="86"/>
    </x:row>
    <x:row r="16141">
      <x:c r="A16141" s="85"/>
      <x:c r="B16141" s="86"/>
    </x:row>
    <x:row r="16142">
      <x:c r="A16142" s="85"/>
      <x:c r="B16142" s="86"/>
    </x:row>
    <x:row r="16143">
      <x:c r="A16143" s="85"/>
      <x:c r="B16143" s="86"/>
    </x:row>
    <x:row r="16144">
      <x:c r="A16144" s="85"/>
      <x:c r="B16144" s="86"/>
    </x:row>
    <x:row r="16145">
      <x:c r="A16145" s="85"/>
      <x:c r="B16145" s="86"/>
    </x:row>
    <x:row r="16146">
      <x:c r="A16146" s="85"/>
      <x:c r="B16146" s="86"/>
    </x:row>
    <x:row r="16147">
      <x:c r="A16147" s="85"/>
      <x:c r="B16147" s="86"/>
    </x:row>
    <x:row r="16148">
      <x:c r="A16148" s="85"/>
      <x:c r="B16148" s="86"/>
    </x:row>
    <x:row r="16149">
      <x:c r="A16149" s="85"/>
      <x:c r="B16149" s="86"/>
    </x:row>
    <x:row r="16150">
      <x:c r="A16150" s="85"/>
      <x:c r="B16150" s="86"/>
    </x:row>
    <x:row r="16151">
      <x:c r="A16151" s="85"/>
      <x:c r="B16151" s="86"/>
    </x:row>
    <x:row r="16152">
      <x:c r="A16152" s="85"/>
      <x:c r="B16152" s="86"/>
    </x:row>
    <x:row r="16153">
      <x:c r="A16153" s="85"/>
      <x:c r="B16153" s="86"/>
    </x:row>
    <x:row r="16154">
      <x:c r="A16154" s="85"/>
      <x:c r="B16154" s="86"/>
    </x:row>
    <x:row r="16155">
      <x:c r="A16155" s="85"/>
      <x:c r="B16155" s="86"/>
    </x:row>
    <x:row r="16156">
      <x:c r="A16156" s="85"/>
      <x:c r="B16156" s="86"/>
    </x:row>
    <x:row r="16157">
      <x:c r="A16157" s="85"/>
      <x:c r="B16157" s="86"/>
    </x:row>
    <x:row r="16158">
      <x:c r="A16158" s="85"/>
      <x:c r="B16158" s="86"/>
    </x:row>
    <x:row r="16159">
      <x:c r="A16159" s="85"/>
      <x:c r="B16159" s="86"/>
    </x:row>
    <x:row r="16160">
      <x:c r="A16160" s="85"/>
      <x:c r="B16160" s="86"/>
    </x:row>
    <x:row r="16161">
      <x:c r="A16161" s="85"/>
      <x:c r="B16161" s="86"/>
    </x:row>
    <x:row r="16162">
      <x:c r="A16162" s="85"/>
      <x:c r="B16162" s="86"/>
    </x:row>
    <x:row r="16163">
      <x:c r="A16163" s="85"/>
      <x:c r="B16163" s="86"/>
    </x:row>
    <x:row r="16164">
      <x:c r="A16164" s="85"/>
      <x:c r="B16164" s="86"/>
    </x:row>
    <x:row r="16165">
      <x:c r="A16165" s="85"/>
      <x:c r="B16165" s="86"/>
    </x:row>
    <x:row r="16166">
      <x:c r="A16166" s="85"/>
      <x:c r="B16166" s="86"/>
    </x:row>
    <x:row r="16167">
      <x:c r="A16167" s="85"/>
      <x:c r="B16167" s="86"/>
    </x:row>
    <x:row r="16168">
      <x:c r="A16168" s="85"/>
      <x:c r="B16168" s="86"/>
    </x:row>
    <x:row r="16169">
      <x:c r="A16169" s="85"/>
      <x:c r="B16169" s="86"/>
    </x:row>
    <x:row r="16170">
      <x:c r="A16170" s="85"/>
      <x:c r="B16170" s="86"/>
    </x:row>
    <x:row r="16171">
      <x:c r="A16171" s="85"/>
      <x:c r="B16171" s="86"/>
    </x:row>
    <x:row r="16172">
      <x:c r="A16172" s="85"/>
      <x:c r="B16172" s="86"/>
    </x:row>
    <x:row r="16173">
      <x:c r="A16173" s="85"/>
      <x:c r="B16173" s="86"/>
    </x:row>
    <x:row r="16174">
      <x:c r="A16174" s="85"/>
      <x:c r="B16174" s="86"/>
    </x:row>
    <x:row r="16175">
      <x:c r="A16175" s="85"/>
      <x:c r="B16175" s="86"/>
    </x:row>
    <x:row r="16176">
      <x:c r="A16176" s="85"/>
      <x:c r="B16176" s="86"/>
    </x:row>
    <x:row r="16177">
      <x:c r="A16177" s="85"/>
      <x:c r="B16177" s="86"/>
    </x:row>
    <x:row r="16178">
      <x:c r="A16178" s="85"/>
      <x:c r="B16178" s="86"/>
    </x:row>
    <x:row r="16179">
      <x:c r="A16179" s="85"/>
      <x:c r="B16179" s="86"/>
    </x:row>
    <x:row r="16180">
      <x:c r="A16180" s="85"/>
      <x:c r="B16180" s="86"/>
    </x:row>
    <x:row r="16181">
      <x:c r="A16181" s="85"/>
      <x:c r="B16181" s="86"/>
    </x:row>
    <x:row r="16182">
      <x:c r="A16182" s="85"/>
      <x:c r="B16182" s="86"/>
    </x:row>
    <x:row r="16183">
      <x:c r="A16183" s="85"/>
      <x:c r="B16183" s="86"/>
    </x:row>
    <x:row r="16184">
      <x:c r="A16184" s="85"/>
      <x:c r="B16184" s="86"/>
    </x:row>
    <x:row r="16185">
      <x:c r="A16185" s="85"/>
      <x:c r="B16185" s="86"/>
    </x:row>
    <x:row r="16186">
      <x:c r="A16186" s="85"/>
      <x:c r="B16186" s="86"/>
    </x:row>
    <x:row r="16187">
      <x:c r="A16187" s="85"/>
      <x:c r="B16187" s="86"/>
    </x:row>
    <x:row r="16188">
      <x:c r="A16188" s="85"/>
      <x:c r="B16188" s="86"/>
    </x:row>
    <x:row r="16189">
      <x:c r="A16189" s="85"/>
      <x:c r="B16189" s="86"/>
    </x:row>
    <x:row r="16190">
      <x:c r="A16190" s="85"/>
      <x:c r="B16190" s="86"/>
    </x:row>
    <x:row r="16191">
      <x:c r="A16191" s="85"/>
      <x:c r="B16191" s="86"/>
    </x:row>
    <x:row r="16192">
      <x:c r="A16192" s="85"/>
      <x:c r="B16192" s="86"/>
    </x:row>
    <x:row r="16193">
      <x:c r="A16193" s="85"/>
      <x:c r="B16193" s="86"/>
    </x:row>
    <x:row r="16194">
      <x:c r="A16194" s="85"/>
      <x:c r="B16194" s="86"/>
    </x:row>
    <x:row r="16195">
      <x:c r="A16195" s="85"/>
      <x:c r="B16195" s="86"/>
    </x:row>
    <x:row r="16196">
      <x:c r="A16196" s="85"/>
      <x:c r="B16196" s="86"/>
    </x:row>
    <x:row r="16197">
      <x:c r="A16197" s="85"/>
      <x:c r="B16197" s="86"/>
    </x:row>
    <x:row r="16198">
      <x:c r="A16198" s="85"/>
      <x:c r="B16198" s="86"/>
    </x:row>
    <x:row r="16199">
      <x:c r="A16199" s="85"/>
      <x:c r="B16199" s="86"/>
    </x:row>
    <x:row r="16200">
      <x:c r="A16200" s="85"/>
      <x:c r="B16200" s="86"/>
    </x:row>
    <x:row r="16201">
      <x:c r="A16201" s="85"/>
      <x:c r="B16201" s="86"/>
    </x:row>
    <x:row r="16202">
      <x:c r="A16202" s="85"/>
      <x:c r="B16202" s="86"/>
    </x:row>
    <x:row r="16203">
      <x:c r="A16203" s="85"/>
      <x:c r="B16203" s="86"/>
    </x:row>
    <x:row r="16204">
      <x:c r="A16204" s="85"/>
      <x:c r="B16204" s="86"/>
    </x:row>
    <x:row r="16205">
      <x:c r="A16205" s="85"/>
      <x:c r="B16205" s="86"/>
    </x:row>
    <x:row r="16206">
      <x:c r="A16206" s="85"/>
      <x:c r="B16206" s="86"/>
    </x:row>
    <x:row r="16207">
      <x:c r="A16207" s="85"/>
      <x:c r="B16207" s="86"/>
    </x:row>
    <x:row r="16208">
      <x:c r="A16208" s="85"/>
      <x:c r="B16208" s="86"/>
    </x:row>
    <x:row r="16209">
      <x:c r="A16209" s="85"/>
      <x:c r="B16209" s="86"/>
    </x:row>
    <x:row r="16210">
      <x:c r="A16210" s="85"/>
      <x:c r="B16210" s="86"/>
    </x:row>
    <x:row r="16211">
      <x:c r="A16211" s="85"/>
      <x:c r="B16211" s="86"/>
    </x:row>
    <x:row r="16212">
      <x:c r="A16212" s="85"/>
      <x:c r="B16212" s="86"/>
    </x:row>
    <x:row r="16213">
      <x:c r="A16213" s="85"/>
      <x:c r="B16213" s="86"/>
    </x:row>
    <x:row r="16214">
      <x:c r="A16214" s="85"/>
      <x:c r="B16214" s="86"/>
    </x:row>
    <x:row r="16215">
      <x:c r="A16215" s="85"/>
      <x:c r="B16215" s="86"/>
    </x:row>
    <x:row r="16216">
      <x:c r="A16216" s="85"/>
      <x:c r="B16216" s="86"/>
    </x:row>
    <x:row r="16217">
      <x:c r="A16217" s="85"/>
      <x:c r="B16217" s="86"/>
    </x:row>
    <x:row r="16218">
      <x:c r="A16218" s="85"/>
      <x:c r="B16218" s="86"/>
    </x:row>
    <x:row r="16219">
      <x:c r="A16219" s="85"/>
      <x:c r="B16219" s="86"/>
    </x:row>
    <x:row r="16220">
      <x:c r="A16220" s="85"/>
      <x:c r="B16220" s="86"/>
    </x:row>
    <x:row r="16221">
      <x:c r="A16221" s="85"/>
      <x:c r="B16221" s="86"/>
    </x:row>
    <x:row r="16222">
      <x:c r="A16222" s="85"/>
      <x:c r="B16222" s="86"/>
    </x:row>
    <x:row r="16223">
      <x:c r="A16223" s="85"/>
      <x:c r="B16223" s="86"/>
    </x:row>
    <x:row r="16224">
      <x:c r="A16224" s="85"/>
      <x:c r="B16224" s="86"/>
    </x:row>
    <x:row r="16225">
      <x:c r="A16225" s="85"/>
      <x:c r="B16225" s="86"/>
    </x:row>
    <x:row r="16226">
      <x:c r="A16226" s="85"/>
      <x:c r="B16226" s="86"/>
    </x:row>
    <x:row r="16227">
      <x:c r="A16227" s="85"/>
      <x:c r="B16227" s="86"/>
    </x:row>
    <x:row r="16228">
      <x:c r="A16228" s="85"/>
      <x:c r="B16228" s="86"/>
    </x:row>
    <x:row r="16229">
      <x:c r="A16229" s="85"/>
      <x:c r="B16229" s="86"/>
    </x:row>
    <x:row r="16230">
      <x:c r="A16230" s="85"/>
      <x:c r="B16230" s="86"/>
    </x:row>
    <x:row r="16231">
      <x:c r="A16231" s="85"/>
      <x:c r="B16231" s="86"/>
    </x:row>
    <x:row r="16232">
      <x:c r="A16232" s="85"/>
      <x:c r="B16232" s="86"/>
    </x:row>
    <x:row r="16233">
      <x:c r="A16233" s="85"/>
      <x:c r="B16233" s="86"/>
    </x:row>
    <x:row r="16234">
      <x:c r="A16234" s="85"/>
      <x:c r="B16234" s="86"/>
    </x:row>
    <x:row r="16235">
      <x:c r="A16235" s="85"/>
      <x:c r="B16235" s="86"/>
    </x:row>
    <x:row r="16236">
      <x:c r="A16236" s="85"/>
      <x:c r="B16236" s="86"/>
    </x:row>
    <x:row r="16237">
      <x:c r="A16237" s="85"/>
      <x:c r="B16237" s="86"/>
    </x:row>
    <x:row r="16238">
      <x:c r="A16238" s="85"/>
      <x:c r="B16238" s="86"/>
    </x:row>
    <x:row r="16239">
      <x:c r="A16239" s="85"/>
      <x:c r="B16239" s="86"/>
    </x:row>
    <x:row r="16240">
      <x:c r="A16240" s="85"/>
      <x:c r="B16240" s="86"/>
    </x:row>
    <x:row r="16241">
      <x:c r="A16241" s="85"/>
      <x:c r="B16241" s="86"/>
    </x:row>
    <x:row r="16242">
      <x:c r="A16242" s="85"/>
      <x:c r="B16242" s="86"/>
    </x:row>
    <x:row r="16243">
      <x:c r="A16243" s="85"/>
      <x:c r="B16243" s="86"/>
    </x:row>
    <x:row r="16244">
      <x:c r="A16244" s="85"/>
      <x:c r="B16244" s="86"/>
    </x:row>
    <x:row r="16245">
      <x:c r="A16245" s="85"/>
      <x:c r="B16245" s="86"/>
    </x:row>
    <x:row r="16246">
      <x:c r="A16246" s="85"/>
      <x:c r="B16246" s="86"/>
    </x:row>
    <x:row r="16247">
      <x:c r="A16247" s="85"/>
      <x:c r="B16247" s="86"/>
    </x:row>
    <x:row r="16248">
      <x:c r="A16248" s="85"/>
      <x:c r="B16248" s="86"/>
    </x:row>
    <x:row r="16249">
      <x:c r="A16249" s="85"/>
      <x:c r="B16249" s="86"/>
    </x:row>
    <x:row r="16250">
      <x:c r="A16250" s="85"/>
      <x:c r="B16250" s="86"/>
    </x:row>
    <x:row r="16251">
      <x:c r="A16251" s="85"/>
      <x:c r="B16251" s="86"/>
    </x:row>
    <x:row r="16252">
      <x:c r="A16252" s="85"/>
      <x:c r="B16252" s="86"/>
    </x:row>
    <x:row r="16253">
      <x:c r="A16253" s="85"/>
      <x:c r="B16253" s="86"/>
    </x:row>
    <x:row r="16254">
      <x:c r="A16254" s="85"/>
      <x:c r="B16254" s="86"/>
    </x:row>
    <x:row r="16255">
      <x:c r="A16255" s="85"/>
      <x:c r="B16255" s="86"/>
    </x:row>
    <x:row r="16256">
      <x:c r="A16256" s="85"/>
      <x:c r="B16256" s="86"/>
    </x:row>
    <x:row r="16257">
      <x:c r="A16257" s="85"/>
      <x:c r="B16257" s="86"/>
    </x:row>
    <x:row r="16258">
      <x:c r="A16258" s="85"/>
      <x:c r="B16258" s="86"/>
    </x:row>
    <x:row r="16259">
      <x:c r="A16259" s="85"/>
      <x:c r="B16259" s="86"/>
    </x:row>
    <x:row r="16260">
      <x:c r="A16260" s="85"/>
      <x:c r="B16260" s="86"/>
    </x:row>
    <x:row r="16261">
      <x:c r="A16261" s="85"/>
      <x:c r="B16261" s="86"/>
    </x:row>
    <x:row r="16262">
      <x:c r="A16262" s="85"/>
      <x:c r="B16262" s="86"/>
    </x:row>
    <x:row r="16263">
      <x:c r="A16263" s="85"/>
      <x:c r="B16263" s="86"/>
    </x:row>
    <x:row r="16264">
      <x:c r="A16264" s="85"/>
      <x:c r="B16264" s="86"/>
    </x:row>
    <x:row r="16265">
      <x:c r="A16265" s="85"/>
      <x:c r="B16265" s="86"/>
    </x:row>
    <x:row r="16266">
      <x:c r="A16266" s="85"/>
      <x:c r="B16266" s="86"/>
    </x:row>
    <x:row r="16267">
      <x:c r="A16267" s="85"/>
      <x:c r="B16267" s="86"/>
    </x:row>
    <x:row r="16268">
      <x:c r="A16268" s="85"/>
      <x:c r="B16268" s="86"/>
    </x:row>
    <x:row r="16269">
      <x:c r="A16269" s="85"/>
      <x:c r="B16269" s="86"/>
    </x:row>
    <x:row r="16270">
      <x:c r="A16270" s="85"/>
      <x:c r="B16270" s="86"/>
    </x:row>
    <x:row r="16271">
      <x:c r="A16271" s="85"/>
      <x:c r="B16271" s="86"/>
    </x:row>
    <x:row r="16272">
      <x:c r="A16272" s="85"/>
      <x:c r="B16272" s="86"/>
    </x:row>
    <x:row r="16273">
      <x:c r="A16273" s="85"/>
      <x:c r="B16273" s="86"/>
    </x:row>
    <x:row r="16274">
      <x:c r="A16274" s="85"/>
      <x:c r="B16274" s="86"/>
    </x:row>
    <x:row r="16275">
      <x:c r="A16275" s="85"/>
      <x:c r="B16275" s="86"/>
    </x:row>
    <x:row r="16276">
      <x:c r="A16276" s="85"/>
      <x:c r="B16276" s="86"/>
    </x:row>
    <x:row r="16277">
      <x:c r="A16277" s="85"/>
      <x:c r="B16277" s="86"/>
    </x:row>
    <x:row r="16278">
      <x:c r="A16278" s="85"/>
      <x:c r="B16278" s="86"/>
    </x:row>
    <x:row r="16279">
      <x:c r="A16279" s="85"/>
      <x:c r="B16279" s="86"/>
    </x:row>
    <x:row r="16280">
      <x:c r="A16280" s="85"/>
      <x:c r="B16280" s="86"/>
    </x:row>
    <x:row r="16281">
      <x:c r="A16281" s="85"/>
      <x:c r="B16281" s="86"/>
    </x:row>
    <x:row r="16282">
      <x:c r="A16282" s="85"/>
      <x:c r="B16282" s="86"/>
    </x:row>
    <x:row r="16283">
      <x:c r="A16283" s="85"/>
      <x:c r="B16283" s="86"/>
    </x:row>
    <x:row r="16284">
      <x:c r="A16284" s="85"/>
      <x:c r="B16284" s="86"/>
    </x:row>
    <x:row r="16285">
      <x:c r="A16285" s="85"/>
      <x:c r="B16285" s="86"/>
    </x:row>
    <x:row r="16286">
      <x:c r="A16286" s="85"/>
      <x:c r="B16286" s="86"/>
    </x:row>
    <x:row r="16287">
      <x:c r="A16287" s="85"/>
      <x:c r="B16287" s="86"/>
    </x:row>
    <x:row r="16288">
      <x:c r="A16288" s="85"/>
      <x:c r="B16288" s="86"/>
    </x:row>
    <x:row r="16289">
      <x:c r="A16289" s="85"/>
      <x:c r="B16289" s="86"/>
    </x:row>
    <x:row r="16290">
      <x:c r="A16290" s="85"/>
      <x:c r="B16290" s="86"/>
    </x:row>
    <x:row r="16291">
      <x:c r="A16291" s="85"/>
      <x:c r="B16291" s="86"/>
    </x:row>
    <x:row r="16292">
      <x:c r="A16292" s="85"/>
      <x:c r="B16292" s="86"/>
    </x:row>
    <x:row r="16293">
      <x:c r="A16293" s="85"/>
      <x:c r="B16293" s="86"/>
    </x:row>
    <x:row r="16294">
      <x:c r="A16294" s="85"/>
      <x:c r="B16294" s="86"/>
    </x:row>
    <x:row r="16295">
      <x:c r="A16295" s="85"/>
      <x:c r="B16295" s="86"/>
    </x:row>
    <x:row r="16296">
      <x:c r="A16296" s="85"/>
      <x:c r="B16296" s="86"/>
    </x:row>
    <x:row r="16297">
      <x:c r="A16297" s="85"/>
      <x:c r="B16297" s="86"/>
    </x:row>
    <x:row r="16298">
      <x:c r="A16298" s="85"/>
      <x:c r="B16298" s="86"/>
    </x:row>
    <x:row r="16299">
      <x:c r="A16299" s="85"/>
      <x:c r="B16299" s="86"/>
    </x:row>
    <x:row r="16300">
      <x:c r="A16300" s="85"/>
      <x:c r="B16300" s="86"/>
    </x:row>
    <x:row r="16301">
      <x:c r="A16301" s="85"/>
      <x:c r="B16301" s="86"/>
    </x:row>
    <x:row r="16302">
      <x:c r="A16302" s="85"/>
      <x:c r="B16302" s="86"/>
    </x:row>
    <x:row r="16303">
      <x:c r="A16303" s="85"/>
      <x:c r="B16303" s="86"/>
    </x:row>
    <x:row r="16304">
      <x:c r="A16304" s="85"/>
      <x:c r="B16304" s="86"/>
    </x:row>
    <x:row r="16305">
      <x:c r="A16305" s="85"/>
      <x:c r="B16305" s="86"/>
    </x:row>
    <x:row r="16306">
      <x:c r="A16306" s="85"/>
      <x:c r="B16306" s="86"/>
    </x:row>
    <x:row r="16307">
      <x:c r="A16307" s="85"/>
      <x:c r="B16307" s="86"/>
    </x:row>
    <x:row r="16308">
      <x:c r="A16308" s="85"/>
      <x:c r="B16308" s="86"/>
    </x:row>
    <x:row r="16309">
      <x:c r="A16309" s="85"/>
      <x:c r="B16309" s="86"/>
    </x:row>
    <x:row r="16310">
      <x:c r="A16310" s="85"/>
      <x:c r="B16310" s="86"/>
    </x:row>
    <x:row r="16311">
      <x:c r="A16311" s="85"/>
      <x:c r="B16311" s="86"/>
    </x:row>
    <x:row r="16312">
      <x:c r="A16312" s="85"/>
      <x:c r="B16312" s="86"/>
    </x:row>
    <x:row r="16313">
      <x:c r="A16313" s="85"/>
      <x:c r="B16313" s="86"/>
    </x:row>
    <x:row r="16314">
      <x:c r="A16314" s="85"/>
      <x:c r="B16314" s="86"/>
    </x:row>
    <x:row r="16315">
      <x:c r="A16315" s="85"/>
      <x:c r="B16315" s="86"/>
    </x:row>
    <x:row r="16316">
      <x:c r="A16316" s="85"/>
      <x:c r="B16316" s="86"/>
    </x:row>
    <x:row r="16317">
      <x:c r="A16317" s="85"/>
      <x:c r="B16317" s="86"/>
    </x:row>
    <x:row r="16318">
      <x:c r="A16318" s="85"/>
      <x:c r="B16318" s="86"/>
    </x:row>
    <x:row r="16319">
      <x:c r="A16319" s="85"/>
      <x:c r="B16319" s="86"/>
    </x:row>
    <x:row r="16320">
      <x:c r="A16320" s="85"/>
      <x:c r="B16320" s="86"/>
    </x:row>
    <x:row r="16321">
      <x:c r="A16321" s="85"/>
      <x:c r="B16321" s="86"/>
    </x:row>
    <x:row r="16322">
      <x:c r="A16322" s="85"/>
      <x:c r="B16322" s="86"/>
    </x:row>
    <x:row r="16323">
      <x:c r="A16323" s="85"/>
      <x:c r="B16323" s="86"/>
    </x:row>
    <x:row r="16324">
      <x:c r="A16324" s="85"/>
      <x:c r="B16324" s="86"/>
    </x:row>
    <x:row r="16325">
      <x:c r="A16325" s="85"/>
      <x:c r="B16325" s="86"/>
    </x:row>
    <x:row r="16326">
      <x:c r="A16326" s="85"/>
      <x:c r="B16326" s="86"/>
    </x:row>
    <x:row r="16327">
      <x:c r="A16327" s="85"/>
      <x:c r="B16327" s="86"/>
    </x:row>
    <x:row r="16328">
      <x:c r="A16328" s="85"/>
      <x:c r="B16328" s="86"/>
    </x:row>
    <x:row r="16329">
      <x:c r="A16329" s="85"/>
      <x:c r="B16329" s="86"/>
    </x:row>
    <x:row r="16330">
      <x:c r="A16330" s="85"/>
      <x:c r="B16330" s="86"/>
    </x:row>
    <x:row r="16331">
      <x:c r="A16331" s="85"/>
      <x:c r="B16331" s="86"/>
    </x:row>
    <x:row r="16332">
      <x:c r="A16332" s="85"/>
      <x:c r="B16332" s="86"/>
    </x:row>
    <x:row r="16333">
      <x:c r="A16333" s="85"/>
      <x:c r="B16333" s="86"/>
    </x:row>
    <x:row r="16334">
      <x:c r="A16334" s="85"/>
      <x:c r="B16334" s="86"/>
    </x:row>
    <x:row r="16335">
      <x:c r="A16335" s="85"/>
      <x:c r="B16335" s="86"/>
    </x:row>
    <x:row r="16336">
      <x:c r="A16336" s="85"/>
      <x:c r="B16336" s="86"/>
    </x:row>
    <x:row r="16337">
      <x:c r="A16337" s="85"/>
      <x:c r="B16337" s="86"/>
    </x:row>
    <x:row r="16338">
      <x:c r="A16338" s="85"/>
      <x:c r="B16338" s="86"/>
    </x:row>
    <x:row r="16339">
      <x:c r="A16339" s="85"/>
      <x:c r="B16339" s="86"/>
    </x:row>
    <x:row r="16340">
      <x:c r="A16340" s="85"/>
      <x:c r="B16340" s="86"/>
    </x:row>
    <x:row r="16341">
      <x:c r="A16341" s="85"/>
      <x:c r="B16341" s="86"/>
    </x:row>
    <x:row r="16342">
      <x:c r="A16342" s="85"/>
      <x:c r="B16342" s="86"/>
    </x:row>
    <x:row r="16343">
      <x:c r="A16343" s="85"/>
      <x:c r="B16343" s="86"/>
    </x:row>
    <x:row r="16344">
      <x:c r="A16344" s="85"/>
      <x:c r="B16344" s="86"/>
    </x:row>
    <x:row r="16345">
      <x:c r="A16345" s="85"/>
      <x:c r="B16345" s="86"/>
    </x:row>
    <x:row r="16346">
      <x:c r="A16346" s="85"/>
      <x:c r="B16346" s="86"/>
    </x:row>
    <x:row r="16347">
      <x:c r="A16347" s="85"/>
      <x:c r="B16347" s="86"/>
    </x:row>
    <x:row r="16348">
      <x:c r="A16348" s="85"/>
      <x:c r="B16348" s="86"/>
    </x:row>
    <x:row r="16349">
      <x:c r="A16349" s="85"/>
      <x:c r="B16349" s="86"/>
    </x:row>
    <x:row r="16350">
      <x:c r="A16350" s="85"/>
      <x:c r="B16350" s="86"/>
    </x:row>
    <x:row r="16351">
      <x:c r="A16351" s="85"/>
      <x:c r="B16351" s="86"/>
    </x:row>
  </x:sheetData>
  <x:mergeCells>
    <x:mergeCell ref="A21:B21"/>
    <x:mergeCell ref="A1:A2"/>
    <x:mergeCell ref="B1:B2"/>
    <x:mergeCell ref="C1:C2"/>
    <x:mergeCell ref="D1:D2"/>
    <x:mergeCell ref="E1:E2"/>
    <x:mergeCell ref="F1:F2"/>
    <x:mergeCell ref="G1:G2"/>
    <x:mergeCell ref="H1:H2"/>
    <x:mergeCell ref="I1:I2"/>
    <x:mergeCell ref="J1:J2"/>
    <x:mergeCell ref="K1:K2"/>
    <x:mergeCell ref="L1:L2"/>
    <x:mergeCell ref="M1:M2"/>
    <x:mergeCell ref="N1:N2"/>
    <x:mergeCell ref="O1:O2"/>
    <x:mergeCell ref="P1:P2"/>
    <x:mergeCell ref="Q1:Q2"/>
    <x:mergeCell ref="R1:R2"/>
    <x:mergeCell ref="S1:S2"/>
    <x:mergeCell ref="Y1:Y2"/>
    <x:mergeCell ref="T1:T2"/>
    <x:mergeCell ref="U1:U2"/>
    <x:mergeCell ref="V1:V2"/>
    <x:mergeCell ref="W1:W2"/>
    <x:mergeCell ref="X1:X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9" defaultRowHeight="14"/>
  <x:cols>
    <x:col min="1" max="1" width="9" style="64" customWidth="0"/>
    <x:col min="2" max="2" width="43.33203125" style="78" customWidth="1"/>
    <x:col min="3" max="3" width="39.83203125" style="78" customWidth="1"/>
    <x:col min="4" max="4" width="22" style="78" customWidth="1"/>
    <x:col min="5" max="18" width="9" style="78" customWidth="0"/>
    <x:col min="19" max="19" width="9" style="78" hidden="1" customWidth="1"/>
    <x:col min="20" max="16384" width="9" style="78" customWidth="0"/>
  </x:cols>
  <x:sheetData>
    <x:row r="1" s="77" customFormat="1" ht="52" customHeight="1">
      <x:c r="A1" s="79" t="s">
        <x:v>91</x:v>
      </x:c>
      <x:c r="B1" s="80" t="s">
        <x:v>92</x:v>
      </x:c>
      <x:c r="C1" s="80" t="s">
        <x:v>93</x:v>
      </x:c>
      <x:c r="D1" s="80" t="s">
        <x:v>94</x:v>
      </x:c>
      <x:c r="S1" s="77">
        <x:v>77</x:v>
      </x:c>
    </x:row>
    <x:row r="2" ht="24" customHeight="1">
      <x:c r="A2" s="81">
        <x:v>1</x:v>
      </x:c>
      <x:c r="B2" s="82" t="s">
        <x:v>95</x:v>
      </x:c>
      <x:c r="C2" s="26" t="s">
        <x:v>96</x:v>
      </x:c>
      <x:c r="D2" s="27">
        <x:v>14218.69</x:v>
      </x:c>
      <x:c r="S2" s="77">
        <x:v>35</x:v>
      </x:c>
    </x:row>
    <x:row r="3" ht="23" customHeight="1">
      <x:c r="A3" s="81">
        <x:v>2</x:v>
      </x:c>
      <x:c r="B3" s="26" t="s">
        <x:v>97</x:v>
      </x:c>
      <x:c r="C3" s="26"/>
      <x:c r="D3" s="84">
        <x:v>241423.88</x:v>
      </x:c>
      <x:c r="S3" s="77">
        <x:v>470</x:v>
      </x:c>
    </x:row>
    <x:row r="4" ht="23" customHeight="1">
      <x:c r="A4" s="81">
        <x:v>3</x:v>
      </x:c>
      <x:c r="B4" s="26" t="s">
        <x:v>98</x:v>
      </x:c>
      <x:c r="C4" s="26" t="s">
        <x:v>96</x:v>
      </x:c>
      <x:c r="D4" s="27">
        <x:v>73670.31</x:v>
      </x:c>
      <x:c r="S4" s="77">
        <x:v>399</x:v>
      </x:c>
    </x:row>
    <x:row r="5" ht="23" customHeight="1">
      <x:c r="A5" s="81">
        <x:v>4</x:v>
      </x:c>
      <x:c r="B5" s="26" t="s">
        <x:v>99</x:v>
      </x:c>
      <x:c r="C5" s="26" t="s">
        <x:v>96</x:v>
      </x:c>
      <x:c r="D5" s="27">
        <x:v>21782.22</x:v>
      </x:c>
      <x:c r="S5" s="77">
        <x:v>519</x:v>
      </x:c>
    </x:row>
    <x:row r="6" ht="23" customHeight="1">
      <x:c r="A6" s="81">
        <x:v>5</x:v>
      </x:c>
      <x:c r="B6" s="26" t="s">
        <x:v>100</x:v>
      </x:c>
      <x:c r="C6" s="26" t="s">
        <x:v>96</x:v>
      </x:c>
      <x:c r="D6" s="27">
        <x:v>56702.36</x:v>
      </x:c>
      <x:c r="S6" s="77">
        <x:v>40</x:v>
      </x:c>
    </x:row>
    <x:row r="7" ht="23" customHeight="1">
      <x:c r="A7" s="81">
        <x:v>6</x:v>
      </x:c>
      <x:c r="B7" s="26" t="s">
        <x:v>101</x:v>
      </x:c>
      <x:c r="C7" s="26"/>
      <x:c r="D7" s="83">
        <x:v>5479.71</x:v>
      </x:c>
      <x:c r="S7" s="77">
        <x:v>413</x:v>
      </x:c>
    </x:row>
    <x:row r="8" ht="23" customHeight="1">
      <x:c r="A8" s="81">
        <x:v>7</x:v>
      </x:c>
      <x:c r="B8" s="26" t="s">
        <x:v>102</x:v>
      </x:c>
      <x:c r="C8" s="26" t="s">
        <x:v>96</x:v>
      </x:c>
      <x:c r="D8" s="27">
        <x:v>7985.82</x:v>
      </x:c>
      <x:c r="S8" s="77">
        <x:v>244</x:v>
      </x:c>
    </x:row>
    <x:row r="9" ht="23" customHeight="1">
      <x:c r="A9" s="81">
        <x:v>8</x:v>
      </x:c>
      <x:c r="B9" s="26" t="s">
        <x:v>103</x:v>
      </x:c>
      <x:c r="C9" s="26"/>
      <x:c r="D9" s="83">
        <x:v>18693.439999999999</x:v>
      </x:c>
      <x:c r="S9" s="77">
        <x:v>382</x:v>
      </x:c>
    </x:row>
    <x:row r="10" ht="23" customHeight="1">
      <x:c r="A10" s="81">
        <x:v>9</x:v>
      </x:c>
      <x:c r="B10" s="26" t="s">
        <x:v>104</x:v>
      </x:c>
      <x:c r="C10" s="26" t="s">
        <x:v>96</x:v>
      </x:c>
      <x:c r="D10" s="27">
        <x:v>67273.45</x:v>
      </x:c>
      <x:c r="S10" s="77">
        <x:v>127</x:v>
      </x:c>
    </x:row>
    <x:row r="11" ht="23" customHeight="1">
      <x:c r="A11" s="81">
        <x:v>10</x:v>
      </x:c>
      <x:c r="B11" s="26" t="s">
        <x:v>105</x:v>
      </x:c>
      <x:c r="C11" s="26" t="s">
        <x:v>96</x:v>
      </x:c>
      <x:c r="D11" s="27">
        <x:v>19275.419999999998</x:v>
      </x:c>
      <x:c r="S11" s="77">
        <x:v>156</x:v>
      </x:c>
    </x:row>
    <x:row r="12" ht="23" customHeight="1">
      <x:c r="A12" s="102">
        <x:v>11</x:v>
      </x:c>
      <x:c r="B12" s="26" t="s">
        <x:v>106</x:v>
      </x:c>
      <x:c r="C12" s="26" t="s">
        <x:v>96</x:v>
      </x:c>
      <x:c r="D12" s="27">
        <x:v>8633.15</x:v>
      </x:c>
      <x:c r="S12" s="77">
        <x:v>108</x:v>
      </x:c>
    </x:row>
    <x:row r="13" ht="23" customHeight="1">
      <x:c r="A13" s="103"/>
      <x:c r="B13" s="26" t="s">
        <x:v>107</x:v>
      </x:c>
      <x:c r="C13" s="26"/>
      <x:c r="D13" s="27" t="n">
        <x:f>D12</x:f>
        <x:v>8633.15</x:v>
      </x:c>
      <x:c r="S13" s="77">
        <x:v>223</x:v>
      </x:c>
    </x:row>
    <x:row r="14" ht="23" customHeight="1">
      <x:c r="A14" s="103"/>
      <x:c r="B14" s="26" t="s">
        <x:v>108</x:v>
      </x:c>
      <x:c r="C14" s="26" t="s">
        <x:v>96</x:v>
      </x:c>
      <x:c r="D14" s="27">
        <x:v>32276.23</x:v>
      </x:c>
      <x:c r="S14" s="77">
        <x:v>546</x:v>
      </x:c>
    </x:row>
    <x:row r="15" ht="23" customHeight="1">
      <x:c r="A15" s="103"/>
      <x:c r="B15" s="26" t="s">
        <x:v>109</x:v>
      </x:c>
      <x:c r="C15" s="26"/>
      <x:c r="D15" s="27" t="n">
        <x:f>D14</x:f>
        <x:v>32276.23</x:v>
      </x:c>
    </x:row>
    <x:row r="16" ht="23" customHeight="1">
      <x:c r="A16" s="103"/>
      <x:c r="B16" s="26" t="s">
        <x:v>110</x:v>
      </x:c>
      <x:c r="C16" s="26" t="s">
        <x:v>96</x:v>
      </x:c>
      <x:c r="D16" s="27">
        <x:v>2088.63</x:v>
      </x:c>
    </x:row>
    <x:row r="17" ht="23" customHeight="1">
      <x:c r="A17" s="103"/>
      <x:c r="B17" s="26" t="s">
        <x:v>111</x:v>
      </x:c>
      <x:c r="C17" s="26"/>
      <x:c r="D17" s="27" t="n">
        <x:f>D16</x:f>
        <x:v>2088.63</x:v>
      </x:c>
    </x:row>
    <x:row r="18" ht="23" customHeight="1">
      <x:c r="A18" s="103"/>
      <x:c r="B18" s="26" t="s">
        <x:v>112</x:v>
      </x:c>
      <x:c r="C18" s="26" t="s">
        <x:v>96</x:v>
      </x:c>
      <x:c r="D18" s="27">
        <x:v>1291.99</x:v>
      </x:c>
    </x:row>
    <x:row r="19" ht="23" customHeight="1">
      <x:c r="A19" s="103"/>
      <x:c r="B19" s="26" t="s">
        <x:v>113</x:v>
      </x:c>
      <x:c r="C19" s="26"/>
      <x:c r="D19" s="27" t="n">
        <x:f>D18</x:f>
        <x:v>1291.99</x:v>
      </x:c>
    </x:row>
    <x:row r="20" ht="23" customHeight="1">
      <x:c r="A20" s="103"/>
      <x:c r="B20" s="26" t="s">
        <x:v>114</x:v>
      </x:c>
      <x:c r="C20" s="26" t="s">
        <x:v>96</x:v>
      </x:c>
      <x:c r="D20" s="27">
        <x:v>12167.44</x:v>
      </x:c>
    </x:row>
    <x:row r="21" ht="23" customHeight="1">
      <x:c r="A21" s="103"/>
      <x:c r="B21" s="26" t="s">
        <x:v>115</x:v>
      </x:c>
      <x:c r="C21" s="26"/>
      <x:c r="D21" s="27" t="n">
        <x:f>D20</x:f>
        <x:v>12167.44</x:v>
      </x:c>
    </x:row>
    <x:row r="22" ht="23" customHeight="1">
      <x:c r="A22" s="104"/>
      <x:c r="B22" s="26" t="s">
        <x:v>116</x:v>
      </x:c>
      <x:c r="C22" s="26"/>
      <x:c r="D22" s="84" t="n">
        <x:f>SUM(D13,D15,D17,D19,D21)</x:f>
        <x:v>56457.439999999995</x:v>
      </x:c>
    </x:row>
    <x:row r="23" ht="23" customHeight="1">
      <x:c r="A23" s="81">
        <x:v>12</x:v>
      </x:c>
      <x:c r="B23" s="26" t="s">
        <x:v>117</x:v>
      </x:c>
      <x:c r="C23" s="26" t="s">
        <x:v>96</x:v>
      </x:c>
      <x:c r="D23" s="84">
        <x:v>33135.300000000003</x:v>
      </x:c>
    </x:row>
    <x:row r="24" ht="23" customHeight="1">
      <x:c r="A24" s="81">
        <x:v>13</x:v>
      </x:c>
      <x:c r="B24" s="26" t="s">
        <x:v>118</x:v>
      </x:c>
      <x:c r="C24" s="26" t="s">
        <x:v>96</x:v>
      </x:c>
      <x:c r="D24" s="84">
        <x:v>241423.88</x:v>
      </x:c>
    </x:row>
    <x:row r="25" ht="23" customHeight="1">
      <x:c r="A25" s="105">
        <x:v>14</x:v>
      </x:c>
      <x:c r="B25" s="106" t="s">
        <x:v>119</x:v>
      </x:c>
      <x:c r="C25" s="26" t="s">
        <x:v>120</x:v>
      </x:c>
      <x:c r="D25" s="27">
        <x:v>45265.95</x:v>
      </x:c>
    </x:row>
    <x:row r="26" ht="23" customHeight="1">
      <x:c r="A26" s="105"/>
      <x:c r="B26" s="106"/>
      <x:c r="C26" s="26" t="s">
        <x:v>121</x:v>
      </x:c>
      <x:c r="D26" s="27">
        <x:v>80335.990000000005</x:v>
      </x:c>
    </x:row>
    <x:row r="27" ht="23" customHeight="1">
      <x:c r="A27" s="105"/>
      <x:c r="B27" s="106"/>
      <x:c r="C27" s="26" t="s">
        <x:v>122</x:v>
      </x:c>
      <x:c r="D27" s="27">
        <x:v>92714.41</x:v>
      </x:c>
    </x:row>
    <x:row r="28" ht="23" customHeight="1">
      <x:c r="A28" s="105"/>
      <x:c r="B28" s="106"/>
      <x:c r="C28" s="26" t="s">
        <x:v>123</x:v>
      </x:c>
      <x:c r="D28" s="27">
        <x:v>66696.13</x:v>
      </x:c>
    </x:row>
    <x:row r="29" ht="23" customHeight="1">
      <x:c r="A29" s="105"/>
      <x:c r="B29" s="106"/>
      <x:c r="C29" s="26" t="s">
        <x:v>124</x:v>
      </x:c>
      <x:c r="D29" s="27">
        <x:v>51555.26</x:v>
      </x:c>
    </x:row>
    <x:row r="30" ht="23" customHeight="1">
      <x:c r="A30" s="105"/>
      <x:c r="B30" s="106"/>
      <x:c r="C30" s="26" t="s">
        <x:v>125</x:v>
      </x:c>
      <x:c r="D30" s="27">
        <x:v>23038.89</x:v>
      </x:c>
    </x:row>
    <x:row r="31" ht="23" customHeight="1">
      <x:c r="A31" s="105"/>
      <x:c r="B31" s="106"/>
      <x:c r="C31" s="26" t="s">
        <x:v>126</x:v>
      </x:c>
      <x:c r="D31" s="27">
        <x:v>64210.400000000001</x:v>
      </x:c>
    </x:row>
    <x:row r="32" ht="23" customHeight="1">
      <x:c r="A32" s="105"/>
      <x:c r="B32" s="106"/>
      <x:c r="C32" s="26" t="s">
        <x:v>127</x:v>
      </x:c>
      <x:c r="D32" s="27">
        <x:v>141030.1</x:v>
      </x:c>
    </x:row>
    <x:row r="33" ht="23" customHeight="1">
      <x:c r="A33" s="105"/>
      <x:c r="B33" s="106"/>
      <x:c r="C33" s="26" t="s">
        <x:v>128</x:v>
      </x:c>
      <x:c r="D33" s="27">
        <x:v>54143.08</x:v>
      </x:c>
    </x:row>
    <x:row r="34" ht="23" customHeight="1">
      <x:c r="A34" s="105"/>
      <x:c r="B34" s="106"/>
      <x:c r="C34" s="26" t="s">
        <x:v>129</x:v>
      </x:c>
      <x:c r="D34" s="27">
        <x:v>92082.79</x:v>
      </x:c>
    </x:row>
    <x:row r="35" ht="23" customHeight="1">
      <x:c r="A35" s="105"/>
      <x:c r="B35" s="106"/>
      <x:c r="C35" s="26" t="s">
        <x:v>96</x:v>
      </x:c>
      <x:c r="D35" s="27">
        <x:v>30381.99</x:v>
      </x:c>
    </x:row>
    <x:row r="36" ht="23" customHeight="1">
      <x:c r="A36" s="105"/>
      <x:c r="B36" s="26" t="s">
        <x:v>130</x:v>
      </x:c>
      <x:c r="C36" s="26"/>
      <x:c r="D36" s="27" t="n">
        <x:f>SUM(D25:D35)</x:f>
        <x:v>741454.99</x:v>
      </x:c>
    </x:row>
    <x:row r="37" ht="23" customHeight="1">
      <x:c r="A37" s="81">
        <x:v>15</x:v>
      </x:c>
      <x:c r="B37" s="26" t="s">
        <x:v>131</x:v>
      </x:c>
      <x:c r="C37" s="26" t="s">
        <x:v>96</x:v>
      </x:c>
      <x:c r="D37" s="27">
        <x:v>38363.22</x:v>
      </x:c>
    </x:row>
    <x:row r="38" ht="29.25" customHeight="1">
      <x:c r="A38" s="81">
        <x:v>16</x:v>
      </x:c>
      <x:c r="B38" s="26" t="s">
        <x:v>132</x:v>
      </x:c>
      <x:c r="C38" s="26"/>
      <x:c r="D38" s="83">
        <x:v>48440.71</x:v>
      </x:c>
    </x:row>
    <x:row r="39" ht="23" customHeight="1">
      <x:c r="A39" s="81">
        <x:v>17</x:v>
      </x:c>
      <x:c r="B39" s="26" t="s">
        <x:v>133</x:v>
      </x:c>
      <x:c r="C39" s="26" t="s">
        <x:v>96</x:v>
      </x:c>
      <x:c r="D39" s="27">
        <x:v>34248.92</x:v>
      </x:c>
    </x:row>
    <x:row r="40" ht="23" customHeight="1">
      <x:c r="A40" s="81">
        <x:v>18</x:v>
      </x:c>
      <x:c r="B40" s="26" t="s">
        <x:v>134</x:v>
      </x:c>
      <x:c r="C40" s="26" t="s">
        <x:v>96</x:v>
      </x:c>
      <x:c r="D40" s="27">
        <x:v>20787.580000000002</x:v>
      </x:c>
    </x:row>
    <x:row r="41" ht="29.25" customHeight="1">
      <x:c r="A41" s="81">
        <x:v>19</x:v>
      </x:c>
      <x:c r="B41" s="26" t="s">
        <x:v>135</x:v>
      </x:c>
      <x:c r="C41" s="26"/>
      <x:c r="D41" s="83">
        <x:v>40927.69</x:v>
      </x:c>
    </x:row>
    <x:row r="42" ht="23" customHeight="1">
      <x:c r="A42" s="81">
        <x:v>20</x:v>
      </x:c>
      <x:c r="B42" s="26" t="s">
        <x:v>136</x:v>
      </x:c>
      <x:c r="C42" s="26" t="s">
        <x:v>96</x:v>
      </x:c>
      <x:c r="D42" s="27">
        <x:v>57471.43</x:v>
      </x:c>
    </x:row>
    <x:row r="43" ht="29.25" customHeight="1">
      <x:c r="A43" s="81">
        <x:v>21</x:v>
      </x:c>
      <x:c r="B43" s="26" t="s">
        <x:v>137</x:v>
      </x:c>
      <x:c r="C43" s="26"/>
      <x:c r="D43" s="83">
        <x:v>27985.46</x:v>
      </x:c>
    </x:row>
    <x:row r="44" ht="23" customHeight="1">
      <x:c r="A44" s="81">
        <x:v>22</x:v>
      </x:c>
      <x:c r="B44" s="26" t="s">
        <x:v>138</x:v>
      </x:c>
      <x:c r="C44" s="26"/>
      <x:c r="D44" s="83">
        <x:v>26952.75</x:v>
      </x:c>
    </x:row>
    <x:row r="45" ht="23" customHeight="1">
      <x:c r="A45" s="81">
        <x:v>22</x:v>
      </x:c>
      <x:c r="B45" s="26" t="s">
        <x:v>139</x:v>
      </x:c>
      <x:c r="C45" s="26"/>
      <x:c r="D45" s="83">
        <x:v>5817.06</x:v>
      </x:c>
    </x:row>
    <x:row r="46" ht="23" customHeight="1">
      <x:c r="A46" s="81">
        <x:v>23</x:v>
      </x:c>
      <x:c r="B46" s="26" t="s">
        <x:v>140</x:v>
      </x:c>
      <x:c r="C46" s="26" t="s">
        <x:v>96</x:v>
      </x:c>
      <x:c r="D46" s="27">
        <x:v>34461.43</x:v>
      </x:c>
    </x:row>
    <x:row r="47" ht="23" customHeight="1">
      <x:c r="A47" s="81">
        <x:v>24</x:v>
      </x:c>
      <x:c r="B47" s="26" t="s">
        <x:v>141</x:v>
      </x:c>
      <x:c r="C47" s="26"/>
      <x:c r="D47" s="83">
        <x:v>59931.040000000001</x:v>
      </x:c>
    </x:row>
    <x:row r="48" ht="24" customHeight="1">
      <x:c r="A48" s="81">
        <x:v>25</x:v>
      </x:c>
      <x:c r="B48" s="26" t="s">
        <x:v>142</x:v>
      </x:c>
      <x:c r="C48" s="26"/>
      <x:c r="D48" s="27" t="n">
        <x:f>SUM(D2:D11,D22:D24,D36:D47)</x:f>
        <x:v>1994364.2000000002</x:v>
      </x:c>
    </x:row>
  </x:sheetData>
  <x:mergeCells>
    <x:mergeCell ref="A12:A22"/>
    <x:mergeCell ref="A25:A36"/>
    <x:mergeCell ref="B25:B3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ColWidth="9" defaultRowHeight="14"/>
  <x:cols>
    <x:col min="1" max="1" width="9" style="22" customWidth="0"/>
    <x:col min="2" max="2" width="14.83203125" style="22" customWidth="1"/>
    <x:col min="3" max="3" width="14.33203125" style="22" customWidth="1"/>
    <x:col min="4" max="4" width="13.33203125" style="22" customWidth="1"/>
    <x:col min="5" max="5" width="14.33203125" style="22" customWidth="1"/>
    <x:col min="6" max="6" width="27.5" style="22" customWidth="1"/>
    <x:col min="7" max="7" width="9" style="22" customWidth="0"/>
    <x:col min="8" max="9" width="12.6640625" style="22" customWidth="0"/>
    <x:col min="10" max="10" width="11.5" style="22" customWidth="0"/>
    <x:col min="11" max="11" width="37.6640625" style="22" customWidth="1"/>
    <x:col min="12" max="12" width="23.83203125" style="22" customWidth="1"/>
    <x:col min="13" max="16384" width="9" style="22" customWidth="0"/>
  </x:cols>
  <x:sheetData>
    <x:row r="1" ht="16">
      <x:c r="A1" s="113" t="s">
        <x:v>143</x:v>
      </x:c>
      <x:c r="B1" s="113"/>
      <x:c r="C1" s="113"/>
      <x:c r="D1" s="113"/>
      <x:c r="E1" s="113"/>
      <x:c r="F1" s="113"/>
    </x:row>
    <x:row r="2">
      <x:c r="A2" s="114" t="s">
        <x:v>144</x:v>
      </x:c>
      <x:c r="B2" s="114"/>
      <x:c r="C2" s="114"/>
      <x:c r="D2" s="114"/>
      <x:c r="E2" s="114"/>
      <x:c r="F2" s="114"/>
    </x:row>
    <x:row r="3">
      <x:c r="A3" s="117" t="s">
        <x:v>91</x:v>
      </x:c>
      <x:c r="B3" s="117" t="s">
        <x:v>145</x:v>
      </x:c>
      <x:c r="C3" s="117" t="s">
        <x:v>146</x:v>
      </x:c>
      <x:c r="D3" s="117" t="s">
        <x:v>147</x:v>
      </x:c>
      <x:c r="E3" s="117" t="s">
        <x:v>148</x:v>
      </x:c>
      <x:c r="F3" s="117" t="s">
        <x:v>149</x:v>
      </x:c>
    </x:row>
    <x:row r="4">
      <x:c r="A4" s="118"/>
      <x:c r="B4" s="118"/>
      <x:c r="C4" s="118"/>
      <x:c r="D4" s="118"/>
      <x:c r="E4" s="118"/>
      <x:c r="F4" s="118"/>
    </x:row>
    <x:row r="5">
      <x:c r="A5" s="119"/>
      <x:c r="B5" s="119"/>
      <x:c r="C5" s="119"/>
      <x:c r="D5" s="119"/>
      <x:c r="E5" s="119"/>
      <x:c r="F5" s="119"/>
    </x:row>
    <x:row r="6">
      <x:c r="A6" s="34">
        <x:v>1</x:v>
      </x:c>
      <x:c r="B6" s="70" t="s">
        <x:v>150</x:v>
      </x:c>
      <x:c r="C6" s="71" t="e">
        <x:f>研发项目主表!C21</x:f>
        <x:v>#NAME?</x:v>
      </x:c>
      <x:c r="D6" s="72"/>
      <x:c r="E6" s="72" t="e">
        <x:f t="shared" ref="E6:E28" si="0">C6-D6</x:f>
        <x:v>#NAME?</x:v>
      </x:c>
      <x:c r="F6" s="34"/>
    </x:row>
    <x:row r="7">
      <x:c r="A7" s="34">
        <x:v>2</x:v>
      </x:c>
      <x:c r="B7" s="70" t="s">
        <x:v>151</x:v>
      </x:c>
      <x:c r="C7" s="71" t="e">
        <x:f>研发项目主表!D21</x:f>
        <x:v>#NAME?</x:v>
      </x:c>
      <x:c r="D7" s="120"/>
      <x:c r="E7" s="120" t="e">
        <x:f>C7+C8+C9-D7</x:f>
        <x:v>#NAME?</x:v>
      </x:c>
      <x:c r="F7" s="121"/>
    </x:row>
    <x:row r="8">
      <x:c r="A8" s="34">
        <x:v>3</x:v>
      </x:c>
      <x:c r="B8" s="70" t="s">
        <x:v>152</x:v>
      </x:c>
      <x:c r="C8" s="71"/>
      <x:c r="D8" s="120"/>
      <x:c r="E8" s="120"/>
      <x:c r="F8" s="122"/>
    </x:row>
    <x:row r="9">
      <x:c r="A9" s="34">
        <x:v>4</x:v>
      </x:c>
      <x:c r="B9" s="70" t="s">
        <x:v>153</x:v>
      </x:c>
      <x:c r="C9" s="71"/>
      <x:c r="D9" s="120"/>
      <x:c r="E9" s="120"/>
      <x:c r="F9" s="123"/>
    </x:row>
    <x:row r="10">
      <x:c r="A10" s="34">
        <x:v>5</x:v>
      </x:c>
      <x:c r="B10" s="70" t="s">
        <x:v>59</x:v>
      </x:c>
      <x:c r="C10" s="71" t="e">
        <x:f>研发项目主表!K21</x:f>
        <x:v>#NAME?</x:v>
      </x:c>
      <x:c r="D10" s="72"/>
      <x:c r="E10" s="72">
        <x:f t="shared" si="0"/>
        <x:v>0</x:v>
      </x:c>
      <x:c r="F10" s="34"/>
    </x:row>
    <x:row r="11">
      <x:c r="A11" s="34">
        <x:v>6</x:v>
      </x:c>
      <x:c r="B11" s="70" t="s">
        <x:v>154</x:v>
      </x:c>
      <x:c r="C11" s="71" t="e">
        <x:f>研发项目主表!F21</x:f>
        <x:v>#NAME?</x:v>
      </x:c>
      <x:c r="D11" s="72"/>
      <x:c r="E11" s="72">
        <x:f t="shared" si="0"/>
        <x:v>0</x:v>
      </x:c>
      <x:c r="F11" s="73"/>
      <x:c r="H11" s="23"/>
      <x:c r="I11" s="23"/>
    </x:row>
    <x:row r="12">
      <x:c r="A12" s="34">
        <x:v>7</x:v>
      </x:c>
      <x:c r="B12" s="70" t="s">
        <x:v>64</x:v>
      </x:c>
      <x:c r="C12" s="71" t="e">
        <x:f>研发项目主表!P21</x:f>
        <x:v>#NAME?</x:v>
      </x:c>
      <x:c r="D12" s="72">
        <x:v>0</x:v>
      </x:c>
      <x:c r="E12" s="72">
        <x:f t="shared" si="0"/>
        <x:v>0</x:v>
      </x:c>
      <x:c r="F12" s="73"/>
    </x:row>
    <x:row r="13">
      <x:c r="A13" s="34">
        <x:v>8</x:v>
      </x:c>
      <x:c r="B13" s="70" t="s">
        <x:v>66</x:v>
      </x:c>
      <x:c r="C13" s="71" t="e">
        <x:f>研发项目主表!R21</x:f>
        <x:v>#NAME?</x:v>
      </x:c>
      <x:c r="D13" s="72"/>
      <x:c r="E13" s="72">
        <x:f t="shared" si="0"/>
        <x:v>0</x:v>
      </x:c>
      <x:c r="F13" s="34"/>
      <x:c r="H13" s="23"/>
    </x:row>
    <x:row r="14">
      <x:c r="A14" s="34">
        <x:v>9</x:v>
      </x:c>
      <x:c r="B14" s="70" t="s">
        <x:v>155</x:v>
      </x:c>
      <x:c r="C14" s="71" t="e">
        <x:f>研发项目主表!S21</x:f>
        <x:v>#NAME?</x:v>
      </x:c>
      <x:c r="D14" s="72"/>
      <x:c r="E14" s="72">
        <x:f t="shared" si="0"/>
        <x:v>0</x:v>
      </x:c>
      <x:c r="F14" s="34"/>
    </x:row>
    <x:row r="15">
      <x:c r="A15" s="34">
        <x:v>10</x:v>
      </x:c>
      <x:c r="B15" s="70" t="s">
        <x:v>156</x:v>
      </x:c>
      <x:c r="C15" s="71" t="e">
        <x:f>研发项目主表!O21</x:f>
        <x:v>#NAME?</x:v>
      </x:c>
      <x:c r="D15" s="72"/>
      <x:c r="E15" s="72">
        <x:f t="shared" si="0"/>
        <x:v>0</x:v>
      </x:c>
      <x:c r="F15" s="34"/>
    </x:row>
    <x:row r="16">
      <x:c r="A16" s="34">
        <x:v>11</x:v>
      </x:c>
      <x:c r="B16" s="70" t="s">
        <x:v>56</x:v>
      </x:c>
      <x:c r="C16" s="71" t="e">
        <x:f>研发项目主表!H21</x:f>
        <x:v>#NAME?</x:v>
      </x:c>
      <x:c r="D16" s="72"/>
      <x:c r="E16" s="72">
        <x:f t="shared" si="0"/>
        <x:v>0</x:v>
      </x:c>
      <x:c r="F16" s="34"/>
    </x:row>
    <x:row r="17">
      <x:c r="A17" s="34">
        <x:v>12</x:v>
      </x:c>
      <x:c r="B17" s="70" t="s">
        <x:v>72</x:v>
      </x:c>
      <x:c r="C17" s="71" t="e">
        <x:f>研发项目主表!X21</x:f>
        <x:v>#NAME?</x:v>
      </x:c>
      <x:c r="D17" s="72"/>
      <x:c r="E17" s="72">
        <x:f t="shared" si="0"/>
        <x:v>0</x:v>
      </x:c>
      <x:c r="F17" s="34"/>
    </x:row>
    <x:row r="18">
      <x:c r="A18" s="34">
        <x:v>13</x:v>
      </x:c>
      <x:c r="B18" s="70" t="s">
        <x:v>57</x:v>
      </x:c>
      <x:c r="C18" s="71" t="e">
        <x:f>研发项目主表!I21</x:f>
        <x:v>#NAME?</x:v>
      </x:c>
      <x:c r="D18" s="72"/>
      <x:c r="E18" s="72">
        <x:f t="shared" si="0"/>
        <x:v>0</x:v>
      </x:c>
      <x:c r="F18" s="34"/>
    </x:row>
    <x:row r="19">
      <x:c r="A19" s="34">
        <x:v>14</x:v>
      </x:c>
      <x:c r="B19" s="70" t="s">
        <x:v>58</x:v>
      </x:c>
      <x:c r="C19" s="71" t="e">
        <x:f>研发项目主表!J21</x:f>
        <x:v>#NAME?</x:v>
      </x:c>
      <x:c r="D19" s="72"/>
      <x:c r="E19" s="72">
        <x:f t="shared" si="0"/>
        <x:v>0</x:v>
      </x:c>
      <x:c r="F19" s="34"/>
    </x:row>
    <x:row r="20">
      <x:c r="A20" s="34">
        <x:v>15</x:v>
      </x:c>
      <x:c r="B20" s="70" t="s">
        <x:v>53</x:v>
      </x:c>
      <x:c r="C20" s="71" t="e">
        <x:f>研发项目主表!E21</x:f>
        <x:v>#NAME?</x:v>
      </x:c>
      <x:c r="D20" s="72"/>
      <x:c r="E20" s="72">
        <x:f t="shared" si="0"/>
        <x:v>0</x:v>
      </x:c>
      <x:c r="F20" s="34"/>
    </x:row>
    <x:row r="21">
      <x:c r="A21" s="34">
        <x:v>16</x:v>
      </x:c>
      <x:c r="B21" s="70" t="s">
        <x:v>157</x:v>
      </x:c>
      <x:c r="C21" s="71" t="e">
        <x:f>研发项目主表!L21</x:f>
        <x:v>#NAME?</x:v>
      </x:c>
      <x:c r="D21" s="72"/>
      <x:c r="E21" s="72">
        <x:f t="shared" si="0"/>
        <x:v>0</x:v>
      </x:c>
      <x:c r="F21" s="34"/>
    </x:row>
    <x:row r="22">
      <x:c r="A22" s="34">
        <x:v>17</x:v>
      </x:c>
      <x:c r="B22" s="70" t="s">
        <x:v>61</x:v>
      </x:c>
      <x:c r="C22" s="71" t="e">
        <x:f>研发项目主表!M21</x:f>
        <x:v>#NAME?</x:v>
      </x:c>
      <x:c r="D22" s="72"/>
      <x:c r="E22" s="72">
        <x:f t="shared" si="0"/>
        <x:v>0</x:v>
      </x:c>
      <x:c r="F22" s="34"/>
    </x:row>
    <x:row r="23">
      <x:c r="A23" s="34">
        <x:v>18</x:v>
      </x:c>
      <x:c r="B23" s="70" t="s">
        <x:v>158</x:v>
      </x:c>
      <x:c r="C23" s="71" t="e">
        <x:f>研发项目主表!N21</x:f>
        <x:v>#NAME?</x:v>
      </x:c>
      <x:c r="D23" s="72"/>
      <x:c r="E23" s="72">
        <x:f t="shared" si="0"/>
        <x:v>0</x:v>
      </x:c>
      <x:c r="F23" s="34"/>
    </x:row>
    <x:row r="24">
      <x:c r="A24" s="34">
        <x:v>19</x:v>
      </x:c>
      <x:c r="B24" s="70" t="s">
        <x:v>65</x:v>
      </x:c>
      <x:c r="C24" s="71" t="e">
        <x:f>研发项目主表!Q21</x:f>
        <x:v>#NAME?</x:v>
      </x:c>
      <x:c r="D24" s="72"/>
      <x:c r="E24" s="72">
        <x:f t="shared" si="0"/>
        <x:v>0</x:v>
      </x:c>
      <x:c r="F24" s="34"/>
    </x:row>
    <x:row r="25">
      <x:c r="A25" s="34">
        <x:v>20</x:v>
      </x:c>
      <x:c r="B25" s="70" t="s">
        <x:v>68</x:v>
      </x:c>
      <x:c r="C25" s="71" t="e">
        <x:f>研发项目主表!T21</x:f>
        <x:v>#NAME?</x:v>
      </x:c>
      <x:c r="D25" s="72"/>
      <x:c r="E25" s="72">
        <x:f t="shared" si="0"/>
        <x:v>0</x:v>
      </x:c>
      <x:c r="F25" s="34"/>
    </x:row>
    <x:row r="26">
      <x:c r="A26" s="34">
        <x:v>21</x:v>
      </x:c>
      <x:c r="B26" s="70" t="s">
        <x:v>159</x:v>
      </x:c>
      <x:c r="C26" s="71" t="e">
        <x:f>研发项目主表!G21</x:f>
        <x:v>#NAME?</x:v>
      </x:c>
      <x:c r="D26" s="72"/>
      <x:c r="E26" s="72">
        <x:f t="shared" si="0"/>
        <x:v>0</x:v>
      </x:c>
      <x:c r="F26" s="34"/>
    </x:row>
    <x:row r="27">
      <x:c r="A27" s="34">
        <x:v>22</x:v>
      </x:c>
      <x:c r="B27" s="70" t="s">
        <x:v>160</x:v>
      </x:c>
      <x:c r="C27" s="71" t="e">
        <x:f>研发项目主表!U21</x:f>
        <x:v>#NAME?</x:v>
      </x:c>
      <x:c r="D27" s="72"/>
      <x:c r="E27" s="72">
        <x:f t="shared" si="0"/>
        <x:v>0</x:v>
      </x:c>
      <x:c r="F27" s="34"/>
      <x:c r="J27" s="64"/>
      <x:c r="K27"/>
      <x:c r="L27" s="68"/>
    </x:row>
    <x:row r="28">
      <x:c r="A28" s="34">
        <x:v>23</x:v>
      </x:c>
      <x:c r="B28" s="70" t="s">
        <x:v>71</x:v>
      </x:c>
      <x:c r="C28" s="71" t="e">
        <x:f>研发项目主表!W21</x:f>
        <x:v>#NAME?</x:v>
      </x:c>
      <x:c r="D28" s="72"/>
      <x:c r="E28" s="72">
        <x:f t="shared" si="0"/>
        <x:v>0</x:v>
      </x:c>
      <x:c r="F28" s="34"/>
      <x:c r="J28" s="64"/>
      <x:c r="K28"/>
      <x:c r="L28" s="68"/>
    </x:row>
    <x:row r="29">
      <x:c r="A29" s="34"/>
      <x:c r="B29" s="70"/>
      <x:c r="C29" s="72"/>
      <x:c r="D29" s="72"/>
      <x:c r="E29" s="72"/>
      <x:c r="F29" s="34"/>
    </x:row>
    <x:row r="30">
      <x:c r="A30" s="34"/>
      <x:c r="B30" s="70"/>
      <x:c r="C30" s="72"/>
      <x:c r="D30" s="72"/>
      <x:c r="E30" s="72"/>
      <x:c r="F30" s="34"/>
    </x:row>
    <x:row r="31">
      <x:c r="A31" s="34"/>
      <x:c r="B31" s="70"/>
      <x:c r="C31" s="72"/>
      <x:c r="D31" s="72"/>
      <x:c r="E31" s="72"/>
      <x:c r="F31" s="34"/>
    </x:row>
    <x:row r="32">
      <x:c r="A32" s="34"/>
      <x:c r="B32" s="37"/>
      <x:c r="C32" s="72"/>
      <x:c r="D32" s="72"/>
      <x:c r="E32" s="72"/>
      <x:c r="F32" s="34"/>
    </x:row>
    <x:row r="33">
      <x:c r="A33" s="115" t="s">
        <x:v>161</x:v>
      </x:c>
      <x:c r="B33" s="116"/>
      <x:c r="C33" s="74" t="e">
        <x:f>SUM(C6:C32)</x:f>
        <x:v>#NAME?</x:v>
      </x:c>
      <x:c r="D33" s="74" t="n">
        <x:f>SUM(D6:D32)</x:f>
        <x:v>0</x:v>
      </x:c>
      <x:c r="E33" s="74" t="e">
        <x:f>SUM(E6:E32)</x:f>
        <x:v>#NAME?</x:v>
      </x:c>
      <x:c r="F33" s="74"/>
    </x:row>
    <x:row r="34">
      <x:c r="A34" s="32"/>
      <x:c r="B34" s="1" t="s">
        <x:v>162</x:v>
      </x:c>
      <x:c r="C34" s="75"/>
      <x:c r="D34" s="75"/>
      <x:c r="E34" s="75"/>
      <x:c r="F34" s="76"/>
    </x:row>
  </x:sheetData>
  <x:mergeCells>
    <x:mergeCell ref="A1:F1"/>
    <x:mergeCell ref="A2:C2"/>
    <x:mergeCell ref="D2:F2"/>
    <x:mergeCell ref="A33:B33"/>
    <x:mergeCell ref="A3:A5"/>
    <x:mergeCell ref="B3:B5"/>
    <x:mergeCell ref="C3:C5"/>
    <x:mergeCell ref="D3:D5"/>
    <x:mergeCell ref="D7:D9"/>
    <x:mergeCell ref="E3:E5"/>
    <x:mergeCell ref="E7:E9"/>
    <x:mergeCell ref="F3:F5"/>
    <x:mergeCell ref="F7:F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ColWidth="9" defaultRowHeight="14"/>
  <x:cols>
    <x:col min="2" max="2" width="19.33203125" customWidth="1"/>
    <x:col min="3" max="3" width="22.33203125" customWidth="1"/>
    <x:col min="4" max="4" width="20.33203125" customWidth="1"/>
    <x:col min="5" max="5" width="13.5" customWidth="1"/>
    <x:col min="6" max="6" width="11" customWidth="1"/>
    <x:col min="7" max="7" width="11.33203125" customWidth="1"/>
    <x:col min="8" max="8" width="13.1640625" customWidth="1"/>
    <x:col min="9" max="9" width="11.5" customWidth="1"/>
    <x:col min="10" max="10" width="12.5" customWidth="1"/>
    <x:col min="11" max="11" width="12.83203125" customWidth="1"/>
    <x:col min="12" max="13" width="10.83203125" customWidth="1"/>
    <x:col min="14" max="14" width="11" customWidth="1"/>
    <x:col min="15" max="15" width="11.1640625" customWidth="1"/>
    <x:col min="16" max="16" width="11" customWidth="1"/>
    <x:col min="17" max="17" width="15.5" customWidth="1"/>
    <x:col min="18" max="29" width="9" hidden="1" customWidth="1"/>
    <x:col min="31" max="31" width="12" hidden="0" customWidth="1"/>
    <x:col min="32" max="32" width="12" hidden="0" customWidth="1"/>
  </x:cols>
  <x:sheetData>
    <x:row r="1" ht="18">
      <x:c r="A1" s="65" t="s">
        <x:v>91</x:v>
      </x:c>
      <x:c r="B1" s="66" t="s">
        <x:v>163</x:v>
      </x:c>
      <x:c r="C1" s="67" t="s">
        <x:v>3</x:v>
      </x:c>
      <x:c r="D1" s="69" t="s">
        <x:v>164</x:v>
      </x:c>
      <x:c r="E1" s="69" t="s">
        <x:v>165</x:v>
      </x:c>
      <x:c r="F1" s="69" t="s">
        <x:v>166</x:v>
      </x:c>
      <x:c r="G1" s="69" t="s">
        <x:v>167</x:v>
      </x:c>
      <x:c r="H1" s="69" t="s">
        <x:v>168</x:v>
      </x:c>
      <x:c r="I1" s="69" t="s">
        <x:v>169</x:v>
      </x:c>
      <x:c r="J1" s="69" t="s">
        <x:v>170</x:v>
      </x:c>
      <x:c r="K1" s="69" t="s">
        <x:v>171</x:v>
      </x:c>
      <x:c r="L1" s="69" t="s">
        <x:v>172</x:v>
      </x:c>
      <x:c r="M1" s="69" t="s">
        <x:v>173</x:v>
      </x:c>
      <x:c r="N1" s="69" t="s">
        <x:v>174</x:v>
      </x:c>
      <x:c r="O1" s="69" t="s">
        <x:v>175</x:v>
      </x:c>
      <x:c r="P1" s="69" t="s">
        <x:v>176</x:v>
      </x:c>
      <x:c r="Q1" s="69" t="s">
        <x:v>177</x:v>
      </x:c>
      <x:c r="R1" s="7" t="s">
        <x:v>178</x:v>
      </x:c>
      <x:c r="S1" s="7" t="s">
        <x:v>179</x:v>
      </x:c>
      <x:c r="T1" s="7" t="s">
        <x:v>180</x:v>
      </x:c>
      <x:c r="U1" s="7" t="s">
        <x:v>181</x:v>
      </x:c>
      <x:c r="V1" s="7" t="s">
        <x:v>182</x:v>
      </x:c>
      <x:c r="W1" s="7" t="s">
        <x:v>183</x:v>
      </x:c>
      <x:c r="X1" s="7" t="s">
        <x:v>184</x:v>
      </x:c>
      <x:c r="Y1" s="7" t="s">
        <x:v>185</x:v>
      </x:c>
      <x:c r="Z1" s="7" t="s">
        <x:v>186</x:v>
      </x:c>
      <x:c r="AA1" s="7" t="s">
        <x:v>187</x:v>
      </x:c>
      <x:c r="AB1" s="7" t="s">
        <x:v>188</x:v>
      </x:c>
      <x:c r="AC1" s="7" t="s">
        <x:v>187</x:v>
      </x:c>
      <x:c r="AD1" s="7" t="s">
        <x:v>189</x:v>
      </x:c>
      <x:c r="AE1" t="str">
        <x:v>RD工时</x:v>
      </x:c>
      <x:c r="AF1" t="str">
        <x:v>公摊RD工时</x:v>
      </x:c>
    </x:row>
    <x:row r="2" ht="18">
      <x:c r="A2" s="57" t="s">
        <x:v>190</x:v>
      </x:c>
      <x:c r="B2" s="58" t="s">
        <x:v>191</x:v>
      </x:c>
      <x:c r="C2" s="58"/>
      <x:c r="D2" s="7" t="s">
        <x:v>75</x:v>
      </x:c>
      <x:c r="E2" s="7" t="s">
        <x:v>76</x:v>
      </x:c>
      <x:c r="F2" s="7" t="s">
        <x:v>77</x:v>
      </x:c>
      <x:c r="G2" s="7" t="s">
        <x:v>78</x:v>
      </x:c>
      <x:c r="H2" s="7" t="s">
        <x:v>79</x:v>
      </x:c>
      <x:c r="I2" s="7" t="s">
        <x:v>80</x:v>
      </x:c>
      <x:c r="J2" s="7" t="s">
        <x:v>81</x:v>
      </x:c>
      <x:c r="K2" s="7" t="s">
        <x:v>82</x:v>
      </x:c>
      <x:c r="L2" s="7" t="s">
        <x:v>83</x:v>
      </x:c>
      <x:c r="M2" s="7" t="s">
        <x:v>84</x:v>
      </x:c>
      <x:c r="N2" s="7" t="s">
        <x:v>192</x:v>
      </x:c>
      <x:c r="O2" s="7" t="s">
        <x:v>86</x:v>
      </x:c>
      <x:c r="P2" s="7" t="s">
        <x:v>87</x:v>
      </x:c>
      <x:c r="Q2" s="7" t="s">
        <x:v>193</x:v>
      </x:c>
      <x:c r="R2" s="7" t="s">
        <x:v>194</x:v>
      </x:c>
      <x:c r="S2" s="7" t="s">
        <x:v>195</x:v>
      </x:c>
      <x:c r="T2" s="7" t="s">
        <x:v>196</x:v>
      </x:c>
      <x:c r="U2" s="7" t="s">
        <x:v>197</x:v>
      </x:c>
      <x:c r="V2" s="7" t="s">
        <x:v>198</x:v>
      </x:c>
      <x:c r="W2" s="7" t="s">
        <x:v>199</x:v>
      </x:c>
      <x:c r="X2" s="7" t="s">
        <x:v>200</x:v>
      </x:c>
      <x:c r="Y2" s="7" t="s">
        <x:v>201</x:v>
      </x:c>
      <x:c r="Z2" s="7" t="s">
        <x:v>202</x:v>
      </x:c>
      <x:c r="AA2" s="7" t="s">
        <x:v>203</x:v>
      </x:c>
      <x:c r="AB2" s="7" t="s">
        <x:v>204</x:v>
      </x:c>
      <x:c r="AC2" s="7" t="s">
        <x:v>205</x:v>
      </x:c>
      <x:c r="AD2" s="7"/>
      <x:c r="AE2"/>
      <x:c r="AF2"/>
    </x:row>
    <x:row r="3" ht="18">
      <x:c r="A3" s="57" t="s">
        <x:v>206</x:v>
      </x:c>
      <x:c r="B3" s="59" t="s">
        <x:v>207</x:v>
      </x:c>
      <x:c r="C3" s="59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  <x:c r="AC3" s="7"/>
      <x:c r="AD3" s="7"/>
      <x:c r="AE3"/>
      <x:c r="AF3"/>
    </x:row>
    <x:row r="4" ht="18">
      <x:c r="A4" s="57" t="s">
        <x:v>208</x:v>
      </x:c>
      <x:c r="B4" s="58" t="s">
        <x:v>209</x:v>
      </x:c>
      <x:c r="C4" s="58"/>
      <x:c r="D4" s="7"/>
      <x:c r="E4" s="7"/>
      <x:c r="F4" s="7"/>
      <x:c r="G4" s="7"/>
      <x:c r="H4" s="7"/>
      <x:c r="I4" s="7"/>
      <x:c r="J4" s="7"/>
      <x:c r="K4" s="7"/>
      <x:c r="L4" s="7"/>
      <x:c r="M4" s="7"/>
      <x:c r="N4" s="7"/>
      <x:c r="O4" s="7"/>
      <x:c r="P4" s="7"/>
      <x:c r="Q4" s="7"/>
      <x:c r="R4" s="7"/>
      <x:c r="S4" s="7"/>
      <x:c r="T4" s="7"/>
      <x:c r="U4" s="7"/>
      <x:c r="V4" s="7"/>
      <x:c r="W4" s="7"/>
      <x:c r="X4" s="7"/>
      <x:c r="Y4" s="7"/>
      <x:c r="Z4" s="7"/>
      <x:c r="AA4" s="7"/>
      <x:c r="AB4" s="7"/>
      <x:c r="AC4" s="7"/>
      <x:c r="AD4" s="7"/>
      <x:c r="AE4"/>
      <x:c r="AF4"/>
    </x:row>
    <x:row r="5" ht="18">
      <x:c r="A5" s="57" t="s">
        <x:v>210</x:v>
      </x:c>
      <x:c r="B5" s="58" t="s">
        <x:v>211</x:v>
      </x:c>
      <x:c r="C5" s="58"/>
      <x:c r="D5" s="7"/>
      <x:c r="E5" s="7"/>
      <x:c r="F5" s="7"/>
      <x:c r="G5" s="7"/>
      <x:c r="H5" s="7"/>
      <x:c r="I5" s="7"/>
      <x:c r="J5" s="7"/>
      <x:c r="K5" s="7"/>
      <x:c r="L5" s="7"/>
      <x:c r="M5" s="7"/>
      <x:c r="N5" s="7"/>
      <x:c r="O5" s="7"/>
      <x:c r="P5" s="7"/>
      <x:c r="Q5" s="7"/>
      <x:c r="R5" s="7"/>
      <x:c r="S5" s="7"/>
      <x:c r="T5" s="7"/>
      <x:c r="U5" s="7"/>
      <x:c r="V5" s="7"/>
      <x:c r="W5" s="7"/>
      <x:c r="X5" s="7"/>
      <x:c r="Y5" s="7"/>
      <x:c r="Z5" s="7"/>
      <x:c r="AA5" s="7"/>
      <x:c r="AB5" s="7"/>
      <x:c r="AC5" s="7"/>
      <x:c r="AD5" s="7"/>
      <x:c r="AE5"/>
      <x:c r="AF5"/>
    </x:row>
    <x:row r="6" ht="18">
      <x:c r="A6" s="57" t="s">
        <x:v>212</x:v>
      </x:c>
      <x:c r="B6" s="58" t="s">
        <x:v>213</x:v>
      </x:c>
      <x:c r="C6" s="58"/>
      <x:c r="D6" s="7"/>
      <x:c r="E6" s="7"/>
      <x:c r="F6" s="7"/>
      <x:c r="G6" s="7"/>
      <x:c r="H6" s="7"/>
      <x:c r="I6" s="7"/>
      <x:c r="J6" s="7"/>
      <x:c r="K6" s="7"/>
      <x:c r="L6" s="7"/>
      <x:c r="M6" s="7"/>
      <x:c r="N6" s="7"/>
      <x:c r="O6" s="7"/>
      <x:c r="P6" s="7"/>
      <x:c r="Q6" s="7"/>
      <x:c r="R6" s="7"/>
      <x:c r="S6" s="7"/>
      <x:c r="T6" s="7"/>
      <x:c r="U6" s="7"/>
      <x:c r="V6" s="7"/>
      <x:c r="W6" s="7"/>
      <x:c r="X6" s="7"/>
      <x:c r="Y6" s="7"/>
      <x:c r="Z6" s="7"/>
      <x:c r="AA6" s="7"/>
      <x:c r="AB6" s="7"/>
      <x:c r="AC6" s="7"/>
      <x:c r="AD6" s="7"/>
      <x:c r="AE6"/>
      <x:c r="AF6"/>
    </x:row>
    <x:row r="7" ht="18">
      <x:c r="A7" s="57" t="s">
        <x:v>214</x:v>
      </x:c>
      <x:c r="B7" s="60" t="s">
        <x:v>215</x:v>
      </x:c>
      <x:c r="C7" s="60"/>
      <x:c r="D7" s="7"/>
      <x:c r="E7" s="7"/>
      <x:c r="F7" s="7"/>
      <x:c r="G7" s="7"/>
      <x:c r="H7" s="7"/>
      <x:c r="I7" s="7"/>
      <x:c r="J7" s="7"/>
      <x:c r="K7" s="7"/>
      <x:c r="L7" s="7"/>
      <x:c r="M7" s="7"/>
      <x:c r="N7" s="7"/>
      <x:c r="O7" s="7"/>
      <x:c r="P7" s="7"/>
      <x:c r="Q7" s="7"/>
      <x:c r="R7" s="7"/>
      <x:c r="S7" s="7"/>
      <x:c r="T7" s="7"/>
      <x:c r="U7" s="7"/>
      <x:c r="V7" s="7"/>
      <x:c r="W7" s="7"/>
      <x:c r="X7" s="7"/>
      <x:c r="Y7" s="7"/>
      <x:c r="Z7" s="7"/>
      <x:c r="AA7" s="7"/>
      <x:c r="AB7" s="7"/>
      <x:c r="AC7" s="7"/>
      <x:c r="AD7" s="7"/>
      <x:c r="AE7"/>
      <x:c r="AF7"/>
    </x:row>
    <x:row r="8" ht="18">
      <x:c r="A8" s="57" t="s">
        <x:v>216</x:v>
      </x:c>
      <x:c r="B8" s="58" t="s">
        <x:v>217</x:v>
      </x:c>
      <x:c r="C8" s="58"/>
      <x:c r="D8" s="7"/>
      <x:c r="E8" s="7"/>
      <x:c r="F8" s="7"/>
      <x:c r="G8" s="7"/>
      <x:c r="H8" s="7"/>
      <x:c r="I8" s="7"/>
      <x:c r="J8" s="7"/>
      <x:c r="K8" s="7"/>
      <x:c r="L8" s="7"/>
      <x:c r="M8" s="7"/>
      <x:c r="N8" s="7"/>
      <x:c r="O8" s="7"/>
      <x:c r="P8" s="7"/>
      <x:c r="Q8" s="7"/>
      <x:c r="R8" s="7"/>
      <x:c r="S8" s="7"/>
      <x:c r="T8" s="7"/>
      <x:c r="U8" s="7"/>
      <x:c r="V8" s="7"/>
      <x:c r="W8" s="7"/>
      <x:c r="X8" s="7"/>
      <x:c r="Y8" s="7"/>
      <x:c r="Z8" s="7"/>
      <x:c r="AA8" s="7"/>
      <x:c r="AB8" s="7"/>
      <x:c r="AC8" s="7"/>
      <x:c r="AD8" s="7"/>
      <x:c r="AE8"/>
      <x:c r="AF8"/>
    </x:row>
    <x:row r="9" ht="18">
      <x:c r="A9" s="57" t="s">
        <x:v>218</x:v>
      </x:c>
      <x:c r="B9" s="61" t="s">
        <x:v>219</x:v>
      </x:c>
      <x:c r="C9" s="61"/>
      <x:c r="D9" s="7"/>
      <x:c r="E9" s="7"/>
      <x:c r="F9" s="7"/>
      <x:c r="G9" s="7"/>
      <x:c r="H9" s="7"/>
      <x:c r="I9" s="7"/>
      <x:c r="J9" s="7"/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  <x:c r="Y9" s="7"/>
      <x:c r="Z9" s="7"/>
      <x:c r="AA9" s="7"/>
      <x:c r="AB9" s="7"/>
      <x:c r="AC9" s="7"/>
      <x:c r="AD9" s="7"/>
      <x:c r="AE9"/>
      <x:c r="AF9"/>
    </x:row>
    <x:row r="10" ht="18">
      <x:c r="A10" s="57" t="s">
        <x:v>220</x:v>
      </x:c>
      <x:c r="B10" s="58" t="s">
        <x:v>221</x:v>
      </x:c>
      <x:c r="C10" s="58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  <x:c r="Y10" s="7"/>
      <x:c r="Z10" s="7"/>
      <x:c r="AA10" s="7"/>
      <x:c r="AB10" s="7"/>
      <x:c r="AC10" s="7"/>
      <x:c r="AD10" s="7"/>
      <x:c r="AE10"/>
      <x:c r="AF10"/>
    </x:row>
    <x:row r="11" ht="18">
      <x:c r="A11" s="57" t="s">
        <x:v>222</x:v>
      </x:c>
      <x:c r="B11" s="58" t="s">
        <x:v>223</x:v>
      </x:c>
      <x:c r="C11" s="58"/>
      <x:c r="D11" s="7"/>
      <x:c r="E11" s="7"/>
      <x:c r="F11" s="7"/>
      <x:c r="G11" s="7"/>
      <x:c r="H11" s="7"/>
      <x:c r="I11" s="7"/>
      <x:c r="J11" s="7"/>
      <x:c r="K11" s="7"/>
      <x:c r="L11" s="7"/>
      <x:c r="M11" s="7"/>
      <x:c r="N11" s="7"/>
      <x:c r="O11" s="7"/>
      <x:c r="P11" s="7"/>
      <x:c r="Q11" s="7"/>
      <x:c r="R11" s="7"/>
      <x:c r="S11" s="7"/>
      <x:c r="T11" s="7"/>
      <x:c r="U11" s="7"/>
      <x:c r="V11" s="7"/>
      <x:c r="W11" s="7"/>
      <x:c r="X11" s="7"/>
      <x:c r="Y11" s="7"/>
      <x:c r="Z11" s="7"/>
      <x:c r="AA11" s="7"/>
      <x:c r="AB11" s="7"/>
      <x:c r="AC11" s="7"/>
      <x:c r="AD11" s="7"/>
      <x:c r="AE11"/>
      <x:c r="AF11"/>
    </x:row>
    <x:row r="12" ht="18">
      <x:c r="A12" s="57" t="s">
        <x:v>224</x:v>
      </x:c>
      <x:c r="B12" s="59" t="s">
        <x:v>225</x:v>
      </x:c>
      <x:c r="C12" s="59"/>
      <x:c r="D12" s="7"/>
      <x:c r="E12" s="7"/>
      <x:c r="F12" s="7"/>
      <x:c r="G12" s="7"/>
      <x:c r="H12" s="7"/>
      <x:c r="I12" s="7"/>
      <x:c r="J12" s="7"/>
      <x:c r="K12" s="7"/>
      <x:c r="L12" s="7"/>
      <x:c r="M12" s="7"/>
      <x:c r="N12" s="7"/>
      <x:c r="O12" s="7"/>
      <x:c r="P12" s="7"/>
      <x:c r="Q12" s="7"/>
      <x:c r="R12" s="7"/>
      <x:c r="S12" s="7"/>
      <x:c r="T12" s="7"/>
      <x:c r="U12" s="7"/>
      <x:c r="V12" s="7"/>
      <x:c r="W12" s="7"/>
      <x:c r="X12" s="7"/>
      <x:c r="Y12" s="7"/>
      <x:c r="Z12" s="7"/>
      <x:c r="AA12" s="7"/>
      <x:c r="AB12" s="7"/>
      <x:c r="AC12" s="7"/>
      <x:c r="AD12" s="7"/>
      <x:c r="AE12"/>
      <x:c r="AF12"/>
    </x:row>
    <x:row r="13" ht="18">
      <x:c r="A13" s="57" t="s">
        <x:v>226</x:v>
      </x:c>
      <x:c r="B13" s="59" t="s">
        <x:v>227</x:v>
      </x:c>
      <x:c r="C13" s="59"/>
      <x:c r="D13" s="7"/>
      <x:c r="E13" s="7"/>
      <x:c r="F13" s="7"/>
      <x:c r="G13" s="7"/>
      <x:c r="H13" s="7"/>
      <x:c r="I13" s="7"/>
      <x:c r="J13" s="7"/>
      <x:c r="K13" s="7"/>
      <x:c r="L13" s="7"/>
      <x:c r="M13" s="7"/>
      <x:c r="N13" s="7"/>
      <x:c r="O13" s="7"/>
      <x:c r="P13" s="7"/>
      <x:c r="Q13" s="7"/>
      <x:c r="R13" s="7"/>
      <x:c r="S13" s="7"/>
      <x:c r="T13" s="7"/>
      <x:c r="U13" s="7"/>
      <x:c r="V13" s="7"/>
      <x:c r="W13" s="7"/>
      <x:c r="X13" s="7"/>
      <x:c r="Y13" s="7"/>
      <x:c r="Z13" s="7"/>
      <x:c r="AA13" s="7"/>
      <x:c r="AB13" s="7"/>
      <x:c r="AC13" s="7"/>
      <x:c r="AD13" s="7"/>
      <x:c r="AE13"/>
      <x:c r="AF13"/>
    </x:row>
    <x:row r="14" ht="18">
      <x:c r="A14" s="57" t="s">
        <x:v>228</x:v>
      </x:c>
      <x:c r="B14" s="59" t="s">
        <x:v>229</x:v>
      </x:c>
      <x:c r="C14" s="59"/>
      <x:c r="D14" s="7"/>
      <x:c r="E14" s="7"/>
      <x:c r="F14" s="7"/>
      <x:c r="G14" s="7"/>
      <x:c r="H14" s="7"/>
      <x:c r="I14" s="7"/>
      <x:c r="J14" s="7"/>
      <x:c r="K14" s="7"/>
      <x:c r="L14" s="7"/>
      <x:c r="M14" s="7"/>
      <x:c r="N14" s="7"/>
      <x:c r="O14" s="7"/>
      <x:c r="P14" s="7"/>
      <x:c r="Q14" s="7"/>
      <x:c r="R14" s="7"/>
      <x:c r="S14" s="7"/>
      <x:c r="T14" s="7"/>
      <x:c r="U14" s="7"/>
      <x:c r="V14" s="7"/>
      <x:c r="W14" s="7"/>
      <x:c r="X14" s="7"/>
      <x:c r="Y14" s="7"/>
      <x:c r="Z14" s="7"/>
      <x:c r="AA14" s="7"/>
      <x:c r="AB14" s="7"/>
      <x:c r="AC14" s="7"/>
      <x:c r="AD14" s="7"/>
      <x:c r="AE14"/>
      <x:c r="AF14"/>
    </x:row>
    <x:row r="15" ht="18">
      <x:c r="A15" s="57" t="s">
        <x:v>230</x:v>
      </x:c>
      <x:c r="B15" s="59" t="s">
        <x:v>231</x:v>
      </x:c>
      <x:c r="C15" s="59"/>
      <x:c r="D15" s="7"/>
      <x:c r="E15" s="7"/>
      <x:c r="F15" s="7"/>
      <x:c r="G15" s="7"/>
      <x:c r="H15" s="7"/>
      <x:c r="I15" s="7"/>
      <x:c r="J15" s="7"/>
      <x:c r="K15" s="7"/>
      <x:c r="L15" s="7"/>
      <x:c r="M15" s="7"/>
      <x:c r="N15" s="7"/>
      <x:c r="O15" s="7"/>
      <x:c r="P15" s="7"/>
      <x:c r="Q15" s="7"/>
      <x:c r="R15" s="7"/>
      <x:c r="S15" s="7"/>
      <x:c r="T15" s="7"/>
      <x:c r="U15" s="7"/>
      <x:c r="V15" s="7"/>
      <x:c r="W15" s="7"/>
      <x:c r="X15" s="7"/>
      <x:c r="Y15" s="7"/>
      <x:c r="Z15" s="7"/>
      <x:c r="AA15" s="7"/>
      <x:c r="AB15" s="7"/>
      <x:c r="AC15" s="7"/>
      <x:c r="AD15" s="7"/>
      <x:c r="AE15"/>
      <x:c r="AF15"/>
    </x:row>
    <x:row r="16" ht="18">
      <x:c r="A16" s="57" t="s">
        <x:v>232</x:v>
      </x:c>
      <x:c r="B16" s="59" t="s">
        <x:v>233</x:v>
      </x:c>
      <x:c r="C16" s="59"/>
      <x:c r="D16" s="7"/>
      <x:c r="E16" s="7"/>
      <x:c r="F16" s="7"/>
      <x:c r="G16" s="7"/>
      <x:c r="H16" s="7"/>
      <x:c r="I16" s="7"/>
      <x:c r="J16" s="7"/>
      <x:c r="K16" s="7"/>
      <x:c r="L16" s="7"/>
      <x:c r="M16" s="7"/>
      <x:c r="N16" s="7"/>
      <x:c r="O16" s="7"/>
      <x:c r="P16" s="7"/>
      <x:c r="Q16" s="7"/>
      <x:c r="R16" s="7"/>
      <x:c r="S16" s="7"/>
      <x:c r="T16" s="7"/>
      <x:c r="U16" s="7"/>
      <x:c r="V16" s="7"/>
      <x:c r="W16" s="7"/>
      <x:c r="X16" s="7"/>
      <x:c r="Y16" s="7"/>
      <x:c r="Z16" s="7"/>
      <x:c r="AA16" s="7"/>
      <x:c r="AB16" s="7"/>
      <x:c r="AC16" s="7"/>
      <x:c r="AD16" s="7"/>
      <x:c r="AE16"/>
      <x:c r="AF16"/>
    </x:row>
    <x:row r="17" ht="18">
      <x:c r="A17" s="57" t="s">
        <x:v>234</x:v>
      </x:c>
      <x:c r="B17" s="59" t="s">
        <x:v>235</x:v>
      </x:c>
      <x:c r="C17" s="59"/>
      <x:c r="D17" s="7"/>
      <x:c r="E17" s="7"/>
      <x:c r="F17" s="7"/>
      <x:c r="G17" s="7"/>
      <x:c r="H17" s="7"/>
      <x:c r="I17" s="7"/>
      <x:c r="J17" s="7"/>
      <x:c r="K17" s="7"/>
      <x:c r="L17" s="7"/>
      <x:c r="M17" s="7"/>
      <x:c r="N17" s="7"/>
      <x:c r="O17" s="7"/>
      <x:c r="P17" s="7"/>
      <x:c r="Q17" s="7"/>
      <x:c r="R17" s="7"/>
      <x:c r="S17" s="7"/>
      <x:c r="T17" s="7"/>
      <x:c r="U17" s="7"/>
      <x:c r="V17" s="7"/>
      <x:c r="W17" s="7"/>
      <x:c r="X17" s="7"/>
      <x:c r="Y17" s="7"/>
      <x:c r="Z17" s="7"/>
      <x:c r="AA17" s="7"/>
      <x:c r="AB17" s="7"/>
      <x:c r="AC17" s="7"/>
      <x:c r="AD17" s="7"/>
      <x:c r="AE17"/>
      <x:c r="AF17"/>
    </x:row>
    <x:row r="18" ht="18">
      <x:c r="A18" s="57" t="s">
        <x:v>236</x:v>
      </x:c>
      <x:c r="B18" s="59" t="s">
        <x:v>237</x:v>
      </x:c>
      <x:c r="C18" s="59"/>
      <x:c r="D18" s="7"/>
      <x:c r="E18" s="7"/>
      <x:c r="F18" s="7"/>
      <x:c r="G18" s="7"/>
      <x:c r="H18" s="7"/>
      <x:c r="I18" s="7"/>
      <x:c r="J18" s="7"/>
      <x:c r="K18" s="7"/>
      <x:c r="L18" s="7"/>
      <x:c r="M18" s="7"/>
      <x:c r="N18" s="7"/>
      <x:c r="O18" s="7"/>
      <x:c r="P18" s="7"/>
      <x:c r="Q18" s="7"/>
      <x:c r="R18" s="7"/>
      <x:c r="S18" s="7"/>
      <x:c r="T18" s="7"/>
      <x:c r="U18" s="7"/>
      <x:c r="V18" s="7"/>
      <x:c r="W18" s="7"/>
      <x:c r="X18" s="7"/>
      <x:c r="Y18" s="7"/>
      <x:c r="Z18" s="7"/>
      <x:c r="AA18" s="7"/>
      <x:c r="AB18" s="7"/>
      <x:c r="AC18" s="7"/>
      <x:c r="AD18" s="7"/>
      <x:c r="AE18"/>
      <x:c r="AF18"/>
    </x:row>
    <x:row r="19" ht="18">
      <x:c r="A19" s="57" t="s">
        <x:v>238</x:v>
      </x:c>
      <x:c r="B19" s="59" t="s">
        <x:v>239</x:v>
      </x:c>
      <x:c r="C19" s="59"/>
      <x:c r="D19" s="7"/>
      <x:c r="E19" s="7"/>
      <x:c r="F19" s="7"/>
      <x:c r="G19" s="7"/>
      <x:c r="H19" s="7"/>
      <x:c r="I19" s="7"/>
      <x:c r="J19" s="7"/>
      <x:c r="K19" s="7"/>
      <x:c r="L19" s="7"/>
      <x:c r="M19" s="7"/>
      <x:c r="N19" s="7"/>
      <x:c r="O19" s="7"/>
      <x:c r="P19" s="7"/>
      <x:c r="Q19" s="7"/>
      <x:c r="R19" s="7"/>
      <x:c r="S19" s="7"/>
      <x:c r="T19" s="7"/>
      <x:c r="U19" s="7"/>
      <x:c r="V19" s="7"/>
      <x:c r="W19" s="7"/>
      <x:c r="X19" s="7"/>
      <x:c r="Y19" s="7"/>
      <x:c r="Z19" s="7"/>
      <x:c r="AA19" s="7"/>
      <x:c r="AB19" s="7"/>
      <x:c r="AC19" s="7"/>
      <x:c r="AD19" s="7"/>
      <x:c r="AE19"/>
      <x:c r="AF19"/>
    </x:row>
    <x:row r="20" ht="18">
      <x:c r="A20" s="57" t="s">
        <x:v>240</x:v>
      </x:c>
      <x:c r="B20" s="59" t="s">
        <x:v>241</x:v>
      </x:c>
      <x:c r="C20" s="59"/>
      <x:c r="D20" s="7"/>
      <x:c r="E20" s="7"/>
      <x:c r="F20" s="7"/>
      <x:c r="G20" s="7"/>
      <x:c r="H20" s="7"/>
      <x:c r="I20" s="7"/>
      <x:c r="J20" s="7"/>
      <x:c r="K20" s="7"/>
      <x:c r="L20" s="7"/>
      <x:c r="M20" s="7"/>
      <x:c r="N20" s="7"/>
      <x:c r="O20" s="7"/>
      <x:c r="P20" s="7"/>
      <x:c r="Q20" s="7"/>
      <x:c r="R20" s="7"/>
      <x:c r="S20" s="7"/>
      <x:c r="T20" s="7"/>
      <x:c r="U20" s="7"/>
      <x:c r="V20" s="7"/>
      <x:c r="W20" s="7"/>
      <x:c r="X20" s="7"/>
      <x:c r="Y20" s="7"/>
      <x:c r="Z20" s="7"/>
      <x:c r="AA20" s="7"/>
      <x:c r="AB20" s="7"/>
      <x:c r="AC20" s="7"/>
      <x:c r="AD20" s="7"/>
      <x:c r="AE20"/>
      <x:c r="AF20"/>
    </x:row>
    <x:row r="21" ht="18">
      <x:c r="A21" s="57" t="s">
        <x:v>242</x:v>
      </x:c>
      <x:c r="B21" s="59" t="s">
        <x:v>243</x:v>
      </x:c>
      <x:c r="C21" s="59"/>
      <x:c r="D21" s="7"/>
      <x:c r="E21" s="7"/>
      <x:c r="F21" s="7"/>
      <x:c r="G21" s="7"/>
      <x:c r="H21" s="7"/>
      <x:c r="I21" s="7"/>
      <x:c r="J21" s="7"/>
      <x:c r="K21" s="7"/>
      <x:c r="L21" s="7"/>
      <x:c r="M21" s="7"/>
      <x:c r="N21" s="7"/>
      <x:c r="O21" s="7"/>
      <x:c r="P21" s="7"/>
      <x:c r="Q21" s="7"/>
      <x:c r="R21" s="7"/>
      <x:c r="S21" s="7"/>
      <x:c r="T21" s="7"/>
      <x:c r="U21" s="7"/>
      <x:c r="V21" s="7"/>
      <x:c r="W21" s="7"/>
      <x:c r="X21" s="7"/>
      <x:c r="Y21" s="7"/>
      <x:c r="Z21" s="7"/>
      <x:c r="AA21" s="7"/>
      <x:c r="AB21" s="7"/>
      <x:c r="AC21" s="7"/>
      <x:c r="AD21" s="7"/>
      <x:c r="AE21"/>
      <x:c r="AF21"/>
    </x:row>
    <x:row r="22" ht="18">
      <x:c r="A22" s="57" t="s">
        <x:v>244</x:v>
      </x:c>
      <x:c r="B22" s="59" t="s">
        <x:v>245</x:v>
      </x:c>
      <x:c r="C22" s="59"/>
      <x:c r="D22" s="7"/>
      <x:c r="E22" s="7"/>
      <x:c r="F22" s="7"/>
      <x:c r="G22" s="7"/>
      <x:c r="H22" s="7"/>
      <x:c r="I22" s="7"/>
      <x:c r="J22" s="7"/>
      <x:c r="K22" s="7"/>
      <x:c r="L22" s="7"/>
      <x:c r="M22" s="7"/>
      <x:c r="N22" s="7"/>
      <x:c r="O22" s="7"/>
      <x:c r="P22" s="7"/>
      <x:c r="Q22" s="7"/>
      <x:c r="R22" s="7"/>
      <x:c r="S22" s="7"/>
      <x:c r="T22" s="7"/>
      <x:c r="U22" s="7"/>
      <x:c r="V22" s="7"/>
      <x:c r="W22" s="7"/>
      <x:c r="X22" s="7"/>
      <x:c r="Y22" s="7"/>
      <x:c r="Z22" s="7"/>
      <x:c r="AA22" s="7"/>
      <x:c r="AB22" s="7"/>
      <x:c r="AC22" s="7"/>
      <x:c r="AD22" s="7"/>
      <x:c r="AE22"/>
      <x:c r="AF22"/>
    </x:row>
    <x:row r="23" ht="18">
      <x:c r="A23" s="57" t="s">
        <x:v>246</x:v>
      </x:c>
      <x:c r="B23" s="59" t="s">
        <x:v>247</x:v>
      </x:c>
      <x:c r="C23" s="59"/>
      <x:c r="D23" s="7"/>
      <x:c r="E23" s="7"/>
      <x:c r="F23" s="7"/>
      <x:c r="G23" s="7"/>
      <x:c r="H23" s="7"/>
      <x:c r="I23" s="7"/>
      <x:c r="J23" s="7"/>
      <x:c r="K23" s="7"/>
      <x:c r="L23" s="7"/>
      <x:c r="M23" s="7"/>
      <x:c r="N23" s="7"/>
      <x:c r="O23" s="7"/>
      <x:c r="P23" s="7"/>
      <x:c r="Q23" s="7"/>
      <x:c r="R23" s="7"/>
      <x:c r="S23" s="7"/>
      <x:c r="T23" s="7"/>
      <x:c r="U23" s="7"/>
      <x:c r="V23" s="7"/>
      <x:c r="W23" s="7"/>
      <x:c r="X23" s="7"/>
      <x:c r="Y23" s="7"/>
      <x:c r="Z23" s="7"/>
      <x:c r="AA23" s="7"/>
      <x:c r="AB23" s="7"/>
      <x:c r="AC23" s="7"/>
      <x:c r="AD23" s="7"/>
      <x:c r="AE23"/>
      <x:c r="AF23"/>
    </x:row>
    <x:row r="24" ht="18">
      <x:c r="A24" s="57" t="s">
        <x:v>248</x:v>
      </x:c>
      <x:c r="B24" s="59" t="s">
        <x:v>249</x:v>
      </x:c>
      <x:c r="C24" s="59"/>
      <x:c r="D24" s="7"/>
      <x:c r="E24" s="7"/>
      <x:c r="F24" s="7"/>
      <x:c r="G24" s="7"/>
      <x:c r="H24" s="7"/>
      <x:c r="I24" s="7"/>
      <x:c r="J24" s="7"/>
      <x:c r="K24" s="7"/>
      <x:c r="L24" s="7"/>
      <x:c r="M24" s="7"/>
      <x:c r="N24" s="7"/>
      <x:c r="O24" s="7"/>
      <x:c r="P24" s="7"/>
      <x:c r="Q24" s="7"/>
      <x:c r="R24" s="7"/>
      <x:c r="S24" s="7"/>
      <x:c r="T24" s="7"/>
      <x:c r="U24" s="7"/>
      <x:c r="V24" s="7"/>
      <x:c r="W24" s="7"/>
      <x:c r="X24" s="7"/>
      <x:c r="Y24" s="7"/>
      <x:c r="Z24" s="7"/>
      <x:c r="AA24" s="7"/>
      <x:c r="AB24" s="7"/>
      <x:c r="AC24" s="7"/>
      <x:c r="AD24" s="7"/>
      <x:c r="AE24"/>
      <x:c r="AF24"/>
    </x:row>
    <x:row r="25" ht="18">
      <x:c r="A25" s="57" t="s">
        <x:v>250</x:v>
      </x:c>
      <x:c r="B25" s="59" t="s">
        <x:v>251</x:v>
      </x:c>
      <x:c r="C25" s="59"/>
      <x:c r="D25" s="7"/>
      <x:c r="E25" s="7"/>
      <x:c r="F25" s="7"/>
      <x:c r="G25" s="7"/>
      <x:c r="H25" s="7"/>
      <x:c r="I25" s="7"/>
      <x:c r="J25" s="7"/>
      <x:c r="K25" s="7"/>
      <x:c r="L25" s="7"/>
      <x:c r="M25" s="7"/>
      <x:c r="N25" s="7"/>
      <x:c r="O25" s="7"/>
      <x:c r="P25" s="7"/>
      <x:c r="Q25" s="7"/>
      <x:c r="R25" s="7"/>
      <x:c r="S25" s="7"/>
      <x:c r="T25" s="7"/>
      <x:c r="U25" s="7"/>
      <x:c r="V25" s="7"/>
      <x:c r="W25" s="7"/>
      <x:c r="X25" s="7"/>
      <x:c r="Y25" s="7"/>
      <x:c r="Z25" s="7"/>
      <x:c r="AA25" s="7"/>
      <x:c r="AB25" s="7"/>
      <x:c r="AC25" s="7"/>
      <x:c r="AD25" s="7"/>
      <x:c r="AE25"/>
      <x:c r="AF25"/>
    </x:row>
    <x:row r="26" ht="18">
      <x:c r="A26" s="57" t="s">
        <x:v>252</x:v>
      </x:c>
      <x:c r="B26" s="59" t="s">
        <x:v>253</x:v>
      </x:c>
      <x:c r="C26" s="59"/>
      <x:c r="D26" s="7"/>
      <x:c r="E26" s="7"/>
      <x:c r="F26" s="7"/>
      <x:c r="G26" s="7"/>
      <x:c r="H26" s="7"/>
      <x:c r="I26" s="7"/>
      <x:c r="J26" s="7"/>
      <x:c r="K26" s="7"/>
      <x:c r="L26" s="7"/>
      <x:c r="M26" s="7"/>
      <x:c r="N26" s="7"/>
      <x:c r="O26" s="7"/>
      <x:c r="P26" s="7"/>
      <x:c r="Q26" s="7"/>
      <x:c r="R26" s="7"/>
      <x:c r="S26" s="7"/>
      <x:c r="T26" s="7"/>
      <x:c r="U26" s="7"/>
      <x:c r="V26" s="7"/>
      <x:c r="W26" s="7"/>
      <x:c r="X26" s="7"/>
      <x:c r="Y26" s="7"/>
      <x:c r="Z26" s="7"/>
      <x:c r="AA26" s="7"/>
      <x:c r="AB26" s="7"/>
      <x:c r="AC26" s="7"/>
      <x:c r="AD26" s="7"/>
      <x:c r="AE26"/>
      <x:c r="AF26"/>
    </x:row>
    <x:row r="27" ht="18">
      <x:c r="A27" s="57" t="s">
        <x:v>254</x:v>
      </x:c>
      <x:c r="B27" s="59" t="s">
        <x:v>255</x:v>
      </x:c>
      <x:c r="C27" s="59"/>
      <x:c r="D27" s="7"/>
      <x:c r="E27" s="7"/>
      <x:c r="F27" s="7"/>
      <x:c r="G27" s="7"/>
      <x:c r="H27" s="7"/>
      <x:c r="I27" s="7"/>
      <x:c r="J27" s="7"/>
      <x:c r="K27" s="7"/>
      <x:c r="L27" s="7"/>
      <x:c r="M27" s="7"/>
      <x:c r="N27" s="7"/>
      <x:c r="O27" s="7"/>
      <x:c r="P27" s="7"/>
      <x:c r="Q27" s="7"/>
      <x:c r="R27" s="7"/>
      <x:c r="S27" s="7"/>
      <x:c r="T27" s="7"/>
      <x:c r="U27" s="7"/>
      <x:c r="V27" s="7"/>
      <x:c r="W27" s="7"/>
      <x:c r="X27" s="7"/>
      <x:c r="Y27" s="7"/>
      <x:c r="Z27" s="7"/>
      <x:c r="AA27" s="7"/>
      <x:c r="AB27" s="7"/>
      <x:c r="AC27" s="7"/>
      <x:c r="AD27" s="7"/>
      <x:c r="AE27"/>
      <x:c r="AF27"/>
    </x:row>
    <x:row r="28" ht="18">
      <x:c r="A28" s="57" t="s">
        <x:v>256</x:v>
      </x:c>
      <x:c r="B28" s="59" t="s">
        <x:v>257</x:v>
      </x:c>
      <x:c r="C28" s="59"/>
      <x:c r="D28" s="7"/>
      <x:c r="E28" s="7"/>
      <x:c r="F28" s="7"/>
      <x:c r="G28" s="7"/>
      <x:c r="H28" s="7"/>
      <x:c r="I28" s="7"/>
      <x:c r="J28" s="7"/>
      <x:c r="K28" s="7"/>
      <x:c r="L28" s="7"/>
      <x:c r="M28" s="7"/>
      <x:c r="N28" s="7"/>
      <x:c r="O28" s="7"/>
      <x:c r="P28" s="7"/>
      <x:c r="Q28" s="7"/>
      <x:c r="R28" s="7"/>
      <x:c r="S28" s="7"/>
      <x:c r="T28" s="7"/>
      <x:c r="U28" s="7"/>
      <x:c r="V28" s="7"/>
      <x:c r="W28" s="7"/>
      <x:c r="X28" s="7"/>
      <x:c r="Y28" s="7"/>
      <x:c r="Z28" s="7"/>
      <x:c r="AA28" s="7"/>
      <x:c r="AB28" s="7"/>
      <x:c r="AC28" s="7"/>
      <x:c r="AD28" s="7"/>
      <x:c r="AE28"/>
      <x:c r="AF28"/>
    </x:row>
    <x:row r="29" ht="18">
      <x:c r="A29" s="57" t="s">
        <x:v>258</x:v>
      </x:c>
      <x:c r="B29" s="59" t="s">
        <x:v>259</x:v>
      </x:c>
      <x:c r="C29" s="59"/>
      <x:c r="D29" s="7"/>
      <x:c r="E29" s="7"/>
      <x:c r="F29" s="7"/>
      <x:c r="G29" s="7"/>
      <x:c r="H29" s="7"/>
      <x:c r="I29" s="7"/>
      <x:c r="J29" s="7"/>
      <x:c r="K29" s="7"/>
      <x:c r="L29" s="7"/>
      <x:c r="M29" s="7"/>
      <x:c r="N29" s="7"/>
      <x:c r="O29" s="7"/>
      <x:c r="P29" s="7"/>
      <x:c r="Q29" s="7"/>
      <x:c r="R29" s="7"/>
      <x:c r="S29" s="7"/>
      <x:c r="T29" s="7"/>
      <x:c r="U29" s="7"/>
      <x:c r="V29" s="7"/>
      <x:c r="W29" s="7"/>
      <x:c r="X29" s="7"/>
      <x:c r="Y29" s="7"/>
      <x:c r="Z29" s="7"/>
      <x:c r="AA29" s="7"/>
      <x:c r="AB29" s="7"/>
      <x:c r="AC29" s="7"/>
      <x:c r="AD29" s="7"/>
      <x:c r="AE29"/>
      <x:c r="AF29"/>
    </x:row>
    <x:row r="30" ht="18">
      <x:c r="A30" s="57" t="s">
        <x:v>260</x:v>
      </x:c>
      <x:c r="B30" s="59" t="s">
        <x:v>261</x:v>
      </x:c>
      <x:c r="C30" s="59"/>
      <x:c r="D30" s="7"/>
      <x:c r="E30" s="7"/>
      <x:c r="F30" s="7"/>
      <x:c r="G30" s="7"/>
      <x:c r="H30" s="7"/>
      <x:c r="I30" s="7"/>
      <x:c r="J30" s="7"/>
      <x:c r="K30" s="7"/>
      <x:c r="L30" s="7"/>
      <x:c r="M30" s="7"/>
      <x:c r="N30" s="7"/>
      <x:c r="O30" s="7"/>
      <x:c r="P30" s="7"/>
      <x:c r="Q30" s="7"/>
      <x:c r="R30" s="7"/>
      <x:c r="S30" s="7"/>
      <x:c r="T30" s="7"/>
      <x:c r="U30" s="7"/>
      <x:c r="V30" s="7"/>
      <x:c r="W30" s="7"/>
      <x:c r="X30" s="7"/>
      <x:c r="Y30" s="7"/>
      <x:c r="Z30" s="7"/>
      <x:c r="AA30" s="7"/>
      <x:c r="AB30" s="7"/>
      <x:c r="AC30" s="7"/>
      <x:c r="AD30" s="7"/>
      <x:c r="AE30"/>
      <x:c r="AF30"/>
    </x:row>
    <x:row r="31" ht="18">
      <x:c r="A31" s="57" t="s">
        <x:v>262</x:v>
      </x:c>
      <x:c r="B31" s="59" t="s">
        <x:v>263</x:v>
      </x:c>
      <x:c r="C31" s="59"/>
      <x:c r="D31" s="7"/>
      <x:c r="E31" s="7"/>
      <x:c r="F31" s="7"/>
      <x:c r="G31" s="7"/>
      <x:c r="H31" s="7"/>
      <x:c r="I31" s="7"/>
      <x:c r="J31" s="7"/>
      <x:c r="K31" s="7"/>
      <x:c r="L31" s="7"/>
      <x:c r="M31" s="7"/>
      <x:c r="N31" s="7"/>
      <x:c r="O31" s="7"/>
      <x:c r="P31" s="7"/>
      <x:c r="Q31" s="7"/>
      <x:c r="R31" s="7"/>
      <x:c r="S31" s="7"/>
      <x:c r="T31" s="7"/>
      <x:c r="U31" s="7"/>
      <x:c r="V31" s="7"/>
      <x:c r="W31" s="7"/>
      <x:c r="X31" s="7"/>
      <x:c r="Y31" s="7"/>
      <x:c r="Z31" s="7"/>
      <x:c r="AA31" s="7"/>
      <x:c r="AB31" s="7"/>
      <x:c r="AC31" s="7"/>
      <x:c r="AD31" s="7"/>
      <x:c r="AE31"/>
      <x:c r="AF31"/>
    </x:row>
    <x:row r="32" ht="18">
      <x:c r="A32" s="57" t="s">
        <x:v>264</x:v>
      </x:c>
      <x:c r="B32" s="62" t="s">
        <x:v>265</x:v>
      </x:c>
      <x:c r="C32" s="62"/>
      <x:c r="D32" s="7"/>
      <x:c r="E32" s="7"/>
      <x:c r="F32" s="7"/>
      <x:c r="G32" s="7"/>
      <x:c r="H32" s="7"/>
      <x:c r="I32" s="7"/>
      <x:c r="J32" s="7"/>
      <x:c r="K32" s="7"/>
      <x:c r="L32" s="7"/>
      <x:c r="M32" s="7"/>
      <x:c r="N32" s="7"/>
      <x:c r="O32" s="7"/>
      <x:c r="P32" s="7"/>
      <x:c r="Q32" s="7"/>
      <x:c r="R32" s="7"/>
      <x:c r="S32" s="7"/>
      <x:c r="T32" s="7"/>
      <x:c r="U32" s="7"/>
      <x:c r="V32" s="7"/>
      <x:c r="W32" s="7"/>
      <x:c r="X32" s="7"/>
      <x:c r="Y32" s="7"/>
      <x:c r="Z32" s="7"/>
      <x:c r="AA32" s="7"/>
      <x:c r="AB32" s="7"/>
      <x:c r="AC32" s="7"/>
      <x:c r="AD32" s="7"/>
      <x:c r="AE32"/>
      <x:c r="AF32"/>
    </x:row>
    <x:row r="33" ht="18">
      <x:c r="A33" s="57" t="s">
        <x:v>266</x:v>
      </x:c>
      <x:c r="B33" s="62" t="s">
        <x:v>267</x:v>
      </x:c>
      <x:c r="C33" s="62"/>
      <x:c r="D33" s="7"/>
      <x:c r="E33" s="7"/>
      <x:c r="F33" s="7"/>
      <x:c r="G33" s="7"/>
      <x:c r="H33" s="7"/>
      <x:c r="I33" s="7"/>
      <x:c r="J33" s="7"/>
      <x:c r="K33" s="7"/>
      <x:c r="L33" s="7"/>
      <x:c r="M33" s="7"/>
      <x:c r="N33" s="7"/>
      <x:c r="O33" s="7"/>
      <x:c r="P33" s="7"/>
      <x:c r="Q33" s="7"/>
      <x:c r="R33" s="7"/>
      <x:c r="S33" s="7"/>
      <x:c r="T33" s="7"/>
      <x:c r="U33" s="7"/>
      <x:c r="V33" s="7"/>
      <x:c r="W33" s="7"/>
      <x:c r="X33" s="7"/>
      <x:c r="Y33" s="7"/>
      <x:c r="Z33" s="7"/>
      <x:c r="AA33" s="7"/>
      <x:c r="AB33" s="7"/>
      <x:c r="AC33" s="7"/>
      <x:c r="AD33" s="7"/>
      <x:c r="AE33"/>
      <x:c r="AF33"/>
    </x:row>
    <x:row r="34" ht="18">
      <x:c r="A34" s="57" t="s">
        <x:v>268</x:v>
      </x:c>
      <x:c r="B34" s="59" t="s">
        <x:v>269</x:v>
      </x:c>
      <x:c r="C34" s="59"/>
      <x:c r="D34" s="7"/>
      <x:c r="E34" s="7"/>
      <x:c r="F34" s="7"/>
      <x:c r="G34" s="7"/>
      <x:c r="H34" s="7"/>
      <x:c r="I34" s="7"/>
      <x:c r="J34" s="7"/>
      <x:c r="K34" s="7"/>
      <x:c r="L34" s="7"/>
      <x:c r="M34" s="7"/>
      <x:c r="N34" s="7"/>
      <x:c r="O34" s="7"/>
      <x:c r="P34" s="7"/>
      <x:c r="Q34" s="7"/>
      <x:c r="R34" s="7"/>
      <x:c r="S34" s="7"/>
      <x:c r="T34" s="7"/>
      <x:c r="U34" s="7"/>
      <x:c r="V34" s="7"/>
      <x:c r="W34" s="7"/>
      <x:c r="X34" s="7"/>
      <x:c r="Y34" s="7"/>
      <x:c r="Z34" s="7"/>
      <x:c r="AA34" s="7"/>
      <x:c r="AB34" s="7"/>
      <x:c r="AC34" s="7"/>
      <x:c r="AD34" s="7"/>
      <x:c r="AE34"/>
      <x:c r="AF34"/>
    </x:row>
    <x:row r="35" ht="18">
      <x:c r="A35" s="57" t="s">
        <x:v>270</x:v>
      </x:c>
      <x:c r="B35" s="59" t="s">
        <x:v>271</x:v>
      </x:c>
      <x:c r="C35" s="59"/>
      <x:c r="D35" s="7"/>
      <x:c r="E35" s="7"/>
      <x:c r="F35" s="7"/>
      <x:c r="G35" s="7"/>
      <x:c r="H35" s="7"/>
      <x:c r="I35" s="7"/>
      <x:c r="J35" s="7"/>
      <x:c r="K35" s="7"/>
      <x:c r="L35" s="7"/>
      <x:c r="M35" s="7"/>
      <x:c r="N35" s="7"/>
      <x:c r="O35" s="7"/>
      <x:c r="P35" s="7"/>
      <x:c r="Q35" s="7"/>
      <x:c r="R35" s="7"/>
      <x:c r="S35" s="7"/>
      <x:c r="T35" s="7"/>
      <x:c r="U35" s="7"/>
      <x:c r="V35" s="7"/>
      <x:c r="W35" s="7"/>
      <x:c r="X35" s="7"/>
      <x:c r="Y35" s="7"/>
      <x:c r="Z35" s="7"/>
      <x:c r="AA35" s="7"/>
      <x:c r="AB35" s="7"/>
      <x:c r="AC35" s="7"/>
      <x:c r="AD35" s="7"/>
      <x:c r="AE35"/>
      <x:c r="AF35"/>
    </x:row>
    <x:row r="36">
      <x:c r="A36" s="111" t="s">
        <x:v>49</x:v>
      </x:c>
      <x:c r="B36" s="111"/>
      <x:c r="C36" s="7"/>
      <x:c r="D36" s="7"/>
      <x:c r="E36" s="7"/>
      <x:c r="F36" s="7"/>
      <x:c r="G36" s="7"/>
      <x:c r="H36" s="7"/>
      <x:c r="I36" s="7"/>
      <x:c r="J36" s="7"/>
      <x:c r="K36" s="7"/>
      <x:c r="L36" s="7"/>
      <x:c r="M36" s="7"/>
      <x:c r="N36" s="7"/>
      <x:c r="O36" s="7"/>
      <x:c r="P36" s="7"/>
      <x:c r="Q36" s="7"/>
      <x:c r="R36" s="7"/>
      <x:c r="S36" s="7"/>
      <x:c r="T36" s="7"/>
      <x:c r="U36" s="7"/>
      <x:c r="V36" s="7"/>
      <x:c r="W36" s="7"/>
      <x:c r="X36" s="7"/>
      <x:c r="Y36" s="7"/>
      <x:c r="Z36" s="7"/>
      <x:c r="AA36" s="7"/>
      <x:c r="AB36" s="7"/>
      <x:c r="AC36" s="7"/>
      <x:c r="AD36" s="7"/>
      <x:c r="AE36"/>
      <x:c r="AF36"/>
    </x:row>
    <x:row r="43">
      <x:c r="B43" s="112" t="s">
        <x:v>50</x:v>
      </x:c>
      <x:c r="C43" s="112" t="s">
        <x:v>2</x:v>
      </x:c>
      <x:c r="D43" s="124" t="s">
        <x:v>272</x:v>
      </x:c>
    </x:row>
    <x:row r="44">
      <x:c r="B44" s="112"/>
      <x:c r="C44" s="112"/>
      <x:c r="D44" s="124"/>
    </x:row>
    <x:row r="45">
      <x:c r="B45" s="101" t="s">
        <x:v>164</x:v>
      </x:c>
      <x:c r="C45" s="13" t="s">
        <x:v>75</x:v>
      </x:c>
      <x:c r="D45" s="14" t="e">
        <x:f>项目分类明细汇总表1月!S1/#REF!</x:f>
        <x:v>#NAME?</x:v>
      </x:c>
    </x:row>
    <x:row r="46">
      <x:c r="B46" s="13" t="s">
        <x:v>165</x:v>
      </x:c>
      <x:c r="C46" s="13" t="s">
        <x:v>76</x:v>
      </x:c>
      <x:c r="D46" s="14" t="e">
        <x:f>项目分类明细汇总表1月!S2/#REF!</x:f>
        <x:v>#NAME?</x:v>
      </x:c>
    </x:row>
    <x:row r="47">
      <x:c r="B47" s="13" t="s">
        <x:v>166</x:v>
      </x:c>
      <x:c r="C47" s="13" t="s">
        <x:v>77</x:v>
      </x:c>
      <x:c r="D47" s="14" t="e">
        <x:f>项目分类明细汇总表1月!S3/#REF!</x:f>
        <x:v>#NAME?</x:v>
      </x:c>
    </x:row>
    <x:row r="48">
      <x:c r="B48" s="13" t="s">
        <x:v>167</x:v>
      </x:c>
      <x:c r="C48" s="13" t="s">
        <x:v>78</x:v>
      </x:c>
      <x:c r="D48" s="14" t="e">
        <x:f>项目分类明细汇总表1月!S4/#REF!</x:f>
        <x:v>#NAME?</x:v>
      </x:c>
    </x:row>
    <x:row r="49">
      <x:c r="B49" s="13" t="s">
        <x:v>168</x:v>
      </x:c>
      <x:c r="C49" s="13" t="s">
        <x:v>79</x:v>
      </x:c>
      <x:c r="D49" s="14" t="e">
        <x:f>项目分类明细汇总表1月!S5/#REF!</x:f>
        <x:v>#NAME?</x:v>
      </x:c>
    </x:row>
    <x:row r="50">
      <x:c r="B50" s="13" t="s">
        <x:v>169</x:v>
      </x:c>
      <x:c r="C50" s="13" t="s">
        <x:v>80</x:v>
      </x:c>
      <x:c r="D50" s="14" t="e">
        <x:f>项目分类明细汇总表1月!S6/#REF!</x:f>
        <x:v>#NAME?</x:v>
      </x:c>
    </x:row>
    <x:row r="51">
      <x:c r="B51" s="13" t="s">
        <x:v>170</x:v>
      </x:c>
      <x:c r="C51" s="13" t="s">
        <x:v>81</x:v>
      </x:c>
      <x:c r="D51" s="14" t="e">
        <x:f>项目分类明细汇总表1月!S7/#REF!</x:f>
        <x:v>#NAME?</x:v>
      </x:c>
    </x:row>
    <x:row r="52">
      <x:c r="B52" s="13" t="s">
        <x:v>171</x:v>
      </x:c>
      <x:c r="C52" s="13" t="s">
        <x:v>82</x:v>
      </x:c>
      <x:c r="D52" s="14" t="e">
        <x:f>项目分类明细汇总表1月!S8/#REF!</x:f>
        <x:v>#NAME?</x:v>
      </x:c>
    </x:row>
    <x:row r="53">
      <x:c r="B53" s="13" t="s">
        <x:v>172</x:v>
      </x:c>
      <x:c r="C53" s="13" t="s">
        <x:v>83</x:v>
      </x:c>
      <x:c r="D53" s="14" t="e">
        <x:f>项目分类明细汇总表1月!S9/#REF!</x:f>
        <x:v>#NAME?</x:v>
      </x:c>
    </x:row>
    <x:row r="54">
      <x:c r="B54" s="13" t="s">
        <x:v>173</x:v>
      </x:c>
      <x:c r="C54" s="13" t="s">
        <x:v>84</x:v>
      </x:c>
      <x:c r="D54" s="14" t="e">
        <x:f>项目分类明细汇总表1月!S10/#REF!</x:f>
        <x:v>#NAME?</x:v>
      </x:c>
    </x:row>
    <x:row r="55">
      <x:c r="B55" s="13" t="s">
        <x:v>174</x:v>
      </x:c>
      <x:c r="C55" s="13" t="s">
        <x:v>85</x:v>
      </x:c>
      <x:c r="D55" s="14" t="e">
        <x:f>项目分类明细汇总表1月!S11/#REF!</x:f>
        <x:v>#NAME?</x:v>
      </x:c>
    </x:row>
    <x:row r="56">
      <x:c r="B56" s="13" t="s">
        <x:v>273</x:v>
      </x:c>
      <x:c r="C56" s="13" t="s">
        <x:v>86</x:v>
      </x:c>
      <x:c r="D56" s="14" t="e">
        <x:f>项目分类明细汇总表1月!S12/#REF!</x:f>
        <x:v>#NAME?</x:v>
      </x:c>
    </x:row>
    <x:row r="57">
      <x:c r="B57" s="13" t="s">
        <x:v>176</x:v>
      </x:c>
      <x:c r="C57" s="13" t="s">
        <x:v>87</x:v>
      </x:c>
      <x:c r="D57" s="14" t="e">
        <x:f>项目分类明细汇总表1月!S13/#REF!</x:f>
        <x:v>#NAME?</x:v>
      </x:c>
    </x:row>
    <x:row r="58">
      <x:c r="B58" s="13" t="s">
        <x:v>177</x:v>
      </x:c>
      <x:c r="C58" s="13" t="s">
        <x:v>88</x:v>
      </x:c>
      <x:c r="D58" s="14" t="e">
        <x:f>项目分类明细汇总表1月!S14/#REF!</x:f>
        <x:v>#NAME?</x:v>
      </x:c>
    </x:row>
    <x:row r="59">
      <x:c r="B59" s="13" t="s">
        <x:v>168</x:v>
      </x:c>
      <x:c r="C59" s="13" t="s">
        <x:v>89</x:v>
      </x:c>
      <x:c r="D59" s="14" t="e">
        <x:f>项目分类明细汇总表1月!S15/#REF!</x:f>
        <x:v>#NAME?</x:v>
      </x:c>
    </x:row>
    <x:row r="60" ht="17">
      <x:c r="B60" s="13" t="s">
        <x:v>274</x:v>
      </x:c>
      <x:c r="C60" s="15" t="s">
        <x:v>90</x:v>
      </x:c>
      <x:c r="D60" s="14" t="e">
        <x:f>项目分类明细汇总表1月!S16/#REF!</x:f>
        <x:v>#NAME?</x:v>
      </x:c>
    </x:row>
    <x:row r="61" ht="17">
      <x:c r="B61" s="13" t="s">
        <x:v>275</x:v>
      </x:c>
      <x:c r="C61" s="15" t="s">
        <x:v>19</x:v>
      </x:c>
      <x:c r="D61" s="14" t="e">
        <x:f>项目分类明细汇总表1月!S17/#REF!</x:f>
        <x:v>#NAME?</x:v>
      </x:c>
    </x:row>
    <x:row r="62" ht="17">
      <x:c r="B62" s="13" t="s">
        <x:v>276</x:v>
      </x:c>
      <x:c r="C62" s="15" t="s">
        <x:v>34</x:v>
      </x:c>
      <x:c r="D62" s="14" t="e">
        <x:f>项目分类明细汇总表1月!S18/#REF!</x:f>
        <x:v>#NAME?</x:v>
      </x:c>
    </x:row>
    <x:row r="63">
      <x:c r="B63" s="111" t="s">
        <x:v>49</x:v>
      </x:c>
      <x:c r="C63" s="111"/>
      <x:c r="D63" s="14" t="e">
        <x:f>SUM(D45:D62)</x:f>
        <x:v>#NAME?</x:v>
      </x:c>
    </x:row>
  </x:sheetData>
  <x:mergeCells>
    <x:mergeCell ref="B63:C63"/>
    <x:mergeCell ref="B43:B44"/>
    <x:mergeCell ref="C43:C44"/>
    <x:mergeCell ref="D43:D44"/>
    <x:mergeCell ref="A36:B36"/>
  </x:mergeCells>
  <x:conditionalFormatting sqref="B1:B1">
    <x:cfRule type="duplicateValues" dxfId="1" priority="1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ColWidth="9" defaultRowHeight="14"/>
  <x:cols>
    <x:col min="1" max="1" width="10.6640625" style="22" customWidth="1"/>
    <x:col min="2" max="3" width="11.6640625" style="22" customWidth="1"/>
    <x:col min="4" max="8" width="12.6640625" style="22" customWidth="0"/>
    <x:col min="9" max="9" width="33" style="22" customWidth="1"/>
    <x:col min="10" max="10" width="19.6640625" style="22" customWidth="1"/>
    <x:col min="11" max="17" width="12.6640625" style="22" customWidth="0"/>
    <x:col min="18" max="21" width="8.6640625" style="22" hidden="1" customWidth="1"/>
    <x:col min="22" max="31" width="9" style="22" hidden="1" customWidth="1"/>
    <x:col min="32" max="32" width="15" style="22" hidden="1" customWidth="1"/>
    <x:col min="33" max="33" width="9" style="22" hidden="1" customWidth="1"/>
    <x:col min="34" max="34" width="9.33203125" style="22" customWidth="0"/>
    <x:col min="35" max="16384" width="9" style="22" customWidth="0"/>
  </x:cols>
  <x:sheetData>
    <x:row r="1">
      <x:c r="A1" s="127" t="s">
        <x:v>91</x:v>
      </x:c>
      <x:c r="B1" s="129" t="s">
        <x:v>163</x:v>
      </x:c>
      <x:c r="C1" s="131" t="s">
        <x:v>3</x:v>
      </x:c>
      <x:c r="D1" s="55" t="s">
        <x:v>164</x:v>
      </x:c>
      <x:c r="E1" s="55" t="s">
        <x:v>165</x:v>
      </x:c>
      <x:c r="F1" s="55" t="s">
        <x:v>166</x:v>
      </x:c>
      <x:c r="G1" s="55" t="s">
        <x:v>167</x:v>
      </x:c>
      <x:c r="H1" s="55" t="s">
        <x:v>168</x:v>
      </x:c>
      <x:c r="I1" s="55" t="s">
        <x:v>169</x:v>
      </x:c>
      <x:c r="J1" s="55" t="s">
        <x:v>170</x:v>
      </x:c>
      <x:c r="K1" s="55" t="s">
        <x:v>171</x:v>
      </x:c>
      <x:c r="L1" s="55" t="s">
        <x:v>172</x:v>
      </x:c>
      <x:c r="M1" s="55" t="s">
        <x:v>173</x:v>
      </x:c>
      <x:c r="N1" s="55" t="s">
        <x:v>174</x:v>
      </x:c>
      <x:c r="O1" s="55" t="s">
        <x:v>175</x:v>
      </x:c>
      <x:c r="P1" s="55" t="s">
        <x:v>176</x:v>
      </x:c>
      <x:c r="Q1" s="55" t="s">
        <x:v>177</x:v>
      </x:c>
      <x:c r="R1" s="55" t="s">
        <x:v>178</x:v>
      </x:c>
      <x:c r="S1" s="55" t="s">
        <x:v>179</x:v>
      </x:c>
      <x:c r="T1" s="55" t="s">
        <x:v>180</x:v>
      </x:c>
      <x:c r="U1" s="55" t="s">
        <x:v>181</x:v>
      </x:c>
      <x:c r="V1" s="55" t="s">
        <x:v>182</x:v>
      </x:c>
      <x:c r="W1" s="55" t="s">
        <x:v>183</x:v>
      </x:c>
      <x:c r="X1" s="55" t="s">
        <x:v>184</x:v>
      </x:c>
      <x:c r="Y1" s="55" t="s">
        <x:v>185</x:v>
      </x:c>
      <x:c r="Z1" s="55" t="s">
        <x:v>186</x:v>
      </x:c>
      <x:c r="AA1" s="55" t="s">
        <x:v>187</x:v>
      </x:c>
      <x:c r="AB1" s="55" t="s">
        <x:v>188</x:v>
      </x:c>
      <x:c r="AC1" s="55" t="s">
        <x:v>187</x:v>
      </x:c>
      <x:c r="AD1" s="55" t="s">
        <x:v>189</x:v>
      </x:c>
      <x:c r="AE1" s="125" t="s">
        <x:v>277</x:v>
      </x:c>
      <x:c r="AF1" s="125" t="s">
        <x:v>278</x:v>
      </x:c>
      <x:c r="AG1" s="125" t="s">
        <x:v>279</x:v>
      </x:c>
      <x:c r="AH1" s="125" t="s">
        <x:v>280</x:v>
      </x:c>
    </x:row>
    <x:row r="2" ht="42">
      <x:c r="A2" s="128"/>
      <x:c r="B2" s="130"/>
      <x:c r="C2" s="132"/>
      <x:c r="D2" s="56" t="s">
        <x:v>75</x:v>
      </x:c>
      <x:c r="E2" s="56" t="s">
        <x:v>76</x:v>
      </x:c>
      <x:c r="F2" s="56" t="s">
        <x:v>77</x:v>
      </x:c>
      <x:c r="G2" s="56" t="s">
        <x:v>78</x:v>
      </x:c>
      <x:c r="H2" s="56" t="s">
        <x:v>79</x:v>
      </x:c>
      <x:c r="I2" s="56" t="s">
        <x:v>80</x:v>
      </x:c>
      <x:c r="J2" s="56" t="s">
        <x:v>81</x:v>
      </x:c>
      <x:c r="K2" s="56" t="s">
        <x:v>82</x:v>
      </x:c>
      <x:c r="L2" s="56" t="s">
        <x:v>83</x:v>
      </x:c>
      <x:c r="M2" s="56" t="s">
        <x:v>84</x:v>
      </x:c>
      <x:c r="N2" s="56" t="s">
        <x:v>192</x:v>
      </x:c>
      <x:c r="O2" s="56" t="s">
        <x:v>86</x:v>
      </x:c>
      <x:c r="P2" s="56" t="s">
        <x:v>87</x:v>
      </x:c>
      <x:c r="Q2" s="56" t="s">
        <x:v>193</x:v>
      </x:c>
      <x:c r="R2" s="56" t="s">
        <x:v>194</x:v>
      </x:c>
      <x:c r="S2" s="56" t="s">
        <x:v>195</x:v>
      </x:c>
      <x:c r="T2" s="56" t="s">
        <x:v>196</x:v>
      </x:c>
      <x:c r="U2" s="56" t="s">
        <x:v>197</x:v>
      </x:c>
      <x:c r="V2" s="56" t="s">
        <x:v>198</x:v>
      </x:c>
      <x:c r="W2" s="56" t="s">
        <x:v>199</x:v>
      </x:c>
      <x:c r="X2" s="56" t="s">
        <x:v>200</x:v>
      </x:c>
      <x:c r="Y2" s="56" t="s">
        <x:v>201</x:v>
      </x:c>
      <x:c r="Z2" s="56" t="s">
        <x:v>202</x:v>
      </x:c>
      <x:c r="AA2" s="56" t="s">
        <x:v>203</x:v>
      </x:c>
      <x:c r="AB2" s="56" t="s">
        <x:v>204</x:v>
      </x:c>
      <x:c r="AC2" s="56" t="s">
        <x:v>205</x:v>
      </x:c>
      <x:c r="AD2" s="56"/>
      <x:c r="AE2" s="125"/>
      <x:c r="AF2" s="125"/>
      <x:c r="AG2" s="125"/>
      <x:c r="AH2" s="125"/>
    </x:row>
    <x:row r="3" ht="18">
      <x:c r="A3" s="57" t="s">
        <x:v>190</x:v>
      </x:c>
      <x:c r="B3" s="58" t="s">
        <x:v>191</x:v>
      </x:c>
      <x:c r="C3" s="58">
        <x:v>176</x:v>
      </x:c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 s="29">
        <x:v>7</x:v>
      </x:c>
      <x:c r="S3" s="29">
        <x:v>7</x:v>
      </x:c>
      <x:c r="T3" s="29">
        <x:v>7</x:v>
      </x:c>
      <x:c r="U3" s="29">
        <x:v>7</x:v>
      </x:c>
      <x:c r="V3" s="29">
        <x:v>7</x:v>
      </x:c>
      <x:c r="W3" s="29">
        <x:v>7</x:v>
      </x:c>
      <x:c r="X3" s="29">
        <x:v>7</x:v>
      </x:c>
      <x:c r="Y3" s="29">
        <x:v>7</x:v>
      </x:c>
      <x:c r="Z3" s="29">
        <x:v>7</x:v>
      </x:c>
      <x:c r="AA3" s="29">
        <x:v>6</x:v>
      </x:c>
      <x:c r="AB3" s="29">
        <x:v>7</x:v>
      </x:c>
      <x:c r="AC3" s="29">
        <x:v>7</x:v>
      </x:c>
      <x:c r="AD3" s="29" t="n">
        <x:f t="shared" ref="AD3:AD34" si="0">SUM(D3:AC3)</x:f>
        <x:v>83</x:v>
      </x:c>
      <x:c r="AE3" s="8" t="n">
        <x:f t="shared" ref="AE3:AE34" si="1">D3+E3+F3+G3+H3+I3+J3+K3+L3+M3+N3+O3+P3+Q3</x:f>
        <x:v>0</x:v>
      </x:c>
      <x:c r="AF3" s="8" t="n">
        <x:f t="shared" ref="AF3:AF34" si="2">AD3-AE3-AG3</x:f>
        <x:v>176</x:v>
      </x:c>
      <x:c r="AG3" s="8" t="n">
        <x:f t="shared" ref="AG3:AG34" si="3">AD3-C3</x:f>
        <x:v>-93</x:v>
      </x:c>
      <x:c r="AH3" s="8" t="n">
        <x:f>D3+E3+F3+G3+H3+I3+J3+K3+L3+M3+N3+O3+P3+Q3</x:f>
        <x:v>0</x:v>
      </x:c>
    </x:row>
    <x:row r="4" ht="18">
      <x:c r="A4" s="57" t="s">
        <x:v>206</x:v>
      </x:c>
      <x:c r="B4" s="59" t="s">
        <x:v>207</x:v>
      </x:c>
      <x:c r="C4" s="59">
        <x:v>176</x:v>
      </x:c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 s="29"/>
      <x:c r="S4" s="29"/>
      <x:c r="T4" s="29"/>
      <x:c r="U4" s="29"/>
      <x:c r="V4" s="29"/>
      <x:c r="W4" s="29"/>
      <x:c r="X4" s="29"/>
      <x:c r="Y4" s="29"/>
      <x:c r="Z4" s="29"/>
      <x:c r="AA4" s="29"/>
      <x:c r="AB4" s="29"/>
      <x:c r="AC4" s="29"/>
      <x:c r="AD4" s="29">
        <x:f t="shared" si="0"/>
        <x:v>0</x:v>
      </x:c>
      <x:c r="AE4" s="8">
        <x:f t="shared" si="1"/>
        <x:v>0</x:v>
      </x:c>
      <x:c r="AF4" s="8">
        <x:f t="shared" si="2"/>
        <x:v>176</x:v>
      </x:c>
      <x:c r="AG4" s="8">
        <x:f t="shared" si="3"/>
        <x:v>-176</x:v>
      </x:c>
      <x:c r="AH4" s="8" t="n">
        <x:f t="shared" ref="AH4:AH35" si="4">D4+E4+F4+G4+H4+I4+J4+K4+L4+M4+N4+O4+P4+Q4</x:f>
        <x:v>0</x:v>
      </x:c>
    </x:row>
    <x:row r="5" ht="18">
      <x:c r="A5" s="57" t="s">
        <x:v>208</x:v>
      </x:c>
      <x:c r="B5" s="58" t="s">
        <x:v>209</x:v>
      </x:c>
      <x:c r="C5" s="58">
        <x:v>176</x:v>
      </x:c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 s="29">
        <x:v>28</x:v>
      </x:c>
      <x:c r="S5" s="29">
        <x:v>54</x:v>
      </x:c>
      <x:c r="T5" s="29"/>
      <x:c r="U5" s="29">
        <x:v>20</x:v>
      </x:c>
      <x:c r="V5" s="29"/>
      <x:c r="W5" s="29"/>
      <x:c r="X5" s="29">
        <x:v>20</x:v>
      </x:c>
      <x:c r="Y5" s="29">
        <x:v>20</x:v>
      </x:c>
      <x:c r="Z5" s="29"/>
      <x:c r="AA5" s="29"/>
      <x:c r="AB5" s="29"/>
      <x:c r="AC5" s="29"/>
      <x:c r="AD5" s="29">
        <x:f t="shared" si="0"/>
        <x:v>142</x:v>
      </x:c>
      <x:c r="AE5" s="8">
        <x:f t="shared" si="1"/>
        <x:v>0</x:v>
      </x:c>
      <x:c r="AF5" s="8">
        <x:f t="shared" si="2"/>
        <x:v>176</x:v>
      </x:c>
      <x:c r="AG5" s="8">
        <x:f t="shared" si="3"/>
        <x:v>-34</x:v>
      </x:c>
      <x:c r="AH5" s="8">
        <x:f t="shared" si="4"/>
        <x:v>0</x:v>
      </x:c>
    </x:row>
    <x:row r="6" ht="18">
      <x:c r="A6" s="57" t="s">
        <x:v>281</x:v>
      </x:c>
      <x:c r="B6" s="58" t="s">
        <x:v>211</x:v>
      </x:c>
      <x:c r="C6" s="58">
        <x:v>176</x:v>
      </x:c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 s="29"/>
      <x:c r="S6" s="29"/>
      <x:c r="T6" s="29"/>
      <x:c r="U6" s="29"/>
      <x:c r="V6" s="29"/>
      <x:c r="W6" s="29"/>
      <x:c r="X6" s="29"/>
      <x:c r="Y6" s="29"/>
      <x:c r="Z6" s="29"/>
      <x:c r="AA6" s="29"/>
      <x:c r="AB6" s="29"/>
      <x:c r="AC6" s="29"/>
      <x:c r="AD6" s="29">
        <x:f t="shared" si="0"/>
        <x:v>0</x:v>
      </x:c>
      <x:c r="AE6" s="8">
        <x:f t="shared" si="1"/>
        <x:v>0</x:v>
      </x:c>
      <x:c r="AF6" s="8">
        <x:f t="shared" si="2"/>
        <x:v>176</x:v>
      </x:c>
      <x:c r="AG6" s="8">
        <x:f t="shared" si="3"/>
        <x:v>-176</x:v>
      </x:c>
      <x:c r="AH6" s="8">
        <x:f t="shared" si="4"/>
        <x:v>0</x:v>
      </x:c>
    </x:row>
    <x:row r="7" ht="18">
      <x:c r="A7" s="57" t="s">
        <x:v>282</x:v>
      </x:c>
      <x:c r="B7" s="58" t="s">
        <x:v>213</x:v>
      </x:c>
      <x:c r="C7" s="58">
        <x:v>204</x:v>
      </x:c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 s="29"/>
      <x:c r="S7" s="29"/>
      <x:c r="T7" s="29"/>
      <x:c r="U7" s="29"/>
      <x:c r="V7" s="29"/>
      <x:c r="W7" s="29"/>
      <x:c r="X7" s="29"/>
      <x:c r="Y7" s="29"/>
      <x:c r="Z7" s="29"/>
      <x:c r="AA7" s="29"/>
      <x:c r="AB7" s="29"/>
      <x:c r="AC7" s="29"/>
      <x:c r="AD7" s="29">
        <x:f t="shared" si="0"/>
        <x:v>0</x:v>
      </x:c>
      <x:c r="AE7" s="8">
        <x:f t="shared" si="1"/>
        <x:v>0</x:v>
      </x:c>
      <x:c r="AF7" s="8">
        <x:f t="shared" si="2"/>
        <x:v>204</x:v>
      </x:c>
      <x:c r="AG7" s="8">
        <x:f t="shared" si="3"/>
        <x:v>-204</x:v>
      </x:c>
      <x:c r="AH7" s="8">
        <x:f t="shared" si="4"/>
        <x:v>0</x:v>
      </x:c>
    </x:row>
    <x:row r="8" ht="18">
      <x:c r="A8" s="57" t="s">
        <x:v>210</x:v>
      </x:c>
      <x:c r="B8" s="60" t="s">
        <x:v>215</x:v>
      </x:c>
      <x:c r="C8" s="60">
        <x:v>176</x:v>
      </x:c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 s="29"/>
      <x:c r="S8" s="29">
        <x:v>112</x:v>
      </x:c>
      <x:c r="T8" s="29"/>
      <x:c r="U8" s="29"/>
      <x:c r="V8" s="29"/>
      <x:c r="W8" s="29"/>
      <x:c r="X8" s="29"/>
      <x:c r="Y8" s="29"/>
      <x:c r="Z8" s="29">
        <x:v>8</x:v>
      </x:c>
      <x:c r="AA8" s="29"/>
      <x:c r="AB8" s="29"/>
      <x:c r="AC8" s="29"/>
      <x:c r="AD8" s="29">
        <x:f t="shared" si="0"/>
        <x:v>120</x:v>
      </x:c>
      <x:c r="AE8" s="8">
        <x:f t="shared" si="1"/>
        <x:v>0</x:v>
      </x:c>
      <x:c r="AF8" s="8">
        <x:f t="shared" si="2"/>
        <x:v>176</x:v>
      </x:c>
      <x:c r="AG8" s="8">
        <x:f t="shared" si="3"/>
        <x:v>-56</x:v>
      </x:c>
      <x:c r="AH8" s="8">
        <x:f t="shared" si="4"/>
        <x:v>0</x:v>
      </x:c>
    </x:row>
    <x:row r="9" ht="18">
      <x:c r="A9" s="57" t="s">
        <x:v>212</x:v>
      </x:c>
      <x:c r="B9" s="58" t="s">
        <x:v>217</x:v>
      </x:c>
      <x:c r="C9" s="58">
        <x:v>176</x:v>
      </x:c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 s="29"/>
      <x:c r="S9" s="29"/>
      <x:c r="T9" s="29"/>
      <x:c r="U9" s="29"/>
      <x:c r="V9" s="29"/>
      <x:c r="W9" s="29"/>
      <x:c r="X9" s="29"/>
      <x:c r="Y9" s="29"/>
      <x:c r="Z9" s="29"/>
      <x:c r="AA9" s="29"/>
      <x:c r="AB9" s="29"/>
      <x:c r="AC9" s="29"/>
      <x:c r="AD9" s="29">
        <x:f t="shared" si="0"/>
        <x:v>0</x:v>
      </x:c>
      <x:c r="AE9" s="8">
        <x:f t="shared" si="1"/>
        <x:v>0</x:v>
      </x:c>
      <x:c r="AF9" s="8">
        <x:f t="shared" si="2"/>
        <x:v>176</x:v>
      </x:c>
      <x:c r="AG9" s="8">
        <x:f t="shared" si="3"/>
        <x:v>-176</x:v>
      </x:c>
      <x:c r="AH9" s="8">
        <x:f t="shared" si="4"/>
        <x:v>0</x:v>
      </x:c>
    </x:row>
    <x:row r="10" ht="18">
      <x:c r="A10" s="57" t="s">
        <x:v>283</x:v>
      </x:c>
      <x:c r="B10" s="61" t="s">
        <x:v>219</x:v>
      </x:c>
      <x:c r="C10" s="61">
        <x:v>185</x:v>
      </x:c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 s="29"/>
      <x:c r="S10" s="29"/>
      <x:c r="T10" s="29">
        <x:v>30</x:v>
      </x:c>
      <x:c r="U10" s="29"/>
      <x:c r="V10" s="29">
        <x:v>15</x:v>
      </x:c>
      <x:c r="W10" s="29"/>
      <x:c r="X10" s="29">
        <x:v>15</x:v>
      </x:c>
      <x:c r="Y10" s="29"/>
      <x:c r="Z10" s="29"/>
      <x:c r="AA10" s="29">
        <x:v>5</x:v>
      </x:c>
      <x:c r="AB10" s="29"/>
      <x:c r="AC10" s="29"/>
      <x:c r="AD10" s="29">
        <x:f t="shared" si="0"/>
        <x:v>65</x:v>
      </x:c>
      <x:c r="AE10" s="8">
        <x:f t="shared" si="1"/>
        <x:v>0</x:v>
      </x:c>
      <x:c r="AF10" s="8">
        <x:f t="shared" si="2"/>
        <x:v>185</x:v>
      </x:c>
      <x:c r="AG10" s="8">
        <x:f t="shared" si="3"/>
        <x:v>-120</x:v>
      </x:c>
      <x:c r="AH10" s="8">
        <x:f t="shared" si="4"/>
        <x:v>0</x:v>
      </x:c>
    </x:row>
    <x:row r="11" ht="18">
      <x:c r="A11" s="57" t="s">
        <x:v>284</x:v>
      </x:c>
      <x:c r="B11" s="58" t="s">
        <x:v>221</x:v>
      </x:c>
      <x:c r="C11" s="58">
        <x:v>176</x:v>
      </x:c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 s="29">
        <x:v>22</x:v>
      </x:c>
      <x:c r="S11" s="29">
        <x:v>62</x:v>
      </x:c>
      <x:c r="T11" s="29">
        <x:v>21</x:v>
      </x:c>
      <x:c r="U11" s="29"/>
      <x:c r="V11" s="29"/>
      <x:c r="W11" s="29">
        <x:v>15</x:v>
      </x:c>
      <x:c r="X11" s="29">
        <x:v>20</x:v>
      </x:c>
      <x:c r="Y11" s="29"/>
      <x:c r="Z11" s="29"/>
      <x:c r="AA11" s="29"/>
      <x:c r="AB11" s="29"/>
      <x:c r="AC11" s="29"/>
      <x:c r="AD11" s="29">
        <x:f t="shared" si="0"/>
        <x:v>140</x:v>
      </x:c>
      <x:c r="AE11" s="8">
        <x:f t="shared" si="1"/>
        <x:v>0</x:v>
      </x:c>
      <x:c r="AF11" s="8">
        <x:f t="shared" si="2"/>
        <x:v>176</x:v>
      </x:c>
      <x:c r="AG11" s="8">
        <x:f t="shared" si="3"/>
        <x:v>-36</x:v>
      </x:c>
      <x:c r="AH11" s="8">
        <x:f t="shared" si="4"/>
        <x:v>0</x:v>
      </x:c>
    </x:row>
    <x:row r="12" ht="18">
      <x:c r="A12" s="57" t="s">
        <x:v>214</x:v>
      </x:c>
      <x:c r="B12" s="58" t="s">
        <x:v>223</x:v>
      </x:c>
      <x:c r="C12" s="58">
        <x:v>219</x:v>
      </x:c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 s="29"/>
      <x:c r="S12" s="29"/>
      <x:c r="T12" s="29"/>
      <x:c r="U12" s="29"/>
      <x:c r="V12" s="29"/>
      <x:c r="W12" s="29"/>
      <x:c r="X12" s="29"/>
      <x:c r="Y12" s="29"/>
      <x:c r="Z12" s="29"/>
      <x:c r="AA12" s="29"/>
      <x:c r="AB12" s="29"/>
      <x:c r="AC12" s="29"/>
      <x:c r="AD12" s="29">
        <x:f t="shared" si="0"/>
        <x:v>0</x:v>
      </x:c>
      <x:c r="AE12" s="8">
        <x:f t="shared" si="1"/>
        <x:v>0</x:v>
      </x:c>
      <x:c r="AF12" s="8">
        <x:f t="shared" si="2"/>
        <x:v>219</x:v>
      </x:c>
      <x:c r="AG12" s="8">
        <x:f t="shared" si="3"/>
        <x:v>-219</x:v>
      </x:c>
      <x:c r="AH12" s="8">
        <x:f t="shared" si="4"/>
        <x:v>0</x:v>
      </x:c>
    </x:row>
    <x:row r="13" ht="18">
      <x:c r="A13" s="57" t="s">
        <x:v>285</x:v>
      </x:c>
      <x:c r="B13" s="59" t="s">
        <x:v>225</x:v>
      </x:c>
      <x:c r="C13" s="59">
        <x:v>176</x:v>
      </x:c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 s="29"/>
      <x:c r="S13" s="29">
        <x:v>74</x:v>
      </x:c>
      <x:c r="T13" s="29"/>
      <x:c r="U13" s="29"/>
      <x:c r="V13" s="29"/>
      <x:c r="W13" s="29"/>
      <x:c r="X13" s="29"/>
      <x:c r="Y13" s="29">
        <x:v>26</x:v>
      </x:c>
      <x:c r="Z13" s="29">
        <x:v>16</x:v>
      </x:c>
      <x:c r="AA13" s="29"/>
      <x:c r="AB13" s="29"/>
      <x:c r="AC13" s="29"/>
      <x:c r="AD13" s="29">
        <x:f t="shared" si="0"/>
        <x:v>116</x:v>
      </x:c>
      <x:c r="AE13" s="8">
        <x:f t="shared" si="1"/>
        <x:v>0</x:v>
      </x:c>
      <x:c r="AF13" s="8">
        <x:f t="shared" si="2"/>
        <x:v>176</x:v>
      </x:c>
      <x:c r="AG13" s="8">
        <x:f t="shared" si="3"/>
        <x:v>-60</x:v>
      </x:c>
      <x:c r="AH13" s="8">
        <x:f t="shared" si="4"/>
        <x:v>0</x:v>
      </x:c>
    </x:row>
    <x:row r="14" ht="18">
      <x:c r="A14" s="57" t="s">
        <x:v>286</x:v>
      </x:c>
      <x:c r="B14" s="59" t="s">
        <x:v>227</x:v>
      </x:c>
      <x:c r="C14" s="59">
        <x:v>178</x:v>
      </x:c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 s="29">
        <x:v>50</x:v>
      </x:c>
      <x:c r="S14" s="29">
        <x:v>28</x:v>
      </x:c>
      <x:c r="T14" s="29"/>
      <x:c r="U14" s="29">
        <x:v>70</x:v>
      </x:c>
      <x:c r="V14" s="29"/>
      <x:c r="W14" s="29"/>
      <x:c r="X14" s="29"/>
      <x:c r="Y14" s="29"/>
      <x:c r="Z14" s="29"/>
      <x:c r="AA14" s="29"/>
      <x:c r="AB14" s="29"/>
      <x:c r="AC14" s="29"/>
      <x:c r="AD14" s="29">
        <x:f t="shared" si="0"/>
        <x:v>148</x:v>
      </x:c>
      <x:c r="AE14" s="8">
        <x:f t="shared" si="1"/>
        <x:v>0</x:v>
      </x:c>
      <x:c r="AF14" s="8">
        <x:f t="shared" si="2"/>
        <x:v>178</x:v>
      </x:c>
      <x:c r="AG14" s="8">
        <x:f t="shared" si="3"/>
        <x:v>-30</x:v>
      </x:c>
      <x:c r="AH14" s="8">
        <x:f t="shared" si="4"/>
        <x:v>0</x:v>
      </x:c>
    </x:row>
    <x:row r="15" ht="18">
      <x:c r="A15" s="57" t="s">
        <x:v>216</x:v>
      </x:c>
      <x:c r="B15" s="59" t="s">
        <x:v>229</x:v>
      </x:c>
      <x:c r="C15" s="59">
        <x:v>177</x:v>
      </x:c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 s="29"/>
      <x:c r="S15" s="29">
        <x:v>138</x:v>
      </x:c>
      <x:c r="T15" s="29">
        <x:v>9</x:v>
      </x:c>
      <x:c r="U15" s="29"/>
      <x:c r="V15" s="29"/>
      <x:c r="W15" s="29"/>
      <x:c r="X15" s="29"/>
      <x:c r="Y15" s="29"/>
      <x:c r="Z15" s="29"/>
      <x:c r="AA15" s="29"/>
      <x:c r="AB15" s="29"/>
      <x:c r="AC15" s="29"/>
      <x:c r="AD15" s="29">
        <x:f t="shared" si="0"/>
        <x:v>147</x:v>
      </x:c>
      <x:c r="AE15" s="8">
        <x:f t="shared" si="1"/>
        <x:v>0</x:v>
      </x:c>
      <x:c r="AF15" s="8">
        <x:f t="shared" si="2"/>
        <x:v>177</x:v>
      </x:c>
      <x:c r="AG15" s="8">
        <x:f t="shared" si="3"/>
        <x:v>-30</x:v>
      </x:c>
      <x:c r="AH15" s="8">
        <x:f t="shared" si="4"/>
        <x:v>0</x:v>
      </x:c>
    </x:row>
    <x:row r="16" ht="18">
      <x:c r="A16" s="57" t="s">
        <x:v>218</x:v>
      </x:c>
      <x:c r="B16" s="59" t="s">
        <x:v>231</x:v>
      </x:c>
      <x:c r="C16" s="59">
        <x:v>177</x:v>
      </x:c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 s="29"/>
      <x:c r="S16" s="29">
        <x:v>16</x:v>
      </x:c>
      <x:c r="T16" s="29">
        <x:v>24</x:v>
      </x:c>
      <x:c r="U16" s="29"/>
      <x:c r="V16" s="29"/>
      <x:c r="W16" s="29"/>
      <x:c r="X16" s="29">
        <x:v>57</x:v>
      </x:c>
      <x:c r="Y16" s="29"/>
      <x:c r="Z16" s="29"/>
      <x:c r="AA16" s="29"/>
      <x:c r="AB16" s="29"/>
      <x:c r="AC16" s="29"/>
      <x:c r="AD16" s="29">
        <x:f t="shared" si="0"/>
        <x:v>97</x:v>
      </x:c>
      <x:c r="AE16" s="8">
        <x:f t="shared" si="1"/>
        <x:v>0</x:v>
      </x:c>
      <x:c r="AF16" s="8">
        <x:f t="shared" si="2"/>
        <x:v>177</x:v>
      </x:c>
      <x:c r="AG16" s="8">
        <x:f t="shared" si="3"/>
        <x:v>-80</x:v>
      </x:c>
      <x:c r="AH16" s="8">
        <x:f t="shared" si="4"/>
        <x:v>0</x:v>
      </x:c>
    </x:row>
    <x:row r="17" ht="18">
      <x:c r="A17" s="57" t="s">
        <x:v>220</x:v>
      </x:c>
      <x:c r="B17" s="59" t="s">
        <x:v>233</x:v>
      </x:c>
      <x:c r="C17" s="59">
        <x:v>176</x:v>
      </x:c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 s="29">
        <x:v>79</x:v>
      </x:c>
      <x:c r="S17" s="29">
        <x:v>45</x:v>
      </x:c>
      <x:c r="T17" s="29"/>
      <x:c r="U17" s="29"/>
      <x:c r="V17" s="29"/>
      <x:c r="W17" s="29"/>
      <x:c r="X17" s="29"/>
      <x:c r="Y17" s="29"/>
      <x:c r="Z17" s="29"/>
      <x:c r="AA17" s="29"/>
      <x:c r="AB17" s="29"/>
      <x:c r="AC17" s="29"/>
      <x:c r="AD17" s="29">
        <x:f t="shared" si="0"/>
        <x:v>124</x:v>
      </x:c>
      <x:c r="AE17" s="8">
        <x:f t="shared" si="1"/>
        <x:v>0</x:v>
      </x:c>
      <x:c r="AF17" s="8">
        <x:f t="shared" si="2"/>
        <x:v>176</x:v>
      </x:c>
      <x:c r="AG17" s="8">
        <x:f t="shared" si="3"/>
        <x:v>-52</x:v>
      </x:c>
      <x:c r="AH17" s="8">
        <x:f t="shared" si="4"/>
        <x:v>0</x:v>
      </x:c>
    </x:row>
    <x:row r="18" ht="18">
      <x:c r="A18" s="57" t="s">
        <x:v>222</x:v>
      </x:c>
      <x:c r="B18" s="59" t="s">
        <x:v>235</x:v>
      </x:c>
      <x:c r="C18" s="59">
        <x:v>183</x:v>
      </x:c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 s="29">
        <x:v>16</x:v>
      </x:c>
      <x:c r="S18" s="29"/>
      <x:c r="T18" s="29">
        <x:v>20</x:v>
      </x:c>
      <x:c r="U18" s="29"/>
      <x:c r="V18" s="29"/>
      <x:c r="W18" s="29"/>
      <x:c r="X18" s="29">
        <x:v>58</x:v>
      </x:c>
      <x:c r="Y18" s="29"/>
      <x:c r="Z18" s="29"/>
      <x:c r="AA18" s="29"/>
      <x:c r="AB18" s="29"/>
      <x:c r="AC18" s="29"/>
      <x:c r="AD18" s="29">
        <x:f t="shared" si="0"/>
        <x:v>94</x:v>
      </x:c>
      <x:c r="AE18" s="8">
        <x:f t="shared" si="1"/>
        <x:v>0</x:v>
      </x:c>
      <x:c r="AF18" s="8">
        <x:f t="shared" si="2"/>
        <x:v>183</x:v>
      </x:c>
      <x:c r="AG18" s="8">
        <x:f t="shared" si="3"/>
        <x:v>-89</x:v>
      </x:c>
      <x:c r="AH18" s="8">
        <x:f t="shared" si="4"/>
        <x:v>0</x:v>
      </x:c>
    </x:row>
    <x:row r="19" ht="18">
      <x:c r="A19" s="57" t="s">
        <x:v>287</x:v>
      </x:c>
      <x:c r="B19" s="59" t="s">
        <x:v>237</x:v>
      </x:c>
      <x:c r="C19" s="59">
        <x:v>176</x:v>
      </x:c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 s="29"/>
      <x:c r="S19" s="29"/>
      <x:c r="T19" s="29"/>
      <x:c r="U19" s="29"/>
      <x:c r="V19" s="29"/>
      <x:c r="W19" s="29"/>
      <x:c r="X19" s="29"/>
      <x:c r="Y19" s="29"/>
      <x:c r="Z19" s="29"/>
      <x:c r="AA19" s="29"/>
      <x:c r="AB19" s="29"/>
      <x:c r="AC19" s="29"/>
      <x:c r="AD19" s="29">
        <x:f t="shared" si="0"/>
        <x:v>0</x:v>
      </x:c>
      <x:c r="AE19" s="8">
        <x:f t="shared" si="1"/>
        <x:v>0</x:v>
      </x:c>
      <x:c r="AF19" s="8">
        <x:f t="shared" si="2"/>
        <x:v>176</x:v>
      </x:c>
      <x:c r="AG19" s="8">
        <x:f t="shared" si="3"/>
        <x:v>-176</x:v>
      </x:c>
      <x:c r="AH19" s="8">
        <x:f t="shared" si="4"/>
        <x:v>0</x:v>
      </x:c>
    </x:row>
    <x:row r="20" ht="18">
      <x:c r="A20" s="57" t="s">
        <x:v>224</x:v>
      </x:c>
      <x:c r="B20" s="59" t="s">
        <x:v>239</x:v>
      </x:c>
      <x:c r="C20" s="59">
        <x:v>176</x:v>
      </x:c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 s="29">
        <x:v>7</x:v>
      </x:c>
      <x:c r="S20" s="29">
        <x:v>6</x:v>
      </x:c>
      <x:c r="T20" s="29">
        <x:v>7</x:v>
      </x:c>
      <x:c r="U20" s="29">
        <x:v>7</x:v>
      </x:c>
      <x:c r="V20" s="29">
        <x:v>6</x:v>
      </x:c>
      <x:c r="W20" s="29">
        <x:v>7</x:v>
      </x:c>
      <x:c r="X20" s="29">
        <x:v>7</x:v>
      </x:c>
      <x:c r="Y20" s="29">
        <x:v>7</x:v>
      </x:c>
      <x:c r="Z20" s="29">
        <x:v>7</x:v>
      </x:c>
      <x:c r="AA20" s="29">
        <x:v>7</x:v>
      </x:c>
      <x:c r="AB20" s="29">
        <x:v>6</x:v>
      </x:c>
      <x:c r="AC20" s="29">
        <x:v>7</x:v>
      </x:c>
      <x:c r="AD20" s="29">
        <x:f t="shared" si="0"/>
        <x:v>81</x:v>
      </x:c>
      <x:c r="AE20" s="8">
        <x:f t="shared" si="1"/>
        <x:v>0</x:v>
      </x:c>
      <x:c r="AF20" s="8">
        <x:f t="shared" si="2"/>
        <x:v>176</x:v>
      </x:c>
      <x:c r="AG20" s="8">
        <x:f t="shared" si="3"/>
        <x:v>-95</x:v>
      </x:c>
      <x:c r="AH20" s="8">
        <x:f t="shared" si="4"/>
        <x:v>0</x:v>
      </x:c>
    </x:row>
    <x:row r="21" ht="18">
      <x:c r="A21" s="57" t="s">
        <x:v>288</x:v>
      </x:c>
      <x:c r="B21" s="59" t="s">
        <x:v>241</x:v>
      </x:c>
      <x:c r="C21" s="59">
        <x:v>176</x:v>
      </x:c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 s="29">
        <x:v>20</x:v>
      </x:c>
      <x:c r="S21" s="29">
        <x:v>50</x:v>
      </x:c>
      <x:c r="T21" s="29"/>
      <x:c r="U21" s="29">
        <x:v>10</x:v>
      </x:c>
      <x:c r="V21" s="29"/>
      <x:c r="W21" s="29">
        <x:v>10</x:v>
      </x:c>
      <x:c r="X21" s="29">
        <x:v>10</x:v>
      </x:c>
      <x:c r="Y21" s="29"/>
      <x:c r="Z21" s="29"/>
      <x:c r="AA21" s="29"/>
      <x:c r="AB21" s="29">
        <x:v>10</x:v>
      </x:c>
      <x:c r="AC21" s="29">
        <x:v>10</x:v>
      </x:c>
      <x:c r="AD21" s="29">
        <x:f t="shared" si="0"/>
        <x:v>120</x:v>
      </x:c>
      <x:c r="AE21" s="8">
        <x:f t="shared" si="1"/>
        <x:v>0</x:v>
      </x:c>
      <x:c r="AF21" s="8">
        <x:f t="shared" si="2"/>
        <x:v>176</x:v>
      </x:c>
      <x:c r="AG21" s="8">
        <x:f t="shared" si="3"/>
        <x:v>-56</x:v>
      </x:c>
      <x:c r="AH21" s="8">
        <x:f t="shared" si="4"/>
        <x:v>0</x:v>
      </x:c>
    </x:row>
    <x:row r="22" ht="18">
      <x:c r="A22" s="57" t="s">
        <x:v>289</x:v>
      </x:c>
      <x:c r="B22" s="59" t="s">
        <x:v>243</x:v>
      </x:c>
      <x:c r="C22" s="59">
        <x:v>209</x:v>
      </x:c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 s="29"/>
      <x:c r="S22" s="29"/>
      <x:c r="T22" s="29"/>
      <x:c r="U22" s="29"/>
      <x:c r="V22" s="29"/>
      <x:c r="W22" s="29"/>
      <x:c r="X22" s="29"/>
      <x:c r="Y22" s="29"/>
      <x:c r="Z22" s="29"/>
      <x:c r="AA22" s="29"/>
      <x:c r="AB22" s="29"/>
      <x:c r="AC22" s="29"/>
      <x:c r="AD22" s="29">
        <x:f t="shared" si="0"/>
        <x:v>0</x:v>
      </x:c>
      <x:c r="AE22" s="8">
        <x:f t="shared" si="1"/>
        <x:v>0</x:v>
      </x:c>
      <x:c r="AF22" s="8">
        <x:f t="shared" si="2"/>
        <x:v>209</x:v>
      </x:c>
      <x:c r="AG22" s="8">
        <x:f t="shared" si="3"/>
        <x:v>-209</x:v>
      </x:c>
      <x:c r="AH22" s="8">
        <x:f t="shared" si="4"/>
        <x:v>0</x:v>
      </x:c>
    </x:row>
    <x:row r="23" ht="18">
      <x:c r="A23" s="57" t="s">
        <x:v>290</x:v>
      </x:c>
      <x:c r="B23" s="59" t="s">
        <x:v>245</x:v>
      </x:c>
      <x:c r="C23" s="58">
        <x:v>176</x:v>
      </x:c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 s="29">
        <x:v>18</x:v>
      </x:c>
      <x:c r="S23" s="29">
        <x:v>15</x:v>
      </x:c>
      <x:c r="T23" s="29"/>
      <x:c r="U23" s="29">
        <x:v>16</x:v>
      </x:c>
      <x:c r="V23" s="29"/>
      <x:c r="W23" s="29"/>
      <x:c r="X23" s="29"/>
      <x:c r="Y23" s="29"/>
      <x:c r="Z23" s="29"/>
      <x:c r="AA23" s="29">
        <x:v>58</x:v>
      </x:c>
      <x:c r="AB23" s="29">
        <x:v>69</x:v>
      </x:c>
      <x:c r="AC23" s="29"/>
      <x:c r="AD23" s="29">
        <x:f t="shared" si="0"/>
        <x:v>176</x:v>
      </x:c>
      <x:c r="AE23" s="8">
        <x:f t="shared" si="1"/>
        <x:v>0</x:v>
      </x:c>
      <x:c r="AF23" s="8">
        <x:f t="shared" si="2"/>
        <x:v>176</x:v>
      </x:c>
      <x:c r="AG23" s="8">
        <x:f t="shared" si="3"/>
        <x:v>0</x:v>
      </x:c>
      <x:c r="AH23" s="8">
        <x:f t="shared" si="4"/>
        <x:v>0</x:v>
      </x:c>
    </x:row>
    <x:row r="24" ht="18">
      <x:c r="A24" s="57" t="s">
        <x:v>226</x:v>
      </x:c>
      <x:c r="B24" s="59" t="s">
        <x:v>247</x:v>
      </x:c>
      <x:c r="C24" s="59">
        <x:v>225</x:v>
      </x:c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 s="29"/>
      <x:c r="S24" s="29"/>
      <x:c r="T24" s="29"/>
      <x:c r="U24" s="29"/>
      <x:c r="V24" s="29"/>
      <x:c r="W24" s="29"/>
      <x:c r="X24" s="29"/>
      <x:c r="Y24" s="29"/>
      <x:c r="Z24" s="29"/>
      <x:c r="AA24" s="29"/>
      <x:c r="AB24" s="29"/>
      <x:c r="AC24" s="29"/>
      <x:c r="AD24" s="29">
        <x:f t="shared" si="0"/>
        <x:v>0</x:v>
      </x:c>
      <x:c r="AE24" s="8">
        <x:f t="shared" si="1"/>
        <x:v>0</x:v>
      </x:c>
      <x:c r="AF24" s="8">
        <x:f t="shared" si="2"/>
        <x:v>225</x:v>
      </x:c>
      <x:c r="AG24" s="8">
        <x:f t="shared" si="3"/>
        <x:v>-225</x:v>
      </x:c>
      <x:c r="AH24" s="8">
        <x:f t="shared" si="4"/>
        <x:v>0</x:v>
      </x:c>
    </x:row>
    <x:row r="25" ht="18">
      <x:c r="A25" s="57" t="s">
        <x:v>228</x:v>
      </x:c>
      <x:c r="B25" s="59" t="s">
        <x:v>249</x:v>
      </x:c>
      <x:c r="C25" s="59">
        <x:v>176</x:v>
      </x:c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 s="29"/>
      <x:c r="S25" s="29"/>
      <x:c r="T25" s="29"/>
      <x:c r="U25" s="29"/>
      <x:c r="V25" s="29"/>
      <x:c r="W25" s="29"/>
      <x:c r="X25" s="29">
        <x:v>18</x:v>
      </x:c>
      <x:c r="Y25" s="29"/>
      <x:c r="Z25" s="29"/>
      <x:c r="AA25" s="29"/>
      <x:c r="AB25" s="29"/>
      <x:c r="AC25" s="29"/>
      <x:c r="AD25" s="29">
        <x:f t="shared" si="0"/>
        <x:v>18</x:v>
      </x:c>
      <x:c r="AE25" s="8">
        <x:f t="shared" si="1"/>
        <x:v>0</x:v>
      </x:c>
      <x:c r="AF25" s="8">
        <x:f t="shared" si="2"/>
        <x:v>176</x:v>
      </x:c>
      <x:c r="AG25" s="8">
        <x:f t="shared" si="3"/>
        <x:v>-158</x:v>
      </x:c>
      <x:c r="AH25" s="8">
        <x:f t="shared" si="4"/>
        <x:v>0</x:v>
      </x:c>
    </x:row>
    <x:row r="26" ht="18">
      <x:c r="A26" s="57" t="s">
        <x:v>291</x:v>
      </x:c>
      <x:c r="B26" s="59" t="s">
        <x:v>251</x:v>
      </x:c>
      <x:c r="C26" s="59">
        <x:v>176</x:v>
      </x:c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 s="29">
        <x:v>7</x:v>
      </x:c>
      <x:c r="S26" s="29">
        <x:v>7</x:v>
      </x:c>
      <x:c r="T26" s="29">
        <x:v>6</x:v>
      </x:c>
      <x:c r="U26" s="29">
        <x:v>7</x:v>
      </x:c>
      <x:c r="V26" s="29">
        <x:v>6</x:v>
      </x:c>
      <x:c r="W26" s="29">
        <x:v>7</x:v>
      </x:c>
      <x:c r="X26" s="29">
        <x:v>7</x:v>
      </x:c>
      <x:c r="Y26" s="29">
        <x:v>6</x:v>
      </x:c>
      <x:c r="Z26" s="29">
        <x:v>6</x:v>
      </x:c>
      <x:c r="AA26" s="29">
        <x:v>7</x:v>
      </x:c>
      <x:c r="AB26" s="29">
        <x:v>7</x:v>
      </x:c>
      <x:c r="AC26" s="29">
        <x:v>6</x:v>
      </x:c>
      <x:c r="AD26" s="29">
        <x:f t="shared" si="0"/>
        <x:v>79</x:v>
      </x:c>
      <x:c r="AE26" s="8">
        <x:f t="shared" si="1"/>
        <x:v>0</x:v>
      </x:c>
      <x:c r="AF26" s="8">
        <x:f t="shared" si="2"/>
        <x:v>176</x:v>
      </x:c>
      <x:c r="AG26" s="8">
        <x:f t="shared" si="3"/>
        <x:v>-97</x:v>
      </x:c>
      <x:c r="AH26" s="8">
        <x:f t="shared" si="4"/>
        <x:v>0</x:v>
      </x:c>
    </x:row>
    <x:row r="27" ht="18">
      <x:c r="A27" s="57" t="s">
        <x:v>230</x:v>
      </x:c>
      <x:c r="B27" s="59" t="s">
        <x:v>253</x:v>
      </x:c>
      <x:c r="C27" s="59">
        <x:v>176</x:v>
      </x:c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 s="29"/>
      <x:c r="S27" s="29"/>
      <x:c r="T27" s="29"/>
      <x:c r="U27" s="29"/>
      <x:c r="V27" s="29"/>
      <x:c r="W27" s="29"/>
      <x:c r="X27" s="29"/>
      <x:c r="Y27" s="29"/>
      <x:c r="Z27" s="29"/>
      <x:c r="AA27" s="29"/>
      <x:c r="AB27" s="29"/>
      <x:c r="AC27" s="29">
        <x:v>36</x:v>
      </x:c>
      <x:c r="AD27" s="29">
        <x:f t="shared" si="0"/>
        <x:v>36</x:v>
      </x:c>
      <x:c r="AE27" s="8">
        <x:f t="shared" si="1"/>
        <x:v>0</x:v>
      </x:c>
      <x:c r="AF27" s="8">
        <x:f t="shared" si="2"/>
        <x:v>176</x:v>
      </x:c>
      <x:c r="AG27" s="8">
        <x:f t="shared" si="3"/>
        <x:v>-140</x:v>
      </x:c>
      <x:c r="AH27" s="8">
        <x:f t="shared" si="4"/>
        <x:v>0</x:v>
      </x:c>
    </x:row>
    <x:row r="28" ht="18">
      <x:c r="A28" s="57" t="s">
        <x:v>292</x:v>
      </x:c>
      <x:c r="B28" s="59" t="s">
        <x:v>255</x:v>
      </x:c>
      <x:c r="C28" s="59">
        <x:v>192</x:v>
      </x:c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 s="29"/>
      <x:c r="S28" s="29"/>
      <x:c r="T28" s="29"/>
      <x:c r="U28" s="29"/>
      <x:c r="V28" s="29"/>
      <x:c r="W28" s="29"/>
      <x:c r="X28" s="29">
        <x:v>20</x:v>
      </x:c>
      <x:c r="Y28" s="29"/>
      <x:c r="Z28" s="29"/>
      <x:c r="AA28" s="29"/>
      <x:c r="AB28" s="29"/>
      <x:c r="AC28" s="29"/>
      <x:c r="AD28" s="29">
        <x:f t="shared" si="0"/>
        <x:v>20</x:v>
      </x:c>
      <x:c r="AE28" s="8">
        <x:f t="shared" si="1"/>
        <x:v>0</x:v>
      </x:c>
      <x:c r="AF28" s="8">
        <x:f t="shared" si="2"/>
        <x:v>192</x:v>
      </x:c>
      <x:c r="AG28" s="8">
        <x:f t="shared" si="3"/>
        <x:v>-172</x:v>
      </x:c>
      <x:c r="AH28" s="8">
        <x:f t="shared" si="4"/>
        <x:v>0</x:v>
      </x:c>
    </x:row>
    <x:row r="29" ht="18">
      <x:c r="A29" s="57" t="s">
        <x:v>232</x:v>
      </x:c>
      <x:c r="B29" s="59" t="s">
        <x:v>257</x:v>
      </x:c>
      <x:c r="C29" s="59">
        <x:v>176</x:v>
      </x:c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 s="29">
        <x:v>18</x:v>
      </x:c>
      <x:c r="S29" s="29">
        <x:v>108</x:v>
      </x:c>
      <x:c r="T29" s="29"/>
      <x:c r="U29" s="29"/>
      <x:c r="V29" s="29">
        <x:v>18</x:v>
      </x:c>
      <x:c r="W29" s="29"/>
      <x:c r="X29" s="29"/>
      <x:c r="Y29" s="29"/>
      <x:c r="Z29" s="29"/>
      <x:c r="AA29" s="29"/>
      <x:c r="AB29" s="29"/>
      <x:c r="AC29" s="29"/>
      <x:c r="AD29" s="29">
        <x:f t="shared" si="0"/>
        <x:v>144</x:v>
      </x:c>
      <x:c r="AE29" s="8">
        <x:f t="shared" si="1"/>
        <x:v>0</x:v>
      </x:c>
      <x:c r="AF29" s="8">
        <x:f t="shared" si="2"/>
        <x:v>176</x:v>
      </x:c>
      <x:c r="AG29" s="8">
        <x:f t="shared" si="3"/>
        <x:v>-32</x:v>
      </x:c>
      <x:c r="AH29" s="8">
        <x:f t="shared" si="4"/>
        <x:v>0</x:v>
      </x:c>
    </x:row>
    <x:row r="30" ht="18">
      <x:c r="A30" s="57" t="s">
        <x:v>293</x:v>
      </x:c>
      <x:c r="B30" s="59" t="s">
        <x:v>259</x:v>
      </x:c>
      <x:c r="C30" s="59">
        <x:v>176</x:v>
      </x:c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 s="29"/>
      <x:c r="S30" s="29"/>
      <x:c r="T30" s="29"/>
      <x:c r="U30" s="29">
        <x:v>100</x:v>
      </x:c>
      <x:c r="V30" s="29"/>
      <x:c r="W30" s="29"/>
      <x:c r="X30" s="29"/>
      <x:c r="Y30" s="29"/>
      <x:c r="Z30" s="29"/>
      <x:c r="AA30" s="29"/>
      <x:c r="AB30" s="29"/>
      <x:c r="AC30" s="29"/>
      <x:c r="AD30" s="29">
        <x:f t="shared" si="0"/>
        <x:v>100</x:v>
      </x:c>
      <x:c r="AE30" s="8">
        <x:f t="shared" si="1"/>
        <x:v>0</x:v>
      </x:c>
      <x:c r="AF30" s="8">
        <x:f t="shared" si="2"/>
        <x:v>176</x:v>
      </x:c>
      <x:c r="AG30" s="8">
        <x:f t="shared" si="3"/>
        <x:v>-76</x:v>
      </x:c>
      <x:c r="AH30" s="8">
        <x:f t="shared" si="4"/>
        <x:v>0</x:v>
      </x:c>
    </x:row>
    <x:row r="31" ht="18">
      <x:c r="A31" s="57" t="s">
        <x:v>234</x:v>
      </x:c>
      <x:c r="B31" s="59" t="s">
        <x:v>261</x:v>
      </x:c>
      <x:c r="C31" s="59">
        <x:v>176</x:v>
      </x:c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 s="29">
        <x:v>48</x:v>
      </x:c>
      <x:c r="S31" s="29">
        <x:v>40</x:v>
      </x:c>
      <x:c r="T31" s="29"/>
      <x:c r="U31" s="29">
        <x:v>64</x:v>
      </x:c>
      <x:c r="V31" s="29"/>
      <x:c r="W31" s="29"/>
      <x:c r="X31" s="29"/>
      <x:c r="Y31" s="29"/>
      <x:c r="Z31" s="29"/>
      <x:c r="AA31" s="29"/>
      <x:c r="AB31" s="29"/>
      <x:c r="AC31" s="29"/>
      <x:c r="AD31" s="29">
        <x:f t="shared" si="0"/>
        <x:v>152</x:v>
      </x:c>
      <x:c r="AE31" s="8">
        <x:f t="shared" si="1"/>
        <x:v>0</x:v>
      </x:c>
      <x:c r="AF31" s="8">
        <x:f t="shared" si="2"/>
        <x:v>176</x:v>
      </x:c>
      <x:c r="AG31" s="8">
        <x:f t="shared" si="3"/>
        <x:v>-24</x:v>
      </x:c>
      <x:c r="AH31" s="8">
        <x:f t="shared" si="4"/>
        <x:v>0</x:v>
      </x:c>
    </x:row>
    <x:row r="32" ht="18">
      <x:c r="A32" s="57" t="s">
        <x:v>236</x:v>
      </x:c>
      <x:c r="B32" s="59" t="s">
        <x:v>263</x:v>
      </x:c>
      <x:c r="C32" s="59">
        <x:v>190</x:v>
      </x:c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 s="29"/>
      <x:c r="S32" s="29"/>
      <x:c r="T32" s="29"/>
      <x:c r="U32" s="29"/>
      <x:c r="V32" s="29"/>
      <x:c r="W32" s="29"/>
      <x:c r="X32" s="29"/>
      <x:c r="Y32" s="29">
        <x:v>20</x:v>
      </x:c>
      <x:c r="Z32" s="29"/>
      <x:c r="AA32" s="29"/>
      <x:c r="AB32" s="29"/>
      <x:c r="AC32" s="29"/>
      <x:c r="AD32" s="29">
        <x:f t="shared" si="0"/>
        <x:v>20</x:v>
      </x:c>
      <x:c r="AE32" s="8">
        <x:f t="shared" si="1"/>
        <x:v>0</x:v>
      </x:c>
      <x:c r="AF32" s="8">
        <x:f t="shared" si="2"/>
        <x:v>190</x:v>
      </x:c>
      <x:c r="AG32" s="8">
        <x:f t="shared" si="3"/>
        <x:v>-170</x:v>
      </x:c>
      <x:c r="AH32" s="8">
        <x:f t="shared" si="4"/>
        <x:v>0</x:v>
      </x:c>
    </x:row>
    <x:row r="33" ht="18">
      <x:c r="A33" s="57" t="s">
        <x:v>238</x:v>
      </x:c>
      <x:c r="B33" s="59" t="s">
        <x:v>265</x:v>
      </x:c>
      <x:c r="C33" s="59">
        <x:v>186</x:v>
      </x:c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 s="29"/>
      <x:c r="S33" s="29"/>
      <x:c r="T33" s="29"/>
      <x:c r="U33" s="29"/>
      <x:c r="V33" s="29"/>
      <x:c r="W33" s="29"/>
      <x:c r="X33" s="29"/>
      <x:c r="Y33" s="29"/>
      <x:c r="Z33" s="29"/>
      <x:c r="AA33" s="29"/>
      <x:c r="AB33" s="29"/>
      <x:c r="AC33" s="29"/>
      <x:c r="AD33" s="29">
        <x:f t="shared" si="0"/>
        <x:v>0</x:v>
      </x:c>
      <x:c r="AE33" s="8">
        <x:f t="shared" si="1"/>
        <x:v>0</x:v>
      </x:c>
      <x:c r="AF33" s="8">
        <x:f t="shared" si="2"/>
        <x:v>186</x:v>
      </x:c>
      <x:c r="AG33" s="8">
        <x:f t="shared" si="3"/>
        <x:v>-186</x:v>
      </x:c>
      <x:c r="AH33" s="8">
        <x:f t="shared" si="4"/>
        <x:v>0</x:v>
      </x:c>
    </x:row>
    <x:row r="34" ht="18">
      <x:c r="A34" s="57" t="s">
        <x:v>240</x:v>
      </x:c>
      <x:c r="B34" s="59" t="s">
        <x:v>267</x:v>
      </x:c>
      <x:c r="C34" s="59">
        <x:v>120</x:v>
      </x:c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 s="29">
        <x:v>4</x:v>
      </x:c>
      <x:c r="S34" s="29">
        <x:v>10</x:v>
      </x:c>
      <x:c r="T34" s="29"/>
      <x:c r="U34" s="29"/>
      <x:c r="V34" s="29"/>
      <x:c r="W34" s="29"/>
      <x:c r="X34" s="29">
        <x:v>8</x:v>
      </x:c>
      <x:c r="Y34" s="29">
        <x:v>8</x:v>
      </x:c>
      <x:c r="Z34" s="29"/>
      <x:c r="AA34" s="29">
        <x:v>8</x:v>
      </x:c>
      <x:c r="AB34" s="29"/>
      <x:c r="AC34" s="29"/>
      <x:c r="AD34" s="29">
        <x:f t="shared" si="0"/>
        <x:v>38</x:v>
      </x:c>
      <x:c r="AE34" s="8">
        <x:f t="shared" si="1"/>
        <x:v>0</x:v>
      </x:c>
      <x:c r="AF34" s="8">
        <x:f t="shared" si="2"/>
        <x:v>120</x:v>
      </x:c>
      <x:c r="AG34" s="8">
        <x:f t="shared" si="3"/>
        <x:v>-82</x:v>
      </x:c>
      <x:c r="AH34" s="8">
        <x:f t="shared" si="4"/>
        <x:v>0</x:v>
      </x:c>
    </x:row>
    <x:row r="35" ht="18">
      <x:c r="A35" s="57" t="s">
        <x:v>242</x:v>
      </x:c>
      <x:c r="B35" s="59" t="s">
        <x:v>271</x:v>
      </x:c>
      <x:c r="C35" s="59">
        <x:v>210</x:v>
      </x:c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 s="29"/>
      <x:c r="S35" s="29"/>
      <x:c r="T35" s="29"/>
      <x:c r="U35" s="29"/>
      <x:c r="V35" s="29"/>
      <x:c r="W35" s="29"/>
      <x:c r="X35" s="29"/>
      <x:c r="Y35" s="29"/>
      <x:c r="Z35" s="29"/>
      <x:c r="AA35" s="29"/>
      <x:c r="AB35" s="29"/>
      <x:c r="AC35" s="29"/>
      <x:c r="AD35" s="29"/>
      <x:c r="AE35" s="8"/>
      <x:c r="AF35" s="8"/>
      <x:c r="AG35" s="8"/>
      <x:c r="AH35" s="8">
        <x:f t="shared" si="4"/>
        <x:v>0</x:v>
      </x:c>
    </x:row>
    <x:row r="36">
      <x:c r="A36" s="126" t="s">
        <x:v>49</x:v>
      </x:c>
      <x:c r="B36" s="126"/>
      <x:c r="C36" s="8"/>
      <x:c r="D36" s="63" t="n">
        <x:f>SUM(D3:D35)</x:f>
        <x:v>0</x:v>
      </x:c>
      <x:c r="E36" s="63" t="n">
        <x:f t="shared" ref="E36:Q36" si="5">SUM(E3:E35)</x:f>
        <x:v>0</x:v>
      </x:c>
      <x:c r="F36" s="63">
        <x:f t="shared" si="5"/>
        <x:v>0</x:v>
      </x:c>
      <x:c r="G36" s="63">
        <x:f t="shared" si="5"/>
        <x:v>0</x:v>
      </x:c>
      <x:c r="H36" s="63">
        <x:f t="shared" si="5"/>
        <x:v>0</x:v>
      </x:c>
      <x:c r="I36" s="63">
        <x:f t="shared" si="5"/>
        <x:v>0</x:v>
      </x:c>
      <x:c r="J36" s="63">
        <x:f t="shared" si="5"/>
        <x:v>0</x:v>
      </x:c>
      <x:c r="K36" s="63">
        <x:f t="shared" si="5"/>
        <x:v>0</x:v>
      </x:c>
      <x:c r="L36" s="63">
        <x:f t="shared" si="5"/>
        <x:v>0</x:v>
      </x:c>
      <x:c r="M36" s="63">
        <x:f t="shared" si="5"/>
        <x:v>0</x:v>
      </x:c>
      <x:c r="N36" s="63">
        <x:f t="shared" si="5"/>
        <x:v>0</x:v>
      </x:c>
      <x:c r="O36" s="63">
        <x:f t="shared" si="5"/>
        <x:v>0</x:v>
      </x:c>
      <x:c r="P36" s="63">
        <x:f t="shared" si="5"/>
        <x:v>0</x:v>
      </x:c>
      <x:c r="Q36" s="63">
        <x:f t="shared" si="5"/>
        <x:v>0</x:v>
      </x:c>
      <x:c r="R36" s="63" t="n">
        <x:f t="shared" ref="R36:AG36" si="6">SUM(R3:R34)</x:f>
        <x:v>324</x:v>
      </x:c>
      <x:c r="S36" s="63">
        <x:f t="shared" si="6"/>
        <x:v>772</x:v>
      </x:c>
      <x:c r="T36" s="63">
        <x:f t="shared" si="6"/>
        <x:v>124</x:v>
      </x:c>
      <x:c r="U36" s="63">
        <x:f t="shared" si="6"/>
        <x:v>301</x:v>
      </x:c>
      <x:c r="V36" s="63">
        <x:f t="shared" si="6"/>
        <x:v>52</x:v>
      </x:c>
      <x:c r="W36" s="63">
        <x:f t="shared" si="6"/>
        <x:v>46</x:v>
      </x:c>
      <x:c r="X36" s="63">
        <x:f t="shared" si="6"/>
        <x:v>247</x:v>
      </x:c>
      <x:c r="Y36" s="63">
        <x:f t="shared" si="6"/>
        <x:v>94</x:v>
      </x:c>
      <x:c r="Z36" s="63">
        <x:f t="shared" si="6"/>
        <x:v>44</x:v>
      </x:c>
      <x:c r="AA36" s="63">
        <x:f t="shared" si="6"/>
        <x:v>91</x:v>
      </x:c>
      <x:c r="AB36" s="63">
        <x:f t="shared" si="6"/>
        <x:v>99</x:v>
      </x:c>
      <x:c r="AC36" s="63">
        <x:f t="shared" si="6"/>
        <x:v>66</x:v>
      </x:c>
      <x:c r="AD36" s="63">
        <x:f t="shared" si="6"/>
        <x:v>2260</x:v>
      </x:c>
      <x:c r="AE36" s="63">
        <x:f t="shared" si="6"/>
        <x:v>0</x:v>
      </x:c>
      <x:c r="AF36" s="63">
        <x:f t="shared" si="6"/>
        <x:v>5789</x:v>
      </x:c>
      <x:c r="AG36" s="63">
        <x:f t="shared" si="6"/>
        <x:v>-3529</x:v>
      </x:c>
      <x:c r="AH36" s="63" t="n">
        <x:f>SUM(AH3:AH35)</x:f>
        <x:v>0</x:v>
      </x:c>
    </x:row>
    <x:row r="41">
      <x:c r="H41" s="112"/>
      <x:c r="I41" s="112"/>
      <x:c r="J41" s="124"/>
    </x:row>
    <x:row r="42">
      <x:c r="H42" s="112"/>
      <x:c r="I42" s="112"/>
      <x:c r="J42" s="124"/>
    </x:row>
    <x:row r="43">
      <x:c r="H43" s="13"/>
      <x:c r="I43" s="13"/>
      <x:c r="J43" s="14"/>
    </x:row>
    <x:row r="44">
      <x:c r="H44" s="13"/>
      <x:c r="I44" s="13"/>
      <x:c r="J44" s="14"/>
    </x:row>
    <x:row r="45">
      <x:c r="H45" s="13"/>
      <x:c r="I45" s="13"/>
      <x:c r="J45" s="14"/>
    </x:row>
    <x:row r="46">
      <x:c r="H46" s="13"/>
      <x:c r="I46" s="13"/>
      <x:c r="J46" s="14"/>
    </x:row>
    <x:row r="47">
      <x:c r="H47" s="13"/>
      <x:c r="I47" s="13"/>
      <x:c r="J47" s="14"/>
    </x:row>
    <x:row r="48">
      <x:c r="H48" s="13"/>
      <x:c r="I48" s="13"/>
      <x:c r="J48" s="14"/>
    </x:row>
    <x:row r="49">
      <x:c r="H49" s="13"/>
      <x:c r="I49" s="13"/>
      <x:c r="J49" s="14"/>
    </x:row>
    <x:row r="50">
      <x:c r="H50" s="13"/>
      <x:c r="I50" s="13"/>
      <x:c r="J50" s="14"/>
    </x:row>
    <x:row r="51">
      <x:c r="H51" s="13"/>
      <x:c r="I51" s="13"/>
      <x:c r="J51" s="14"/>
    </x:row>
    <x:row r="52">
      <x:c r="H52" s="13"/>
      <x:c r="I52" s="13"/>
      <x:c r="J52" s="14"/>
    </x:row>
    <x:row r="53">
      <x:c r="H53" s="13"/>
      <x:c r="I53" s="13"/>
      <x:c r="J53" s="14"/>
    </x:row>
    <x:row r="54">
      <x:c r="H54" s="13"/>
      <x:c r="I54" s="13"/>
      <x:c r="J54" s="14"/>
    </x:row>
    <x:row r="55">
      <x:c r="H55" s="13"/>
      <x:c r="I55" s="13"/>
      <x:c r="J55" s="14"/>
    </x:row>
    <x:row r="56">
      <x:c r="H56" s="13"/>
      <x:c r="I56" s="13"/>
      <x:c r="J56" s="14"/>
    </x:row>
    <x:row r="57">
      <x:c r="H57" s="13"/>
      <x:c r="I57" s="13"/>
      <x:c r="J57" s="14"/>
    </x:row>
    <x:row r="58" ht="16">
      <x:c r="H58" s="13"/>
      <x:c r="I58" s="15"/>
      <x:c r="J58" s="14"/>
    </x:row>
    <x:row r="59" ht="16">
      <x:c r="H59" s="13"/>
      <x:c r="I59" s="15"/>
      <x:c r="J59" s="14"/>
    </x:row>
    <x:row r="60" ht="16">
      <x:c r="H60" s="13"/>
      <x:c r="I60" s="15"/>
      <x:c r="J60" s="14"/>
    </x:row>
    <x:row r="61">
      <x:c r="H61" s="111"/>
      <x:c r="I61" s="111"/>
      <x:c r="J61" s="14"/>
    </x:row>
  </x:sheetData>
  <x:mergeCells>
    <x:mergeCell ref="A36:B36"/>
    <x:mergeCell ref="H61:I61"/>
    <x:mergeCell ref="A1:A2"/>
    <x:mergeCell ref="B1:B2"/>
    <x:mergeCell ref="C1:C2"/>
    <x:mergeCell ref="H41:H42"/>
    <x:mergeCell ref="I41:I42"/>
    <x:mergeCell ref="J41:J42"/>
    <x:mergeCell ref="AE1:AE2"/>
    <x:mergeCell ref="AF1:AF2"/>
    <x:mergeCell ref="AG1:AG2"/>
    <x:mergeCell ref="AH1:AH2"/>
  </x:mergeCells>
  <x:conditionalFormatting sqref="B1:B1">
    <x:cfRule type="duplicateValues" dxfId="0" priority="1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10" defaultColWidth="9" defaultRowHeight="14"/>
  <x:cols>
    <x:col min="1" max="1" width="11.83203125" customWidth="1"/>
    <x:col min="2" max="2" width="16.1640625" customWidth="1"/>
    <x:col min="3" max="3" width="12.83203125" customWidth="1"/>
    <x:col min="4" max="4" width="11.6640625" customWidth="1"/>
    <x:col min="5" max="5" width="8" customWidth="1"/>
    <x:col min="6" max="6" width="67.5" customWidth="1"/>
    <x:col min="7" max="7" width="34.33203125" customWidth="1"/>
    <x:col min="8" max="8" width="12.6640625" customWidth="0"/>
    <x:col min="9" max="9" width="9.5" customWidth="1"/>
    <x:col min="16" max="16" width="11.5" style="44" customWidth="0"/>
    <x:col min="18" max="18" width="9" hidden="1" customWidth="1"/>
    <x:col min="24" max="24" width="11.5" customWidth="0"/>
    <x:col min="32" max="32" width="11.5" customWidth="0"/>
    <x:col min="40" max="40" width="11.5" customWidth="0"/>
    <x:col min="48" max="48" width="11.5" customWidth="0"/>
    <x:col min="56" max="56" width="11.5" customWidth="0"/>
    <x:col min="64" max="64" width="11.5" customWidth="0"/>
    <x:col min="72" max="72" width="11.5" customWidth="0"/>
    <x:col min="80" max="80" width="11.5" customWidth="0"/>
    <x:col min="88" max="88" width="11.5" customWidth="0"/>
    <x:col min="96" max="96" width="11.5" customWidth="0"/>
    <x:col min="104" max="104" width="11.5" customWidth="0"/>
    <x:col min="112" max="112" width="11.5" customWidth="0"/>
    <x:col min="120" max="120" width="11.5" customWidth="0"/>
    <x:col min="128" max="128" width="11.5" customWidth="0"/>
    <x:col min="136" max="136" width="11.5" customWidth="0"/>
    <x:col min="144" max="144" width="11.5" customWidth="0"/>
    <x:col min="152" max="152" width="11.5" customWidth="0"/>
    <x:col min="160" max="160" width="11.5" customWidth="0"/>
    <x:col min="168" max="168" width="11.5" customWidth="0"/>
    <x:col min="176" max="176" width="11.5" customWidth="0"/>
    <x:col min="184" max="184" width="11.5" customWidth="0"/>
    <x:col min="192" max="192" width="11.5" customWidth="0"/>
    <x:col min="200" max="200" width="11.5" customWidth="0"/>
    <x:col min="208" max="208" width="11.5" customWidth="0"/>
    <x:col min="216" max="216" width="11.5" customWidth="0"/>
    <x:col min="224" max="224" width="11.5" customWidth="0"/>
    <x:col min="232" max="232" width="11.5" customWidth="0"/>
    <x:col min="240" max="240" width="11.5" customWidth="0"/>
    <x:col min="248" max="248" width="11.5" customWidth="0"/>
    <x:col min="256" max="256" width="11.5" customWidth="0"/>
    <x:col min="264" max="264" width="11.5" customWidth="0"/>
    <x:col min="272" max="272" width="11.5" customWidth="0"/>
    <x:col min="280" max="280" width="11.5" customWidth="0"/>
    <x:col min="288" max="288" width="11.5" customWidth="0"/>
    <x:col min="296" max="296" width="11.5" customWidth="0"/>
    <x:col min="304" max="304" width="11.5" customWidth="0"/>
    <x:col min="312" max="312" width="11.5" customWidth="0"/>
    <x:col min="320" max="320" width="11.5" customWidth="0"/>
    <x:col min="328" max="328" width="11.5" customWidth="0"/>
    <x:col min="336" max="336" width="11.5" customWidth="0"/>
    <x:col min="344" max="344" width="11.5" customWidth="0"/>
    <x:col min="352" max="352" width="11.5" customWidth="0"/>
    <x:col min="360" max="360" width="11.5" customWidth="0"/>
    <x:col min="368" max="368" width="11.5" customWidth="0"/>
    <x:col min="376" max="376" width="11.5" customWidth="0"/>
    <x:col min="384" max="384" width="11.5" customWidth="0"/>
    <x:col min="392" max="392" width="11.5" customWidth="0"/>
    <x:col min="400" max="400" width="11.5" customWidth="0"/>
    <x:col min="408" max="408" width="11.5" customWidth="0"/>
    <x:col min="416" max="416" width="11.5" customWidth="0"/>
    <x:col min="424" max="424" width="11.5" customWidth="0"/>
    <x:col min="432" max="432" width="11.5" customWidth="0"/>
    <x:col min="440" max="440" width="11.5" customWidth="0"/>
    <x:col min="448" max="448" width="11.5" customWidth="0"/>
    <x:col min="456" max="456" width="11.5" customWidth="0"/>
    <x:col min="464" max="464" width="11.5" customWidth="0"/>
    <x:col min="472" max="472" width="11.5" customWidth="0"/>
    <x:col min="480" max="480" width="11.5" customWidth="0"/>
    <x:col min="488" max="488" width="11.5" customWidth="0"/>
    <x:col min="496" max="496" width="11.5" customWidth="0"/>
    <x:col min="504" max="504" width="11.5" customWidth="0"/>
    <x:col min="512" max="512" width="11.5" customWidth="0"/>
    <x:col min="520" max="520" width="11.5" customWidth="0"/>
    <x:col min="528" max="528" width="11.5" customWidth="0"/>
    <x:col min="536" max="536" width="11.5" customWidth="0"/>
    <x:col min="544" max="544" width="11.5" customWidth="0"/>
    <x:col min="552" max="552" width="11.5" customWidth="0"/>
    <x:col min="560" max="560" width="11.5" customWidth="0"/>
    <x:col min="568" max="568" width="11.5" customWidth="0"/>
    <x:col min="576" max="576" width="11.5" customWidth="0"/>
    <x:col min="584" max="584" width="11.5" customWidth="0"/>
    <x:col min="592" max="592" width="11.5" customWidth="0"/>
    <x:col min="600" max="600" width="11.5" customWidth="0"/>
    <x:col min="608" max="608" width="11.5" customWidth="0"/>
    <x:col min="616" max="616" width="11.5" customWidth="0"/>
    <x:col min="624" max="624" width="11.5" customWidth="0"/>
    <x:col min="632" max="632" width="11.5" customWidth="0"/>
    <x:col min="640" max="640" width="11.5" customWidth="0"/>
    <x:col min="648" max="648" width="11.5" customWidth="0"/>
    <x:col min="656" max="656" width="11.5" customWidth="0"/>
    <x:col min="664" max="664" width="11.5" customWidth="0"/>
    <x:col min="672" max="672" width="11.5" customWidth="0"/>
    <x:col min="680" max="680" width="11.5" customWidth="0"/>
    <x:col min="688" max="688" width="11.5" customWidth="0"/>
    <x:col min="696" max="696" width="11.5" customWidth="0"/>
    <x:col min="704" max="704" width="11.5" customWidth="0"/>
    <x:col min="712" max="712" width="11.5" customWidth="0"/>
    <x:col min="720" max="720" width="11.5" customWidth="0"/>
    <x:col min="728" max="728" width="11.5" customWidth="0"/>
    <x:col min="736" max="736" width="11.5" customWidth="0"/>
    <x:col min="744" max="744" width="11.5" customWidth="0"/>
    <x:col min="752" max="752" width="11.5" customWidth="0"/>
    <x:col min="760" max="760" width="11.5" customWidth="0"/>
    <x:col min="768" max="768" width="11.5" customWidth="0"/>
    <x:col min="776" max="776" width="11.5" customWidth="0"/>
    <x:col min="784" max="784" width="11.5" customWidth="0"/>
    <x:col min="792" max="792" width="11.5" customWidth="0"/>
    <x:col min="800" max="800" width="11.5" customWidth="0"/>
    <x:col min="808" max="808" width="11.5" customWidth="0"/>
    <x:col min="816" max="816" width="11.5" customWidth="0"/>
    <x:col min="824" max="824" width="11.5" customWidth="0"/>
    <x:col min="832" max="832" width="11.5" customWidth="0"/>
    <x:col min="840" max="840" width="11.5" customWidth="0"/>
    <x:col min="848" max="848" width="11.5" customWidth="0"/>
    <x:col min="856" max="856" width="11.5" customWidth="0"/>
    <x:col min="864" max="864" width="11.5" customWidth="0"/>
    <x:col min="872" max="872" width="11.5" customWidth="0"/>
    <x:col min="880" max="880" width="11.5" customWidth="0"/>
    <x:col min="888" max="888" width="11.5" customWidth="0"/>
    <x:col min="896" max="896" width="11.5" customWidth="0"/>
    <x:col min="904" max="904" width="11.5" customWidth="0"/>
    <x:col min="912" max="912" width="11.5" customWidth="0"/>
    <x:col min="920" max="920" width="11.5" customWidth="0"/>
    <x:col min="928" max="928" width="11.5" customWidth="0"/>
    <x:col min="936" max="936" width="11.5" customWidth="0"/>
    <x:col min="944" max="944" width="11.5" customWidth="0"/>
    <x:col min="952" max="952" width="11.5" customWidth="0"/>
    <x:col min="960" max="960" width="11.5" customWidth="0"/>
    <x:col min="968" max="968" width="11.5" customWidth="0"/>
    <x:col min="976" max="976" width="11.5" customWidth="0"/>
    <x:col min="984" max="984" width="11.5" customWidth="0"/>
    <x:col min="992" max="992" width="11.5" customWidth="0"/>
    <x:col min="1000" max="1000" width="11.5" customWidth="0"/>
    <x:col min="1008" max="1008" width="11.5" customWidth="0"/>
    <x:col min="1016" max="1016" width="11.5" customWidth="0"/>
    <x:col min="1024" max="1024" width="11.5" customWidth="0"/>
    <x:col min="1032" max="1032" width="11.5" customWidth="0"/>
    <x:col min="1040" max="1040" width="11.5" customWidth="0"/>
    <x:col min="1048" max="1048" width="11.5" customWidth="0"/>
    <x:col min="1056" max="1056" width="11.5" customWidth="0"/>
    <x:col min="1064" max="1064" width="11.5" customWidth="0"/>
    <x:col min="1072" max="1072" width="11.5" customWidth="0"/>
    <x:col min="1080" max="1080" width="11.5" customWidth="0"/>
    <x:col min="1088" max="1088" width="11.5" customWidth="0"/>
    <x:col min="1096" max="1096" width="11.5" customWidth="0"/>
    <x:col min="1104" max="1104" width="11.5" customWidth="0"/>
    <x:col min="1112" max="1112" width="11.5" customWidth="0"/>
    <x:col min="1120" max="1120" width="11.5" customWidth="0"/>
    <x:col min="1128" max="1128" width="11.5" customWidth="0"/>
    <x:col min="1136" max="1136" width="11.5" customWidth="0"/>
    <x:col min="1144" max="1144" width="11.5" customWidth="0"/>
    <x:col min="1152" max="1152" width="11.5" customWidth="0"/>
    <x:col min="1160" max="1160" width="11.5" customWidth="0"/>
    <x:col min="1168" max="1168" width="11.5" customWidth="0"/>
    <x:col min="1176" max="1176" width="11.5" customWidth="0"/>
    <x:col min="1184" max="1184" width="11.5" customWidth="0"/>
    <x:col min="1192" max="1192" width="11.5" customWidth="0"/>
    <x:col min="1200" max="1200" width="11.5" customWidth="0"/>
    <x:col min="1208" max="1208" width="11.5" customWidth="0"/>
    <x:col min="1216" max="1216" width="11.5" customWidth="0"/>
    <x:col min="1224" max="1224" width="11.5" customWidth="0"/>
    <x:col min="1232" max="1232" width="11.5" customWidth="0"/>
    <x:col min="1240" max="1240" width="11.5" customWidth="0"/>
    <x:col min="1248" max="1248" width="11.5" customWidth="0"/>
    <x:col min="1256" max="1256" width="11.5" customWidth="0"/>
    <x:col min="1264" max="1264" width="11.5" customWidth="0"/>
    <x:col min="1272" max="1272" width="11.5" customWidth="0"/>
    <x:col min="1280" max="1280" width="11.5" customWidth="0"/>
    <x:col min="1288" max="1288" width="11.5" customWidth="0"/>
    <x:col min="1296" max="1296" width="11.5" customWidth="0"/>
    <x:col min="1304" max="1304" width="11.5" customWidth="0"/>
    <x:col min="1312" max="1312" width="11.5" customWidth="0"/>
    <x:col min="1320" max="1320" width="11.5" customWidth="0"/>
    <x:col min="1328" max="1328" width="11.5" customWidth="0"/>
    <x:col min="1336" max="1336" width="11.5" customWidth="0"/>
    <x:col min="1344" max="1344" width="11.5" customWidth="0"/>
    <x:col min="1352" max="1352" width="11.5" customWidth="0"/>
    <x:col min="1360" max="1360" width="11.5" customWidth="0"/>
    <x:col min="1368" max="1368" width="11.5" customWidth="0"/>
    <x:col min="1376" max="1376" width="11.5" customWidth="0"/>
    <x:col min="1384" max="1384" width="11.5" customWidth="0"/>
    <x:col min="1392" max="1392" width="11.5" customWidth="0"/>
    <x:col min="1400" max="1400" width="11.5" customWidth="0"/>
    <x:col min="1408" max="1408" width="11.5" customWidth="0"/>
    <x:col min="1416" max="1416" width="11.5" customWidth="0"/>
    <x:col min="1424" max="1424" width="11.5" customWidth="0"/>
    <x:col min="1432" max="1432" width="11.5" customWidth="0"/>
    <x:col min="1440" max="1440" width="11.5" customWidth="0"/>
    <x:col min="1448" max="1448" width="11.5" customWidth="0"/>
    <x:col min="1456" max="1456" width="11.5" customWidth="0"/>
    <x:col min="1464" max="1464" width="11.5" customWidth="0"/>
    <x:col min="1472" max="1472" width="11.5" customWidth="0"/>
    <x:col min="1480" max="1480" width="11.5" customWidth="0"/>
    <x:col min="1488" max="1488" width="11.5" customWidth="0"/>
    <x:col min="1496" max="1496" width="11.5" customWidth="0"/>
    <x:col min="1504" max="1504" width="11.5" customWidth="0"/>
    <x:col min="1512" max="1512" width="11.5" customWidth="0"/>
    <x:col min="1520" max="1520" width="11.5" customWidth="0"/>
    <x:col min="1528" max="1528" width="11.5" customWidth="0"/>
    <x:col min="1536" max="1536" width="11.5" customWidth="0"/>
    <x:col min="1544" max="1544" width="11.5" customWidth="0"/>
    <x:col min="1552" max="1552" width="11.5" customWidth="0"/>
    <x:col min="1560" max="1560" width="11.5" customWidth="0"/>
    <x:col min="1568" max="1568" width="11.5" customWidth="0"/>
    <x:col min="1576" max="1576" width="11.5" customWidth="0"/>
    <x:col min="1584" max="1584" width="11.5" customWidth="0"/>
    <x:col min="1592" max="1592" width="11.5" customWidth="0"/>
    <x:col min="1600" max="1600" width="11.5" customWidth="0"/>
    <x:col min="1608" max="1608" width="11.5" customWidth="0"/>
    <x:col min="1616" max="1616" width="11.5" customWidth="0"/>
    <x:col min="1624" max="1624" width="11.5" customWidth="0"/>
    <x:col min="1632" max="1632" width="11.5" customWidth="0"/>
    <x:col min="1640" max="1640" width="11.5" customWidth="0"/>
    <x:col min="1648" max="1648" width="11.5" customWidth="0"/>
    <x:col min="1656" max="1656" width="11.5" customWidth="0"/>
    <x:col min="1664" max="1664" width="11.5" customWidth="0"/>
    <x:col min="1672" max="1672" width="11.5" customWidth="0"/>
    <x:col min="1680" max="1680" width="11.5" customWidth="0"/>
    <x:col min="1688" max="1688" width="11.5" customWidth="0"/>
    <x:col min="1696" max="1696" width="11.5" customWidth="0"/>
    <x:col min="1704" max="1704" width="11.5" customWidth="0"/>
    <x:col min="1712" max="1712" width="11.5" customWidth="0"/>
    <x:col min="1720" max="1720" width="11.5" customWidth="0"/>
    <x:col min="1728" max="1728" width="11.5" customWidth="0"/>
    <x:col min="1736" max="1736" width="11.5" customWidth="0"/>
    <x:col min="1744" max="1744" width="11.5" customWidth="0"/>
    <x:col min="1752" max="1752" width="11.5" customWidth="0"/>
    <x:col min="1760" max="1760" width="11.5" customWidth="0"/>
    <x:col min="1768" max="1768" width="11.5" customWidth="0"/>
    <x:col min="1776" max="1776" width="11.5" customWidth="0"/>
    <x:col min="1784" max="1784" width="11.5" customWidth="0"/>
    <x:col min="1792" max="1792" width="11.5" customWidth="0"/>
    <x:col min="1800" max="1800" width="11.5" customWidth="0"/>
    <x:col min="1808" max="1808" width="11.5" customWidth="0"/>
    <x:col min="1816" max="1816" width="11.5" customWidth="0"/>
    <x:col min="1824" max="1824" width="11.5" customWidth="0"/>
    <x:col min="1832" max="1832" width="11.5" customWidth="0"/>
    <x:col min="1840" max="1840" width="11.5" customWidth="0"/>
    <x:col min="1848" max="1848" width="11.5" customWidth="0"/>
    <x:col min="1856" max="1856" width="11.5" customWidth="0"/>
    <x:col min="1864" max="1864" width="11.5" customWidth="0"/>
    <x:col min="1872" max="1872" width="11.5" customWidth="0"/>
    <x:col min="1880" max="1880" width="11.5" customWidth="0"/>
    <x:col min="1888" max="1888" width="11.5" customWidth="0"/>
    <x:col min="1896" max="1896" width="11.5" customWidth="0"/>
    <x:col min="1904" max="1904" width="11.5" customWidth="0"/>
    <x:col min="1912" max="1912" width="11.5" customWidth="0"/>
    <x:col min="1920" max="1920" width="11.5" customWidth="0"/>
    <x:col min="1928" max="1928" width="11.5" customWidth="0"/>
    <x:col min="1936" max="1936" width="11.5" customWidth="0"/>
    <x:col min="1944" max="1944" width="11.5" customWidth="0"/>
    <x:col min="1952" max="1952" width="11.5" customWidth="0"/>
    <x:col min="1960" max="1960" width="11.5" customWidth="0"/>
    <x:col min="1968" max="1968" width="11.5" customWidth="0"/>
    <x:col min="1976" max="1976" width="11.5" customWidth="0"/>
    <x:col min="1984" max="1984" width="11.5" customWidth="0"/>
    <x:col min="1992" max="1992" width="11.5" customWidth="0"/>
    <x:col min="2000" max="2000" width="11.5" customWidth="0"/>
    <x:col min="2008" max="2008" width="11.5" customWidth="0"/>
    <x:col min="2016" max="2016" width="11.5" customWidth="0"/>
    <x:col min="2024" max="2024" width="11.5" customWidth="0"/>
    <x:col min="2032" max="2032" width="11.5" customWidth="0"/>
    <x:col min="2040" max="2040" width="11.5" customWidth="0"/>
    <x:col min="2048" max="2048" width="11.5" customWidth="0"/>
    <x:col min="2056" max="2056" width="11.5" customWidth="0"/>
    <x:col min="2064" max="2064" width="11.5" customWidth="0"/>
    <x:col min="2072" max="2072" width="11.5" customWidth="0"/>
    <x:col min="2080" max="2080" width="11.5" customWidth="0"/>
    <x:col min="2088" max="2088" width="11.5" customWidth="0"/>
    <x:col min="2096" max="2096" width="11.5" customWidth="0"/>
    <x:col min="2104" max="2104" width="11.5" customWidth="0"/>
    <x:col min="2112" max="2112" width="11.5" customWidth="0"/>
    <x:col min="2120" max="2120" width="11.5" customWidth="0"/>
    <x:col min="2128" max="2128" width="11.5" customWidth="0"/>
    <x:col min="2136" max="2136" width="11.5" customWidth="0"/>
    <x:col min="2144" max="2144" width="11.5" customWidth="0"/>
    <x:col min="2152" max="2152" width="11.5" customWidth="0"/>
    <x:col min="2160" max="2160" width="11.5" customWidth="0"/>
    <x:col min="2168" max="2168" width="11.5" customWidth="0"/>
    <x:col min="2176" max="2176" width="11.5" customWidth="0"/>
    <x:col min="2184" max="2184" width="11.5" customWidth="0"/>
    <x:col min="2192" max="2192" width="11.5" customWidth="0"/>
    <x:col min="2200" max="2200" width="11.5" customWidth="0"/>
    <x:col min="2208" max="2208" width="11.5" customWidth="0"/>
    <x:col min="2216" max="2216" width="11.5" customWidth="0"/>
    <x:col min="2224" max="2224" width="11.5" customWidth="0"/>
    <x:col min="2232" max="2232" width="11.5" customWidth="0"/>
    <x:col min="2240" max="2240" width="11.5" customWidth="0"/>
    <x:col min="2248" max="2248" width="11.5" customWidth="0"/>
    <x:col min="2256" max="2256" width="11.5" customWidth="0"/>
    <x:col min="2264" max="2264" width="11.5" customWidth="0"/>
    <x:col min="2272" max="2272" width="11.5" customWidth="0"/>
    <x:col min="2280" max="2280" width="11.5" customWidth="0"/>
    <x:col min="2288" max="2288" width="11.5" customWidth="0"/>
    <x:col min="2296" max="2296" width="11.5" customWidth="0"/>
    <x:col min="2304" max="2304" width="11.5" customWidth="0"/>
    <x:col min="2312" max="2312" width="11.5" customWidth="0"/>
    <x:col min="2320" max="2320" width="11.5" customWidth="0"/>
    <x:col min="2328" max="2328" width="11.5" customWidth="0"/>
    <x:col min="2336" max="2336" width="11.5" customWidth="0"/>
    <x:col min="2344" max="2344" width="11.5" customWidth="0"/>
    <x:col min="2352" max="2352" width="11.5" customWidth="0"/>
    <x:col min="2360" max="2360" width="11.5" customWidth="0"/>
    <x:col min="2368" max="2368" width="11.5" customWidth="0"/>
    <x:col min="2376" max="2376" width="11.5" customWidth="0"/>
    <x:col min="2384" max="2384" width="11.5" customWidth="0"/>
    <x:col min="2392" max="2392" width="11.5" customWidth="0"/>
    <x:col min="2400" max="2400" width="11.5" customWidth="0"/>
    <x:col min="2408" max="2408" width="11.5" customWidth="0"/>
    <x:col min="2416" max="2416" width="11.5" customWidth="0"/>
    <x:col min="2424" max="2424" width="11.5" customWidth="0"/>
    <x:col min="2432" max="2432" width="11.5" customWidth="0"/>
    <x:col min="2440" max="2440" width="11.5" customWidth="0"/>
    <x:col min="2448" max="2448" width="11.5" customWidth="0"/>
    <x:col min="2456" max="2456" width="11.5" customWidth="0"/>
    <x:col min="2464" max="2464" width="11.5" customWidth="0"/>
    <x:col min="2472" max="2472" width="11.5" customWidth="0"/>
    <x:col min="2480" max="2480" width="11.5" customWidth="0"/>
    <x:col min="2488" max="2488" width="11.5" customWidth="0"/>
    <x:col min="2496" max="2496" width="11.5" customWidth="0"/>
    <x:col min="2504" max="2504" width="11.5" customWidth="0"/>
    <x:col min="2512" max="2512" width="11.5" customWidth="0"/>
    <x:col min="2520" max="2520" width="11.5" customWidth="0"/>
    <x:col min="2528" max="2528" width="11.5" customWidth="0"/>
    <x:col min="2536" max="2536" width="11.5" customWidth="0"/>
    <x:col min="2544" max="2544" width="11.5" customWidth="0"/>
    <x:col min="2552" max="2552" width="11.5" customWidth="0"/>
    <x:col min="2560" max="2560" width="11.5" customWidth="0"/>
    <x:col min="2568" max="2568" width="11.5" customWidth="0"/>
    <x:col min="2576" max="2576" width="11.5" customWidth="0"/>
    <x:col min="2584" max="2584" width="11.5" customWidth="0"/>
    <x:col min="2592" max="2592" width="11.5" customWidth="0"/>
    <x:col min="2600" max="2600" width="11.5" customWidth="0"/>
    <x:col min="2608" max="2608" width="11.5" customWidth="0"/>
    <x:col min="2616" max="2616" width="11.5" customWidth="0"/>
    <x:col min="2624" max="2624" width="11.5" customWidth="0"/>
    <x:col min="2632" max="2632" width="11.5" customWidth="0"/>
    <x:col min="2640" max="2640" width="11.5" customWidth="0"/>
    <x:col min="2648" max="2648" width="11.5" customWidth="0"/>
    <x:col min="2656" max="2656" width="11.5" customWidth="0"/>
    <x:col min="2664" max="2664" width="11.5" customWidth="0"/>
    <x:col min="2672" max="2672" width="11.5" customWidth="0"/>
    <x:col min="2680" max="2680" width="11.5" customWidth="0"/>
    <x:col min="2688" max="2688" width="11.5" customWidth="0"/>
    <x:col min="2696" max="2696" width="11.5" customWidth="0"/>
    <x:col min="2704" max="2704" width="11.5" customWidth="0"/>
    <x:col min="2712" max="2712" width="11.5" customWidth="0"/>
    <x:col min="2720" max="2720" width="11.5" customWidth="0"/>
    <x:col min="2728" max="2728" width="11.5" customWidth="0"/>
    <x:col min="2736" max="2736" width="11.5" customWidth="0"/>
    <x:col min="2744" max="2744" width="11.5" customWidth="0"/>
    <x:col min="2752" max="2752" width="11.5" customWidth="0"/>
    <x:col min="2760" max="2760" width="11.5" customWidth="0"/>
    <x:col min="2768" max="2768" width="11.5" customWidth="0"/>
    <x:col min="2776" max="2776" width="11.5" customWidth="0"/>
    <x:col min="2784" max="2784" width="11.5" customWidth="0"/>
    <x:col min="2792" max="2792" width="11.5" customWidth="0"/>
    <x:col min="2800" max="2800" width="11.5" customWidth="0"/>
    <x:col min="2808" max="2808" width="11.5" customWidth="0"/>
    <x:col min="2816" max="2816" width="11.5" customWidth="0"/>
    <x:col min="2824" max="2824" width="11.5" customWidth="0"/>
    <x:col min="2832" max="2832" width="11.5" customWidth="0"/>
    <x:col min="2840" max="2840" width="11.5" customWidth="0"/>
    <x:col min="2848" max="2848" width="11.5" customWidth="0"/>
    <x:col min="2856" max="2856" width="11.5" customWidth="0"/>
    <x:col min="2864" max="2864" width="11.5" customWidth="0"/>
    <x:col min="2872" max="2872" width="11.5" customWidth="0"/>
    <x:col min="2880" max="2880" width="11.5" customWidth="0"/>
    <x:col min="2888" max="2888" width="11.5" customWidth="0"/>
    <x:col min="2896" max="2896" width="11.5" customWidth="0"/>
    <x:col min="2904" max="2904" width="11.5" customWidth="0"/>
    <x:col min="2912" max="2912" width="11.5" customWidth="0"/>
    <x:col min="2920" max="2920" width="11.5" customWidth="0"/>
    <x:col min="2928" max="2928" width="11.5" customWidth="0"/>
    <x:col min="2936" max="2936" width="11.5" customWidth="0"/>
    <x:col min="2944" max="2944" width="11.5" customWidth="0"/>
    <x:col min="2952" max="2952" width="11.5" customWidth="0"/>
    <x:col min="2960" max="2960" width="11.5" customWidth="0"/>
    <x:col min="2968" max="2968" width="11.5" customWidth="0"/>
    <x:col min="2976" max="2976" width="11.5" customWidth="0"/>
    <x:col min="2984" max="2984" width="11.5" customWidth="0"/>
    <x:col min="2992" max="2992" width="11.5" customWidth="0"/>
    <x:col min="3000" max="3000" width="11.5" customWidth="0"/>
    <x:col min="3008" max="3008" width="11.5" customWidth="0"/>
    <x:col min="3016" max="3016" width="11.5" customWidth="0"/>
    <x:col min="3024" max="3024" width="11.5" customWidth="0"/>
    <x:col min="3032" max="3032" width="11.5" customWidth="0"/>
    <x:col min="3040" max="3040" width="11.5" customWidth="0"/>
    <x:col min="3048" max="3048" width="11.5" customWidth="0"/>
    <x:col min="3056" max="3056" width="11.5" customWidth="0"/>
    <x:col min="3064" max="3064" width="11.5" customWidth="0"/>
    <x:col min="3072" max="3072" width="11.5" customWidth="0"/>
    <x:col min="3080" max="3080" width="11.5" customWidth="0"/>
    <x:col min="3088" max="3088" width="11.5" customWidth="0"/>
    <x:col min="3096" max="3096" width="11.5" customWidth="0"/>
    <x:col min="3104" max="3104" width="11.5" customWidth="0"/>
    <x:col min="3112" max="3112" width="11.5" customWidth="0"/>
    <x:col min="3120" max="3120" width="11.5" customWidth="0"/>
    <x:col min="3128" max="3128" width="11.5" customWidth="0"/>
    <x:col min="3136" max="3136" width="11.5" customWidth="0"/>
    <x:col min="3144" max="3144" width="11.5" customWidth="0"/>
    <x:col min="3152" max="3152" width="11.5" customWidth="0"/>
    <x:col min="3160" max="3160" width="11.5" customWidth="0"/>
    <x:col min="3168" max="3168" width="11.5" customWidth="0"/>
    <x:col min="3176" max="3176" width="11.5" customWidth="0"/>
    <x:col min="3184" max="3184" width="11.5" customWidth="0"/>
    <x:col min="3192" max="3192" width="11.5" customWidth="0"/>
    <x:col min="3200" max="3200" width="11.5" customWidth="0"/>
    <x:col min="3208" max="3208" width="11.5" customWidth="0"/>
    <x:col min="3216" max="3216" width="11.5" customWidth="0"/>
    <x:col min="3224" max="3224" width="11.5" customWidth="0"/>
    <x:col min="3232" max="3232" width="11.5" customWidth="0"/>
    <x:col min="3240" max="3240" width="11.5" customWidth="0"/>
    <x:col min="3248" max="3248" width="11.5" customWidth="0"/>
    <x:col min="3256" max="3256" width="11.5" customWidth="0"/>
    <x:col min="3264" max="3264" width="11.5" customWidth="0"/>
    <x:col min="3272" max="3272" width="11.5" customWidth="0"/>
    <x:col min="3280" max="3280" width="11.5" customWidth="0"/>
    <x:col min="3288" max="3288" width="11.5" customWidth="0"/>
    <x:col min="3296" max="3296" width="11.5" customWidth="0"/>
    <x:col min="3304" max="3304" width="11.5" customWidth="0"/>
    <x:col min="3312" max="3312" width="11.5" customWidth="0"/>
    <x:col min="3320" max="3320" width="11.5" customWidth="0"/>
    <x:col min="3328" max="3328" width="11.5" customWidth="0"/>
    <x:col min="3336" max="3336" width="11.5" customWidth="0"/>
    <x:col min="3344" max="3344" width="11.5" customWidth="0"/>
    <x:col min="3352" max="3352" width="11.5" customWidth="0"/>
    <x:col min="3360" max="3360" width="11.5" customWidth="0"/>
    <x:col min="3368" max="3368" width="11.5" customWidth="0"/>
    <x:col min="3376" max="3376" width="11.5" customWidth="0"/>
    <x:col min="3384" max="3384" width="11.5" customWidth="0"/>
    <x:col min="3392" max="3392" width="11.5" customWidth="0"/>
    <x:col min="3400" max="3400" width="11.5" customWidth="0"/>
    <x:col min="3408" max="3408" width="11.5" customWidth="0"/>
    <x:col min="3416" max="3416" width="11.5" customWidth="0"/>
    <x:col min="3424" max="3424" width="11.5" customWidth="0"/>
    <x:col min="3432" max="3432" width="11.5" customWidth="0"/>
    <x:col min="3440" max="3440" width="11.5" customWidth="0"/>
    <x:col min="3448" max="3448" width="11.5" customWidth="0"/>
    <x:col min="3456" max="3456" width="11.5" customWidth="0"/>
    <x:col min="3464" max="3464" width="11.5" customWidth="0"/>
    <x:col min="3472" max="3472" width="11.5" customWidth="0"/>
    <x:col min="3480" max="3480" width="11.5" customWidth="0"/>
    <x:col min="3488" max="3488" width="11.5" customWidth="0"/>
    <x:col min="3496" max="3496" width="11.5" customWidth="0"/>
    <x:col min="3504" max="3504" width="11.5" customWidth="0"/>
    <x:col min="3512" max="3512" width="11.5" customWidth="0"/>
    <x:col min="3520" max="3520" width="11.5" customWidth="0"/>
    <x:col min="3528" max="3528" width="11.5" customWidth="0"/>
    <x:col min="3536" max="3536" width="11.5" customWidth="0"/>
    <x:col min="3544" max="3544" width="11.5" customWidth="0"/>
    <x:col min="3552" max="3552" width="11.5" customWidth="0"/>
    <x:col min="3560" max="3560" width="11.5" customWidth="0"/>
    <x:col min="3568" max="3568" width="11.5" customWidth="0"/>
    <x:col min="3576" max="3576" width="11.5" customWidth="0"/>
    <x:col min="3584" max="3584" width="11.5" customWidth="0"/>
    <x:col min="3592" max="3592" width="11.5" customWidth="0"/>
    <x:col min="3600" max="3600" width="11.5" customWidth="0"/>
    <x:col min="3608" max="3608" width="11.5" customWidth="0"/>
    <x:col min="3616" max="3616" width="11.5" customWidth="0"/>
    <x:col min="3624" max="3624" width="11.5" customWidth="0"/>
    <x:col min="3632" max="3632" width="11.5" customWidth="0"/>
    <x:col min="3640" max="3640" width="11.5" customWidth="0"/>
    <x:col min="3648" max="3648" width="11.5" customWidth="0"/>
    <x:col min="3656" max="3656" width="11.5" customWidth="0"/>
    <x:col min="3664" max="3664" width="11.5" customWidth="0"/>
    <x:col min="3672" max="3672" width="11.5" customWidth="0"/>
    <x:col min="3680" max="3680" width="11.5" customWidth="0"/>
    <x:col min="3688" max="3688" width="11.5" customWidth="0"/>
    <x:col min="3696" max="3696" width="11.5" customWidth="0"/>
    <x:col min="3704" max="3704" width="11.5" customWidth="0"/>
    <x:col min="3712" max="3712" width="11.5" customWidth="0"/>
    <x:col min="3720" max="3720" width="11.5" customWidth="0"/>
    <x:col min="3728" max="3728" width="11.5" customWidth="0"/>
    <x:col min="3736" max="3736" width="11.5" customWidth="0"/>
    <x:col min="3744" max="3744" width="11.5" customWidth="0"/>
    <x:col min="3752" max="3752" width="11.5" customWidth="0"/>
    <x:col min="3760" max="3760" width="11.5" customWidth="0"/>
    <x:col min="3768" max="3768" width="11.5" customWidth="0"/>
    <x:col min="3776" max="3776" width="11.5" customWidth="0"/>
    <x:col min="3784" max="3784" width="11.5" customWidth="0"/>
    <x:col min="3792" max="3792" width="11.5" customWidth="0"/>
    <x:col min="3800" max="3800" width="11.5" customWidth="0"/>
    <x:col min="3808" max="3808" width="11.5" customWidth="0"/>
    <x:col min="3816" max="3816" width="11.5" customWidth="0"/>
    <x:col min="3824" max="3824" width="11.5" customWidth="0"/>
    <x:col min="3832" max="3832" width="11.5" customWidth="0"/>
    <x:col min="3840" max="3840" width="11.5" customWidth="0"/>
    <x:col min="3848" max="3848" width="11.5" customWidth="0"/>
    <x:col min="3856" max="3856" width="11.5" customWidth="0"/>
    <x:col min="3864" max="3864" width="11.5" customWidth="0"/>
    <x:col min="3872" max="3872" width="11.5" customWidth="0"/>
    <x:col min="3880" max="3880" width="11.5" customWidth="0"/>
    <x:col min="3888" max="3888" width="11.5" customWidth="0"/>
    <x:col min="3896" max="3896" width="11.5" customWidth="0"/>
    <x:col min="3904" max="3904" width="11.5" customWidth="0"/>
    <x:col min="3912" max="3912" width="11.5" customWidth="0"/>
    <x:col min="3920" max="3920" width="11.5" customWidth="0"/>
    <x:col min="3928" max="3928" width="11.5" customWidth="0"/>
    <x:col min="3936" max="3936" width="11.5" customWidth="0"/>
    <x:col min="3944" max="3944" width="11.5" customWidth="0"/>
    <x:col min="3952" max="3952" width="11.5" customWidth="0"/>
    <x:col min="3960" max="3960" width="11.5" customWidth="0"/>
    <x:col min="3968" max="3968" width="11.5" customWidth="0"/>
    <x:col min="3976" max="3976" width="11.5" customWidth="0"/>
    <x:col min="3984" max="3984" width="11.5" customWidth="0"/>
    <x:col min="3992" max="3992" width="11.5" customWidth="0"/>
    <x:col min="4000" max="4000" width="11.5" customWidth="0"/>
    <x:col min="4008" max="4008" width="11.5" customWidth="0"/>
    <x:col min="4016" max="4016" width="11.5" customWidth="0"/>
    <x:col min="4024" max="4024" width="11.5" customWidth="0"/>
    <x:col min="4032" max="4032" width="11.5" customWidth="0"/>
    <x:col min="4040" max="4040" width="11.5" customWidth="0"/>
    <x:col min="4048" max="4048" width="11.5" customWidth="0"/>
    <x:col min="4056" max="4056" width="11.5" customWidth="0"/>
    <x:col min="4064" max="4064" width="11.5" customWidth="0"/>
    <x:col min="4072" max="4072" width="11.5" customWidth="0"/>
    <x:col min="4080" max="4080" width="11.5" customWidth="0"/>
    <x:col min="4088" max="4088" width="11.5" customWidth="0"/>
    <x:col min="4096" max="4096" width="11.5" customWidth="0"/>
    <x:col min="4104" max="4104" width="11.5" customWidth="0"/>
    <x:col min="4112" max="4112" width="11.5" customWidth="0"/>
    <x:col min="4120" max="4120" width="11.5" customWidth="0"/>
    <x:col min="4128" max="4128" width="11.5" customWidth="0"/>
    <x:col min="4136" max="4136" width="11.5" customWidth="0"/>
    <x:col min="4144" max="4144" width="11.5" customWidth="0"/>
    <x:col min="4152" max="4152" width="11.5" customWidth="0"/>
    <x:col min="4160" max="4160" width="11.5" customWidth="0"/>
    <x:col min="4168" max="4168" width="11.5" customWidth="0"/>
    <x:col min="4176" max="4176" width="11.5" customWidth="0"/>
    <x:col min="4184" max="4184" width="11.5" customWidth="0"/>
    <x:col min="4192" max="4192" width="11.5" customWidth="0"/>
    <x:col min="4200" max="4200" width="11.5" customWidth="0"/>
    <x:col min="4208" max="4208" width="11.5" customWidth="0"/>
    <x:col min="4216" max="4216" width="11.5" customWidth="0"/>
    <x:col min="4224" max="4224" width="11.5" customWidth="0"/>
    <x:col min="4232" max="4232" width="11.5" customWidth="0"/>
    <x:col min="4240" max="4240" width="11.5" customWidth="0"/>
    <x:col min="4248" max="4248" width="11.5" customWidth="0"/>
    <x:col min="4256" max="4256" width="11.5" customWidth="0"/>
    <x:col min="4264" max="4264" width="11.5" customWidth="0"/>
    <x:col min="4272" max="4272" width="11.5" customWidth="0"/>
    <x:col min="4280" max="4280" width="11.5" customWidth="0"/>
    <x:col min="4288" max="4288" width="11.5" customWidth="0"/>
    <x:col min="4296" max="4296" width="11.5" customWidth="0"/>
    <x:col min="4304" max="4304" width="11.5" customWidth="0"/>
    <x:col min="4312" max="4312" width="11.5" customWidth="0"/>
    <x:col min="4320" max="4320" width="11.5" customWidth="0"/>
    <x:col min="4328" max="4328" width="11.5" customWidth="0"/>
    <x:col min="4336" max="4336" width="11.5" customWidth="0"/>
    <x:col min="4344" max="4344" width="11.5" customWidth="0"/>
    <x:col min="4352" max="4352" width="11.5" customWidth="0"/>
    <x:col min="4360" max="4360" width="11.5" customWidth="0"/>
    <x:col min="4368" max="4368" width="11.5" customWidth="0"/>
    <x:col min="4376" max="4376" width="11.5" customWidth="0"/>
    <x:col min="4384" max="4384" width="11.5" customWidth="0"/>
    <x:col min="4392" max="4392" width="11.5" customWidth="0"/>
    <x:col min="4400" max="4400" width="11.5" customWidth="0"/>
    <x:col min="4408" max="4408" width="11.5" customWidth="0"/>
    <x:col min="4416" max="4416" width="11.5" customWidth="0"/>
    <x:col min="4424" max="4424" width="11.5" customWidth="0"/>
    <x:col min="4432" max="4432" width="11.5" customWidth="0"/>
    <x:col min="4440" max="4440" width="11.5" customWidth="0"/>
    <x:col min="4448" max="4448" width="11.5" customWidth="0"/>
    <x:col min="4456" max="4456" width="11.5" customWidth="0"/>
    <x:col min="4464" max="4464" width="11.5" customWidth="0"/>
    <x:col min="4472" max="4472" width="11.5" customWidth="0"/>
    <x:col min="4480" max="4480" width="11.5" customWidth="0"/>
    <x:col min="4488" max="4488" width="11.5" customWidth="0"/>
    <x:col min="4496" max="4496" width="11.5" customWidth="0"/>
    <x:col min="4504" max="4504" width="11.5" customWidth="0"/>
    <x:col min="4512" max="4512" width="11.5" customWidth="0"/>
    <x:col min="4520" max="4520" width="11.5" customWidth="0"/>
    <x:col min="4528" max="4528" width="11.5" customWidth="0"/>
    <x:col min="4536" max="4536" width="11.5" customWidth="0"/>
    <x:col min="4544" max="4544" width="11.5" customWidth="0"/>
    <x:col min="4552" max="4552" width="11.5" customWidth="0"/>
    <x:col min="4560" max="4560" width="11.5" customWidth="0"/>
    <x:col min="4568" max="4568" width="11.5" customWidth="0"/>
    <x:col min="4576" max="4576" width="11.5" customWidth="0"/>
    <x:col min="4584" max="4584" width="11.5" customWidth="0"/>
    <x:col min="4592" max="4592" width="11.5" customWidth="0"/>
    <x:col min="4600" max="4600" width="11.5" customWidth="0"/>
    <x:col min="4608" max="4608" width="11.5" customWidth="0"/>
    <x:col min="4616" max="4616" width="11.5" customWidth="0"/>
    <x:col min="4624" max="4624" width="11.5" customWidth="0"/>
    <x:col min="4632" max="4632" width="11.5" customWidth="0"/>
    <x:col min="4640" max="4640" width="11.5" customWidth="0"/>
    <x:col min="4648" max="4648" width="11.5" customWidth="0"/>
    <x:col min="4656" max="4656" width="11.5" customWidth="0"/>
    <x:col min="4664" max="4664" width="11.5" customWidth="0"/>
    <x:col min="4672" max="4672" width="11.5" customWidth="0"/>
    <x:col min="4680" max="4680" width="11.5" customWidth="0"/>
    <x:col min="4688" max="4688" width="11.5" customWidth="0"/>
    <x:col min="4696" max="4696" width="11.5" customWidth="0"/>
    <x:col min="4704" max="4704" width="11.5" customWidth="0"/>
    <x:col min="4712" max="4712" width="11.5" customWidth="0"/>
    <x:col min="4720" max="4720" width="11.5" customWidth="0"/>
    <x:col min="4728" max="4728" width="11.5" customWidth="0"/>
    <x:col min="4736" max="4736" width="11.5" customWidth="0"/>
    <x:col min="4744" max="4744" width="11.5" customWidth="0"/>
    <x:col min="4752" max="4752" width="11.5" customWidth="0"/>
    <x:col min="4760" max="4760" width="11.5" customWidth="0"/>
    <x:col min="4768" max="4768" width="11.5" customWidth="0"/>
    <x:col min="4776" max="4776" width="11.5" customWidth="0"/>
    <x:col min="4784" max="4784" width="11.5" customWidth="0"/>
    <x:col min="4792" max="4792" width="11.5" customWidth="0"/>
    <x:col min="4800" max="4800" width="11.5" customWidth="0"/>
    <x:col min="4808" max="4808" width="11.5" customWidth="0"/>
    <x:col min="4816" max="4816" width="11.5" customWidth="0"/>
    <x:col min="4824" max="4824" width="11.5" customWidth="0"/>
    <x:col min="4832" max="4832" width="11.5" customWidth="0"/>
    <x:col min="4840" max="4840" width="11.5" customWidth="0"/>
    <x:col min="4848" max="4848" width="11.5" customWidth="0"/>
    <x:col min="4856" max="4856" width="11.5" customWidth="0"/>
    <x:col min="4864" max="4864" width="11.5" customWidth="0"/>
    <x:col min="4872" max="4872" width="11.5" customWidth="0"/>
    <x:col min="4880" max="4880" width="11.5" customWidth="0"/>
    <x:col min="4888" max="4888" width="11.5" customWidth="0"/>
    <x:col min="4896" max="4896" width="11.5" customWidth="0"/>
    <x:col min="4904" max="4904" width="11.5" customWidth="0"/>
    <x:col min="4912" max="4912" width="11.5" customWidth="0"/>
    <x:col min="4920" max="4920" width="11.5" customWidth="0"/>
    <x:col min="4928" max="4928" width="11.5" customWidth="0"/>
    <x:col min="4936" max="4936" width="11.5" customWidth="0"/>
    <x:col min="4944" max="4944" width="11.5" customWidth="0"/>
    <x:col min="4952" max="4952" width="11.5" customWidth="0"/>
    <x:col min="4960" max="4960" width="11.5" customWidth="0"/>
    <x:col min="4968" max="4968" width="11.5" customWidth="0"/>
    <x:col min="4976" max="4976" width="11.5" customWidth="0"/>
    <x:col min="4984" max="4984" width="11.5" customWidth="0"/>
    <x:col min="4992" max="4992" width="11.5" customWidth="0"/>
    <x:col min="5000" max="5000" width="11.5" customWidth="0"/>
    <x:col min="5008" max="5008" width="11.5" customWidth="0"/>
    <x:col min="5016" max="5016" width="11.5" customWidth="0"/>
    <x:col min="5024" max="5024" width="11.5" customWidth="0"/>
    <x:col min="5032" max="5032" width="11.5" customWidth="0"/>
    <x:col min="5040" max="5040" width="11.5" customWidth="0"/>
    <x:col min="5048" max="5048" width="11.5" customWidth="0"/>
    <x:col min="5056" max="5056" width="11.5" customWidth="0"/>
    <x:col min="5064" max="5064" width="11.5" customWidth="0"/>
    <x:col min="5072" max="5072" width="11.5" customWidth="0"/>
    <x:col min="5080" max="5080" width="11.5" customWidth="0"/>
    <x:col min="5088" max="5088" width="11.5" customWidth="0"/>
    <x:col min="5096" max="5096" width="11.5" customWidth="0"/>
    <x:col min="5104" max="5104" width="11.5" customWidth="0"/>
    <x:col min="5112" max="5112" width="11.5" customWidth="0"/>
    <x:col min="5120" max="5120" width="11.5" customWidth="0"/>
    <x:col min="5128" max="5128" width="11.5" customWidth="0"/>
    <x:col min="5136" max="5136" width="11.5" customWidth="0"/>
    <x:col min="5144" max="5144" width="11.5" customWidth="0"/>
    <x:col min="5152" max="5152" width="11.5" customWidth="0"/>
    <x:col min="5160" max="5160" width="11.5" customWidth="0"/>
    <x:col min="5168" max="5168" width="11.5" customWidth="0"/>
    <x:col min="5176" max="5176" width="11.5" customWidth="0"/>
    <x:col min="5184" max="5184" width="11.5" customWidth="0"/>
    <x:col min="5192" max="5192" width="11.5" customWidth="0"/>
    <x:col min="5200" max="5200" width="11.5" customWidth="0"/>
    <x:col min="5208" max="5208" width="11.5" customWidth="0"/>
    <x:col min="5216" max="5216" width="11.5" customWidth="0"/>
    <x:col min="5224" max="5224" width="11.5" customWidth="0"/>
    <x:col min="5232" max="5232" width="11.5" customWidth="0"/>
    <x:col min="5240" max="5240" width="11.5" customWidth="0"/>
    <x:col min="5248" max="5248" width="11.5" customWidth="0"/>
    <x:col min="5256" max="5256" width="11.5" customWidth="0"/>
    <x:col min="5264" max="5264" width="11.5" customWidth="0"/>
    <x:col min="5272" max="5272" width="11.5" customWidth="0"/>
    <x:col min="5280" max="5280" width="11.5" customWidth="0"/>
    <x:col min="5288" max="5288" width="11.5" customWidth="0"/>
    <x:col min="5296" max="5296" width="11.5" customWidth="0"/>
    <x:col min="5304" max="5304" width="11.5" customWidth="0"/>
    <x:col min="5312" max="5312" width="11.5" customWidth="0"/>
    <x:col min="5320" max="5320" width="11.5" customWidth="0"/>
    <x:col min="5328" max="5328" width="11.5" customWidth="0"/>
    <x:col min="5336" max="5336" width="11.5" customWidth="0"/>
    <x:col min="5344" max="5344" width="11.5" customWidth="0"/>
    <x:col min="5352" max="5352" width="11.5" customWidth="0"/>
    <x:col min="5360" max="5360" width="11.5" customWidth="0"/>
    <x:col min="5368" max="5368" width="11.5" customWidth="0"/>
    <x:col min="5376" max="5376" width="11.5" customWidth="0"/>
    <x:col min="5384" max="5384" width="11.5" customWidth="0"/>
    <x:col min="5392" max="5392" width="11.5" customWidth="0"/>
    <x:col min="5400" max="5400" width="11.5" customWidth="0"/>
    <x:col min="5408" max="5408" width="11.5" customWidth="0"/>
    <x:col min="5416" max="5416" width="11.5" customWidth="0"/>
    <x:col min="5424" max="5424" width="11.5" customWidth="0"/>
    <x:col min="5432" max="5432" width="11.5" customWidth="0"/>
    <x:col min="5440" max="5440" width="11.5" customWidth="0"/>
    <x:col min="5448" max="5448" width="11.5" customWidth="0"/>
    <x:col min="5456" max="5456" width="11.5" customWidth="0"/>
    <x:col min="5464" max="5464" width="11.5" customWidth="0"/>
    <x:col min="5472" max="5472" width="11.5" customWidth="0"/>
    <x:col min="5480" max="5480" width="11.5" customWidth="0"/>
    <x:col min="5488" max="5488" width="11.5" customWidth="0"/>
    <x:col min="5496" max="5496" width="11.5" customWidth="0"/>
    <x:col min="5504" max="5504" width="11.5" customWidth="0"/>
    <x:col min="5512" max="5512" width="11.5" customWidth="0"/>
    <x:col min="5520" max="5520" width="11.5" customWidth="0"/>
    <x:col min="5528" max="5528" width="11.5" customWidth="0"/>
    <x:col min="5536" max="5536" width="11.5" customWidth="0"/>
    <x:col min="5544" max="5544" width="11.5" customWidth="0"/>
    <x:col min="5552" max="5552" width="11.5" customWidth="0"/>
    <x:col min="5560" max="5560" width="11.5" customWidth="0"/>
    <x:col min="5568" max="5568" width="11.5" customWidth="0"/>
    <x:col min="5576" max="5576" width="11.5" customWidth="0"/>
    <x:col min="5584" max="5584" width="11.5" customWidth="0"/>
    <x:col min="5592" max="5592" width="11.5" customWidth="0"/>
    <x:col min="5600" max="5600" width="11.5" customWidth="0"/>
    <x:col min="5608" max="5608" width="11.5" customWidth="0"/>
    <x:col min="5616" max="5616" width="11.5" customWidth="0"/>
    <x:col min="5624" max="5624" width="11.5" customWidth="0"/>
    <x:col min="5632" max="5632" width="11.5" customWidth="0"/>
    <x:col min="5640" max="5640" width="11.5" customWidth="0"/>
    <x:col min="5648" max="5648" width="11.5" customWidth="0"/>
    <x:col min="5656" max="5656" width="11.5" customWidth="0"/>
    <x:col min="5664" max="5664" width="11.5" customWidth="0"/>
    <x:col min="5672" max="5672" width="11.5" customWidth="0"/>
    <x:col min="5680" max="5680" width="11.5" customWidth="0"/>
    <x:col min="5688" max="5688" width="11.5" customWidth="0"/>
    <x:col min="5696" max="5696" width="11.5" customWidth="0"/>
    <x:col min="5704" max="5704" width="11.5" customWidth="0"/>
    <x:col min="5712" max="5712" width="11.5" customWidth="0"/>
    <x:col min="5720" max="5720" width="11.5" customWidth="0"/>
    <x:col min="5728" max="5728" width="11.5" customWidth="0"/>
    <x:col min="5736" max="5736" width="11.5" customWidth="0"/>
    <x:col min="5744" max="5744" width="11.5" customWidth="0"/>
    <x:col min="5752" max="5752" width="11.5" customWidth="0"/>
    <x:col min="5760" max="5760" width="11.5" customWidth="0"/>
    <x:col min="5768" max="5768" width="11.5" customWidth="0"/>
    <x:col min="5776" max="5776" width="11.5" customWidth="0"/>
    <x:col min="5784" max="5784" width="11.5" customWidth="0"/>
    <x:col min="5792" max="5792" width="11.5" customWidth="0"/>
    <x:col min="5800" max="5800" width="11.5" customWidth="0"/>
    <x:col min="5808" max="5808" width="11.5" customWidth="0"/>
    <x:col min="5816" max="5816" width="11.5" customWidth="0"/>
    <x:col min="5824" max="5824" width="11.5" customWidth="0"/>
    <x:col min="5832" max="5832" width="11.5" customWidth="0"/>
    <x:col min="5840" max="5840" width="11.5" customWidth="0"/>
    <x:col min="5848" max="5848" width="11.5" customWidth="0"/>
    <x:col min="5856" max="5856" width="11.5" customWidth="0"/>
    <x:col min="5864" max="5864" width="11.5" customWidth="0"/>
    <x:col min="5872" max="5872" width="11.5" customWidth="0"/>
    <x:col min="5880" max="5880" width="11.5" customWidth="0"/>
    <x:col min="5888" max="5888" width="11.5" customWidth="0"/>
    <x:col min="5896" max="5896" width="11.5" customWidth="0"/>
    <x:col min="5904" max="5904" width="11.5" customWidth="0"/>
    <x:col min="5912" max="5912" width="11.5" customWidth="0"/>
    <x:col min="5920" max="5920" width="11.5" customWidth="0"/>
    <x:col min="5928" max="5928" width="11.5" customWidth="0"/>
    <x:col min="5936" max="5936" width="11.5" customWidth="0"/>
    <x:col min="5944" max="5944" width="11.5" customWidth="0"/>
    <x:col min="5952" max="5952" width="11.5" customWidth="0"/>
    <x:col min="5960" max="5960" width="11.5" customWidth="0"/>
    <x:col min="5968" max="5968" width="11.5" customWidth="0"/>
    <x:col min="5976" max="5976" width="11.5" customWidth="0"/>
    <x:col min="5984" max="5984" width="11.5" customWidth="0"/>
    <x:col min="5992" max="5992" width="11.5" customWidth="0"/>
    <x:col min="6000" max="6000" width="11.5" customWidth="0"/>
    <x:col min="6008" max="6008" width="11.5" customWidth="0"/>
    <x:col min="6016" max="6016" width="11.5" customWidth="0"/>
    <x:col min="6024" max="6024" width="11.5" customWidth="0"/>
    <x:col min="6032" max="6032" width="11.5" customWidth="0"/>
    <x:col min="6040" max="6040" width="11.5" customWidth="0"/>
    <x:col min="6048" max="6048" width="11.5" customWidth="0"/>
    <x:col min="6056" max="6056" width="11.5" customWidth="0"/>
    <x:col min="6064" max="6064" width="11.5" customWidth="0"/>
    <x:col min="6072" max="6072" width="11.5" customWidth="0"/>
    <x:col min="6080" max="6080" width="11.5" customWidth="0"/>
    <x:col min="6088" max="6088" width="11.5" customWidth="0"/>
    <x:col min="6096" max="6096" width="11.5" customWidth="0"/>
    <x:col min="6104" max="6104" width="11.5" customWidth="0"/>
    <x:col min="6112" max="6112" width="11.5" customWidth="0"/>
    <x:col min="6120" max="6120" width="11.5" customWidth="0"/>
    <x:col min="6128" max="6128" width="11.5" customWidth="0"/>
    <x:col min="6136" max="6136" width="11.5" customWidth="0"/>
    <x:col min="6144" max="6144" width="11.5" customWidth="0"/>
    <x:col min="6152" max="6152" width="11.5" customWidth="0"/>
    <x:col min="6160" max="6160" width="11.5" customWidth="0"/>
    <x:col min="6168" max="6168" width="11.5" customWidth="0"/>
    <x:col min="6176" max="6176" width="11.5" customWidth="0"/>
    <x:col min="6184" max="6184" width="11.5" customWidth="0"/>
    <x:col min="6192" max="6192" width="11.5" customWidth="0"/>
    <x:col min="6200" max="6200" width="11.5" customWidth="0"/>
    <x:col min="6208" max="6208" width="11.5" customWidth="0"/>
    <x:col min="6216" max="6216" width="11.5" customWidth="0"/>
    <x:col min="6224" max="6224" width="11.5" customWidth="0"/>
    <x:col min="6232" max="6232" width="11.5" customWidth="0"/>
    <x:col min="6240" max="6240" width="11.5" customWidth="0"/>
    <x:col min="6248" max="6248" width="11.5" customWidth="0"/>
    <x:col min="6256" max="6256" width="11.5" customWidth="0"/>
    <x:col min="6264" max="6264" width="11.5" customWidth="0"/>
    <x:col min="6272" max="6272" width="11.5" customWidth="0"/>
    <x:col min="6280" max="6280" width="11.5" customWidth="0"/>
    <x:col min="6288" max="6288" width="11.5" customWidth="0"/>
    <x:col min="6296" max="6296" width="11.5" customWidth="0"/>
    <x:col min="6304" max="6304" width="11.5" customWidth="0"/>
    <x:col min="6312" max="6312" width="11.5" customWidth="0"/>
    <x:col min="6320" max="6320" width="11.5" customWidth="0"/>
    <x:col min="6328" max="6328" width="11.5" customWidth="0"/>
    <x:col min="6336" max="6336" width="11.5" customWidth="0"/>
    <x:col min="6344" max="6344" width="11.5" customWidth="0"/>
    <x:col min="6352" max="6352" width="11.5" customWidth="0"/>
    <x:col min="6360" max="6360" width="11.5" customWidth="0"/>
    <x:col min="6368" max="6368" width="11.5" customWidth="0"/>
    <x:col min="6376" max="6376" width="11.5" customWidth="0"/>
    <x:col min="6384" max="6384" width="11.5" customWidth="0"/>
    <x:col min="6392" max="6392" width="11.5" customWidth="0"/>
    <x:col min="6400" max="6400" width="11.5" customWidth="0"/>
    <x:col min="6408" max="6408" width="11.5" customWidth="0"/>
    <x:col min="6416" max="6416" width="11.5" customWidth="0"/>
    <x:col min="6424" max="6424" width="11.5" customWidth="0"/>
    <x:col min="6432" max="6432" width="11.5" customWidth="0"/>
    <x:col min="6440" max="6440" width="11.5" customWidth="0"/>
    <x:col min="6448" max="6448" width="11.5" customWidth="0"/>
    <x:col min="6456" max="6456" width="11.5" customWidth="0"/>
    <x:col min="6464" max="6464" width="11.5" customWidth="0"/>
    <x:col min="6472" max="6472" width="11.5" customWidth="0"/>
    <x:col min="6480" max="6480" width="11.5" customWidth="0"/>
    <x:col min="6488" max="6488" width="11.5" customWidth="0"/>
    <x:col min="6496" max="6496" width="11.5" customWidth="0"/>
    <x:col min="6504" max="6504" width="11.5" customWidth="0"/>
    <x:col min="6512" max="6512" width="11.5" customWidth="0"/>
    <x:col min="6520" max="6520" width="11.5" customWidth="0"/>
    <x:col min="6528" max="6528" width="11.5" customWidth="0"/>
    <x:col min="6536" max="6536" width="11.5" customWidth="0"/>
    <x:col min="6544" max="6544" width="11.5" customWidth="0"/>
    <x:col min="6552" max="6552" width="11.5" customWidth="0"/>
    <x:col min="6560" max="6560" width="11.5" customWidth="0"/>
    <x:col min="6568" max="6568" width="11.5" customWidth="0"/>
    <x:col min="6576" max="6576" width="11.5" customWidth="0"/>
    <x:col min="6584" max="6584" width="11.5" customWidth="0"/>
    <x:col min="6592" max="6592" width="11.5" customWidth="0"/>
    <x:col min="6600" max="6600" width="11.5" customWidth="0"/>
    <x:col min="6608" max="6608" width="11.5" customWidth="0"/>
    <x:col min="6616" max="6616" width="11.5" customWidth="0"/>
    <x:col min="6624" max="6624" width="11.5" customWidth="0"/>
    <x:col min="6632" max="6632" width="11.5" customWidth="0"/>
    <x:col min="6640" max="6640" width="11.5" customWidth="0"/>
    <x:col min="6648" max="6648" width="11.5" customWidth="0"/>
    <x:col min="6656" max="6656" width="11.5" customWidth="0"/>
    <x:col min="6664" max="6664" width="11.5" customWidth="0"/>
    <x:col min="6672" max="6672" width="11.5" customWidth="0"/>
    <x:col min="6680" max="6680" width="11.5" customWidth="0"/>
    <x:col min="6688" max="6688" width="11.5" customWidth="0"/>
    <x:col min="6696" max="6696" width="11.5" customWidth="0"/>
    <x:col min="6704" max="6704" width="11.5" customWidth="0"/>
    <x:col min="6712" max="6712" width="11.5" customWidth="0"/>
    <x:col min="6720" max="6720" width="11.5" customWidth="0"/>
    <x:col min="6728" max="6728" width="11.5" customWidth="0"/>
    <x:col min="6736" max="6736" width="11.5" customWidth="0"/>
    <x:col min="6744" max="6744" width="11.5" customWidth="0"/>
    <x:col min="6752" max="6752" width="11.5" customWidth="0"/>
    <x:col min="6760" max="6760" width="11.5" customWidth="0"/>
    <x:col min="6768" max="6768" width="11.5" customWidth="0"/>
    <x:col min="6776" max="6776" width="11.5" customWidth="0"/>
    <x:col min="6784" max="6784" width="11.5" customWidth="0"/>
    <x:col min="6792" max="6792" width="11.5" customWidth="0"/>
    <x:col min="6800" max="6800" width="11.5" customWidth="0"/>
    <x:col min="6808" max="6808" width="11.5" customWidth="0"/>
    <x:col min="6816" max="6816" width="11.5" customWidth="0"/>
    <x:col min="6824" max="6824" width="11.5" customWidth="0"/>
    <x:col min="6832" max="6832" width="11.5" customWidth="0"/>
    <x:col min="6840" max="6840" width="11.5" customWidth="0"/>
    <x:col min="6848" max="6848" width="11.5" customWidth="0"/>
    <x:col min="6856" max="6856" width="11.5" customWidth="0"/>
    <x:col min="6864" max="6864" width="11.5" customWidth="0"/>
    <x:col min="6872" max="6872" width="11.5" customWidth="0"/>
    <x:col min="6880" max="6880" width="11.5" customWidth="0"/>
    <x:col min="6888" max="6888" width="11.5" customWidth="0"/>
    <x:col min="6896" max="6896" width="11.5" customWidth="0"/>
    <x:col min="6904" max="6904" width="11.5" customWidth="0"/>
    <x:col min="6912" max="6912" width="11.5" customWidth="0"/>
    <x:col min="6920" max="6920" width="11.5" customWidth="0"/>
    <x:col min="6928" max="6928" width="11.5" customWidth="0"/>
    <x:col min="6936" max="6936" width="11.5" customWidth="0"/>
    <x:col min="6944" max="6944" width="11.5" customWidth="0"/>
    <x:col min="6952" max="6952" width="11.5" customWidth="0"/>
    <x:col min="6960" max="6960" width="11.5" customWidth="0"/>
    <x:col min="6968" max="6968" width="11.5" customWidth="0"/>
    <x:col min="6976" max="6976" width="11.5" customWidth="0"/>
    <x:col min="6984" max="6984" width="11.5" customWidth="0"/>
    <x:col min="6992" max="6992" width="11.5" customWidth="0"/>
    <x:col min="7000" max="7000" width="11.5" customWidth="0"/>
    <x:col min="7008" max="7008" width="11.5" customWidth="0"/>
    <x:col min="7016" max="7016" width="11.5" customWidth="0"/>
    <x:col min="7024" max="7024" width="11.5" customWidth="0"/>
    <x:col min="7032" max="7032" width="11.5" customWidth="0"/>
    <x:col min="7040" max="7040" width="11.5" customWidth="0"/>
    <x:col min="7048" max="7048" width="11.5" customWidth="0"/>
    <x:col min="7056" max="7056" width="11.5" customWidth="0"/>
    <x:col min="7064" max="7064" width="11.5" customWidth="0"/>
    <x:col min="7072" max="7072" width="11.5" customWidth="0"/>
    <x:col min="7080" max="7080" width="11.5" customWidth="0"/>
    <x:col min="7088" max="7088" width="11.5" customWidth="0"/>
    <x:col min="7096" max="7096" width="11.5" customWidth="0"/>
    <x:col min="7104" max="7104" width="11.5" customWidth="0"/>
    <x:col min="7112" max="7112" width="11.5" customWidth="0"/>
    <x:col min="7120" max="7120" width="11.5" customWidth="0"/>
    <x:col min="7128" max="7128" width="11.5" customWidth="0"/>
    <x:col min="7136" max="7136" width="11.5" customWidth="0"/>
    <x:col min="7144" max="7144" width="11.5" customWidth="0"/>
    <x:col min="7152" max="7152" width="11.5" customWidth="0"/>
    <x:col min="7160" max="7160" width="11.5" customWidth="0"/>
    <x:col min="7168" max="7168" width="11.5" customWidth="0"/>
    <x:col min="7176" max="7176" width="11.5" customWidth="0"/>
    <x:col min="7184" max="7184" width="11.5" customWidth="0"/>
    <x:col min="7192" max="7192" width="11.5" customWidth="0"/>
    <x:col min="7200" max="7200" width="11.5" customWidth="0"/>
    <x:col min="7208" max="7208" width="11.5" customWidth="0"/>
    <x:col min="7216" max="7216" width="11.5" customWidth="0"/>
    <x:col min="7224" max="7224" width="11.5" customWidth="0"/>
    <x:col min="7232" max="7232" width="11.5" customWidth="0"/>
    <x:col min="7240" max="7240" width="11.5" customWidth="0"/>
    <x:col min="7248" max="7248" width="11.5" customWidth="0"/>
    <x:col min="7256" max="7256" width="11.5" customWidth="0"/>
    <x:col min="7264" max="7264" width="11.5" customWidth="0"/>
    <x:col min="7272" max="7272" width="11.5" customWidth="0"/>
    <x:col min="7280" max="7280" width="11.5" customWidth="0"/>
    <x:col min="7288" max="7288" width="11.5" customWidth="0"/>
    <x:col min="7296" max="7296" width="11.5" customWidth="0"/>
    <x:col min="7304" max="7304" width="11.5" customWidth="0"/>
    <x:col min="7312" max="7312" width="11.5" customWidth="0"/>
    <x:col min="7320" max="7320" width="11.5" customWidth="0"/>
    <x:col min="7328" max="7328" width="11.5" customWidth="0"/>
    <x:col min="7336" max="7336" width="11.5" customWidth="0"/>
    <x:col min="7344" max="7344" width="11.5" customWidth="0"/>
    <x:col min="7352" max="7352" width="11.5" customWidth="0"/>
    <x:col min="7360" max="7360" width="11.5" customWidth="0"/>
    <x:col min="7368" max="7368" width="11.5" customWidth="0"/>
    <x:col min="7376" max="7376" width="11.5" customWidth="0"/>
    <x:col min="7384" max="7384" width="11.5" customWidth="0"/>
    <x:col min="7392" max="7392" width="11.5" customWidth="0"/>
    <x:col min="7400" max="7400" width="11.5" customWidth="0"/>
    <x:col min="7408" max="7408" width="11.5" customWidth="0"/>
    <x:col min="7416" max="7416" width="11.5" customWidth="0"/>
    <x:col min="7424" max="7424" width="11.5" customWidth="0"/>
    <x:col min="7432" max="7432" width="11.5" customWidth="0"/>
    <x:col min="7440" max="7440" width="11.5" customWidth="0"/>
    <x:col min="7448" max="7448" width="11.5" customWidth="0"/>
    <x:col min="7456" max="7456" width="11.5" customWidth="0"/>
    <x:col min="7464" max="7464" width="11.5" customWidth="0"/>
    <x:col min="7472" max="7472" width="11.5" customWidth="0"/>
    <x:col min="7480" max="7480" width="11.5" customWidth="0"/>
    <x:col min="7488" max="7488" width="11.5" customWidth="0"/>
    <x:col min="7496" max="7496" width="11.5" customWidth="0"/>
    <x:col min="7504" max="7504" width="11.5" customWidth="0"/>
    <x:col min="7512" max="7512" width="11.5" customWidth="0"/>
    <x:col min="7520" max="7520" width="11.5" customWidth="0"/>
    <x:col min="7528" max="7528" width="11.5" customWidth="0"/>
    <x:col min="7536" max="7536" width="11.5" customWidth="0"/>
    <x:col min="7544" max="7544" width="11.5" customWidth="0"/>
    <x:col min="7552" max="7552" width="11.5" customWidth="0"/>
    <x:col min="7560" max="7560" width="11.5" customWidth="0"/>
    <x:col min="7568" max="7568" width="11.5" customWidth="0"/>
    <x:col min="7576" max="7576" width="11.5" customWidth="0"/>
    <x:col min="7584" max="7584" width="11.5" customWidth="0"/>
    <x:col min="7592" max="7592" width="11.5" customWidth="0"/>
    <x:col min="7600" max="7600" width="11.5" customWidth="0"/>
    <x:col min="7608" max="7608" width="11.5" customWidth="0"/>
    <x:col min="7616" max="7616" width="11.5" customWidth="0"/>
    <x:col min="7624" max="7624" width="11.5" customWidth="0"/>
    <x:col min="7632" max="7632" width="11.5" customWidth="0"/>
    <x:col min="7640" max="7640" width="11.5" customWidth="0"/>
    <x:col min="7648" max="7648" width="11.5" customWidth="0"/>
    <x:col min="7656" max="7656" width="11.5" customWidth="0"/>
    <x:col min="7664" max="7664" width="11.5" customWidth="0"/>
    <x:col min="7672" max="7672" width="11.5" customWidth="0"/>
    <x:col min="7680" max="7680" width="11.5" customWidth="0"/>
    <x:col min="7688" max="7688" width="11.5" customWidth="0"/>
    <x:col min="7696" max="7696" width="11.5" customWidth="0"/>
    <x:col min="7704" max="7704" width="11.5" customWidth="0"/>
    <x:col min="7712" max="7712" width="11.5" customWidth="0"/>
    <x:col min="7720" max="7720" width="11.5" customWidth="0"/>
    <x:col min="7728" max="7728" width="11.5" customWidth="0"/>
    <x:col min="7736" max="7736" width="11.5" customWidth="0"/>
    <x:col min="7744" max="7744" width="11.5" customWidth="0"/>
    <x:col min="7752" max="7752" width="11.5" customWidth="0"/>
    <x:col min="7760" max="7760" width="11.5" customWidth="0"/>
    <x:col min="7768" max="7768" width="11.5" customWidth="0"/>
    <x:col min="7776" max="7776" width="11.5" customWidth="0"/>
    <x:col min="7784" max="7784" width="11.5" customWidth="0"/>
    <x:col min="7792" max="7792" width="11.5" customWidth="0"/>
    <x:col min="7800" max="7800" width="11.5" customWidth="0"/>
    <x:col min="7808" max="7808" width="11.5" customWidth="0"/>
    <x:col min="7816" max="7816" width="11.5" customWidth="0"/>
    <x:col min="7824" max="7824" width="11.5" customWidth="0"/>
    <x:col min="7832" max="7832" width="11.5" customWidth="0"/>
    <x:col min="7840" max="7840" width="11.5" customWidth="0"/>
    <x:col min="7848" max="7848" width="11.5" customWidth="0"/>
    <x:col min="7856" max="7856" width="11.5" customWidth="0"/>
    <x:col min="7864" max="7864" width="11.5" customWidth="0"/>
    <x:col min="7872" max="7872" width="11.5" customWidth="0"/>
    <x:col min="7880" max="7880" width="11.5" customWidth="0"/>
    <x:col min="7888" max="7888" width="11.5" customWidth="0"/>
    <x:col min="7896" max="7896" width="11.5" customWidth="0"/>
    <x:col min="7904" max="7904" width="11.5" customWidth="0"/>
    <x:col min="7912" max="7912" width="11.5" customWidth="0"/>
    <x:col min="7920" max="7920" width="11.5" customWidth="0"/>
    <x:col min="7928" max="7928" width="11.5" customWidth="0"/>
    <x:col min="7936" max="7936" width="11.5" customWidth="0"/>
    <x:col min="7944" max="7944" width="11.5" customWidth="0"/>
    <x:col min="7952" max="7952" width="11.5" customWidth="0"/>
    <x:col min="7960" max="7960" width="11.5" customWidth="0"/>
    <x:col min="7968" max="7968" width="11.5" customWidth="0"/>
    <x:col min="7976" max="7976" width="11.5" customWidth="0"/>
    <x:col min="7984" max="7984" width="11.5" customWidth="0"/>
    <x:col min="7992" max="7992" width="11.5" customWidth="0"/>
    <x:col min="8000" max="8000" width="11.5" customWidth="0"/>
    <x:col min="8008" max="8008" width="11.5" customWidth="0"/>
    <x:col min="8016" max="8016" width="11.5" customWidth="0"/>
    <x:col min="8024" max="8024" width="11.5" customWidth="0"/>
    <x:col min="8032" max="8032" width="11.5" customWidth="0"/>
    <x:col min="8040" max="8040" width="11.5" customWidth="0"/>
    <x:col min="8048" max="8048" width="11.5" customWidth="0"/>
    <x:col min="8056" max="8056" width="11.5" customWidth="0"/>
    <x:col min="8064" max="8064" width="11.5" customWidth="0"/>
    <x:col min="8072" max="8072" width="11.5" customWidth="0"/>
    <x:col min="8080" max="8080" width="11.5" customWidth="0"/>
    <x:col min="8088" max="8088" width="11.5" customWidth="0"/>
    <x:col min="8096" max="8096" width="11.5" customWidth="0"/>
    <x:col min="8104" max="8104" width="11.5" customWidth="0"/>
    <x:col min="8112" max="8112" width="11.5" customWidth="0"/>
    <x:col min="8120" max="8120" width="11.5" customWidth="0"/>
    <x:col min="8128" max="8128" width="11.5" customWidth="0"/>
    <x:col min="8136" max="8136" width="11.5" customWidth="0"/>
    <x:col min="8144" max="8144" width="11.5" customWidth="0"/>
    <x:col min="8152" max="8152" width="11.5" customWidth="0"/>
    <x:col min="8160" max="8160" width="11.5" customWidth="0"/>
    <x:col min="8168" max="8168" width="11.5" customWidth="0"/>
    <x:col min="8176" max="8176" width="11.5" customWidth="0"/>
    <x:col min="8184" max="8184" width="11.5" customWidth="0"/>
    <x:col min="8192" max="8192" width="11.5" customWidth="0"/>
    <x:col min="8200" max="8200" width="11.5" customWidth="0"/>
    <x:col min="8208" max="8208" width="11.5" customWidth="0"/>
    <x:col min="8216" max="8216" width="11.5" customWidth="0"/>
    <x:col min="8224" max="8224" width="11.5" customWidth="0"/>
    <x:col min="8232" max="8232" width="11.5" customWidth="0"/>
    <x:col min="8240" max="8240" width="11.5" customWidth="0"/>
    <x:col min="8248" max="8248" width="11.5" customWidth="0"/>
    <x:col min="8256" max="8256" width="11.5" customWidth="0"/>
    <x:col min="8264" max="8264" width="11.5" customWidth="0"/>
    <x:col min="8272" max="8272" width="11.5" customWidth="0"/>
    <x:col min="8280" max="8280" width="11.5" customWidth="0"/>
    <x:col min="8288" max="8288" width="11.5" customWidth="0"/>
    <x:col min="8296" max="8296" width="11.5" customWidth="0"/>
    <x:col min="8304" max="8304" width="11.5" customWidth="0"/>
    <x:col min="8312" max="8312" width="11.5" customWidth="0"/>
    <x:col min="8320" max="8320" width="11.5" customWidth="0"/>
    <x:col min="8328" max="8328" width="11.5" customWidth="0"/>
    <x:col min="8336" max="8336" width="11.5" customWidth="0"/>
    <x:col min="8344" max="8344" width="11.5" customWidth="0"/>
    <x:col min="8352" max="8352" width="11.5" customWidth="0"/>
    <x:col min="8360" max="8360" width="11.5" customWidth="0"/>
    <x:col min="8368" max="8368" width="11.5" customWidth="0"/>
    <x:col min="8376" max="8376" width="11.5" customWidth="0"/>
    <x:col min="8384" max="8384" width="11.5" customWidth="0"/>
    <x:col min="8392" max="8392" width="11.5" customWidth="0"/>
    <x:col min="8400" max="8400" width="11.5" customWidth="0"/>
    <x:col min="8408" max="8408" width="11.5" customWidth="0"/>
    <x:col min="8416" max="8416" width="11.5" customWidth="0"/>
    <x:col min="8424" max="8424" width="11.5" customWidth="0"/>
    <x:col min="8432" max="8432" width="11.5" customWidth="0"/>
    <x:col min="8440" max="8440" width="11.5" customWidth="0"/>
    <x:col min="8448" max="8448" width="11.5" customWidth="0"/>
    <x:col min="8456" max="8456" width="11.5" customWidth="0"/>
    <x:col min="8464" max="8464" width="11.5" customWidth="0"/>
    <x:col min="8472" max="8472" width="11.5" customWidth="0"/>
    <x:col min="8480" max="8480" width="11.5" customWidth="0"/>
    <x:col min="8488" max="8488" width="11.5" customWidth="0"/>
    <x:col min="8496" max="8496" width="11.5" customWidth="0"/>
    <x:col min="8504" max="8504" width="11.5" customWidth="0"/>
    <x:col min="8512" max="8512" width="11.5" customWidth="0"/>
    <x:col min="8520" max="8520" width="11.5" customWidth="0"/>
    <x:col min="8528" max="8528" width="11.5" customWidth="0"/>
    <x:col min="8536" max="8536" width="11.5" customWidth="0"/>
    <x:col min="8544" max="8544" width="11.5" customWidth="0"/>
    <x:col min="8552" max="8552" width="11.5" customWidth="0"/>
    <x:col min="8560" max="8560" width="11.5" customWidth="0"/>
    <x:col min="8568" max="8568" width="11.5" customWidth="0"/>
    <x:col min="8576" max="8576" width="11.5" customWidth="0"/>
    <x:col min="8584" max="8584" width="11.5" customWidth="0"/>
    <x:col min="8592" max="8592" width="11.5" customWidth="0"/>
    <x:col min="8600" max="8600" width="11.5" customWidth="0"/>
    <x:col min="8608" max="8608" width="11.5" customWidth="0"/>
    <x:col min="8616" max="8616" width="11.5" customWidth="0"/>
    <x:col min="8624" max="8624" width="11.5" customWidth="0"/>
    <x:col min="8632" max="8632" width="11.5" customWidth="0"/>
    <x:col min="8640" max="8640" width="11.5" customWidth="0"/>
    <x:col min="8648" max="8648" width="11.5" customWidth="0"/>
    <x:col min="8656" max="8656" width="11.5" customWidth="0"/>
    <x:col min="8664" max="8664" width="11.5" customWidth="0"/>
    <x:col min="8672" max="8672" width="11.5" customWidth="0"/>
    <x:col min="8680" max="8680" width="11.5" customWidth="0"/>
    <x:col min="8688" max="8688" width="11.5" customWidth="0"/>
    <x:col min="8696" max="8696" width="11.5" customWidth="0"/>
    <x:col min="8704" max="8704" width="11.5" customWidth="0"/>
    <x:col min="8712" max="8712" width="11.5" customWidth="0"/>
    <x:col min="8720" max="8720" width="11.5" customWidth="0"/>
    <x:col min="8728" max="8728" width="11.5" customWidth="0"/>
    <x:col min="8736" max="8736" width="11.5" customWidth="0"/>
    <x:col min="8744" max="8744" width="11.5" customWidth="0"/>
    <x:col min="8752" max="8752" width="11.5" customWidth="0"/>
    <x:col min="8760" max="8760" width="11.5" customWidth="0"/>
    <x:col min="8768" max="8768" width="11.5" customWidth="0"/>
    <x:col min="8776" max="8776" width="11.5" customWidth="0"/>
    <x:col min="8784" max="8784" width="11.5" customWidth="0"/>
    <x:col min="8792" max="8792" width="11.5" customWidth="0"/>
    <x:col min="8800" max="8800" width="11.5" customWidth="0"/>
    <x:col min="8808" max="8808" width="11.5" customWidth="0"/>
    <x:col min="8816" max="8816" width="11.5" customWidth="0"/>
    <x:col min="8824" max="8824" width="11.5" customWidth="0"/>
    <x:col min="8832" max="8832" width="11.5" customWidth="0"/>
    <x:col min="8840" max="8840" width="11.5" customWidth="0"/>
    <x:col min="8848" max="8848" width="11.5" customWidth="0"/>
    <x:col min="8856" max="8856" width="11.5" customWidth="0"/>
    <x:col min="8864" max="8864" width="11.5" customWidth="0"/>
    <x:col min="8872" max="8872" width="11.5" customWidth="0"/>
    <x:col min="8880" max="8880" width="11.5" customWidth="0"/>
    <x:col min="8888" max="8888" width="11.5" customWidth="0"/>
    <x:col min="8896" max="8896" width="11.5" customWidth="0"/>
    <x:col min="8904" max="8904" width="11.5" customWidth="0"/>
    <x:col min="8912" max="8912" width="11.5" customWidth="0"/>
    <x:col min="8920" max="8920" width="11.5" customWidth="0"/>
    <x:col min="8928" max="8928" width="11.5" customWidth="0"/>
    <x:col min="8936" max="8936" width="11.5" customWidth="0"/>
    <x:col min="8944" max="8944" width="11.5" customWidth="0"/>
    <x:col min="8952" max="8952" width="11.5" customWidth="0"/>
    <x:col min="8960" max="8960" width="11.5" customWidth="0"/>
    <x:col min="8968" max="8968" width="11.5" customWidth="0"/>
    <x:col min="8976" max="8976" width="11.5" customWidth="0"/>
    <x:col min="8984" max="8984" width="11.5" customWidth="0"/>
    <x:col min="8992" max="8992" width="11.5" customWidth="0"/>
    <x:col min="9000" max="9000" width="11.5" customWidth="0"/>
    <x:col min="9008" max="9008" width="11.5" customWidth="0"/>
    <x:col min="9016" max="9016" width="11.5" customWidth="0"/>
    <x:col min="9024" max="9024" width="11.5" customWidth="0"/>
    <x:col min="9032" max="9032" width="11.5" customWidth="0"/>
    <x:col min="9040" max="9040" width="11.5" customWidth="0"/>
    <x:col min="9048" max="9048" width="11.5" customWidth="0"/>
    <x:col min="9056" max="9056" width="11.5" customWidth="0"/>
    <x:col min="9064" max="9064" width="11.5" customWidth="0"/>
    <x:col min="9072" max="9072" width="11.5" customWidth="0"/>
    <x:col min="9080" max="9080" width="11.5" customWidth="0"/>
    <x:col min="9088" max="9088" width="11.5" customWidth="0"/>
    <x:col min="9096" max="9096" width="11.5" customWidth="0"/>
    <x:col min="9104" max="9104" width="11.5" customWidth="0"/>
    <x:col min="9112" max="9112" width="11.5" customWidth="0"/>
    <x:col min="9120" max="9120" width="11.5" customWidth="0"/>
    <x:col min="9128" max="9128" width="11.5" customWidth="0"/>
    <x:col min="9136" max="9136" width="11.5" customWidth="0"/>
    <x:col min="9144" max="9144" width="11.5" customWidth="0"/>
    <x:col min="9152" max="9152" width="11.5" customWidth="0"/>
    <x:col min="9160" max="9160" width="11.5" customWidth="0"/>
    <x:col min="9168" max="9168" width="11.5" customWidth="0"/>
    <x:col min="9176" max="9176" width="11.5" customWidth="0"/>
    <x:col min="9184" max="9184" width="11.5" customWidth="0"/>
    <x:col min="9192" max="9192" width="11.5" customWidth="0"/>
    <x:col min="9200" max="9200" width="11.5" customWidth="0"/>
    <x:col min="9208" max="9208" width="11.5" customWidth="0"/>
    <x:col min="9216" max="9216" width="11.5" customWidth="0"/>
    <x:col min="9224" max="9224" width="11.5" customWidth="0"/>
    <x:col min="9232" max="9232" width="11.5" customWidth="0"/>
    <x:col min="9240" max="9240" width="11.5" customWidth="0"/>
    <x:col min="9248" max="9248" width="11.5" customWidth="0"/>
    <x:col min="9256" max="9256" width="11.5" customWidth="0"/>
    <x:col min="9264" max="9264" width="11.5" customWidth="0"/>
    <x:col min="9272" max="9272" width="11.5" customWidth="0"/>
    <x:col min="9280" max="9280" width="11.5" customWidth="0"/>
    <x:col min="9288" max="9288" width="11.5" customWidth="0"/>
    <x:col min="9296" max="9296" width="11.5" customWidth="0"/>
    <x:col min="9304" max="9304" width="11.5" customWidth="0"/>
    <x:col min="9312" max="9312" width="11.5" customWidth="0"/>
    <x:col min="9320" max="9320" width="11.5" customWidth="0"/>
    <x:col min="9328" max="9328" width="11.5" customWidth="0"/>
    <x:col min="9336" max="9336" width="11.5" customWidth="0"/>
    <x:col min="9344" max="9344" width="11.5" customWidth="0"/>
    <x:col min="9352" max="9352" width="11.5" customWidth="0"/>
    <x:col min="9360" max="9360" width="11.5" customWidth="0"/>
    <x:col min="9368" max="9368" width="11.5" customWidth="0"/>
    <x:col min="9376" max="9376" width="11.5" customWidth="0"/>
    <x:col min="9384" max="9384" width="11.5" customWidth="0"/>
    <x:col min="9392" max="9392" width="11.5" customWidth="0"/>
    <x:col min="9400" max="9400" width="11.5" customWidth="0"/>
    <x:col min="9408" max="9408" width="11.5" customWidth="0"/>
    <x:col min="9416" max="9416" width="11.5" customWidth="0"/>
    <x:col min="9424" max="9424" width="11.5" customWidth="0"/>
    <x:col min="9432" max="9432" width="11.5" customWidth="0"/>
    <x:col min="9440" max="9440" width="11.5" customWidth="0"/>
    <x:col min="9448" max="9448" width="11.5" customWidth="0"/>
    <x:col min="9456" max="9456" width="11.5" customWidth="0"/>
    <x:col min="9464" max="9464" width="11.5" customWidth="0"/>
    <x:col min="9472" max="9472" width="11.5" customWidth="0"/>
    <x:col min="9480" max="9480" width="11.5" customWidth="0"/>
    <x:col min="9488" max="9488" width="11.5" customWidth="0"/>
    <x:col min="9496" max="9496" width="11.5" customWidth="0"/>
    <x:col min="9504" max="9504" width="11.5" customWidth="0"/>
    <x:col min="9512" max="9512" width="11.5" customWidth="0"/>
    <x:col min="9520" max="9520" width="11.5" customWidth="0"/>
    <x:col min="9528" max="9528" width="11.5" customWidth="0"/>
    <x:col min="9536" max="9536" width="11.5" customWidth="0"/>
    <x:col min="9544" max="9544" width="11.5" customWidth="0"/>
    <x:col min="9552" max="9552" width="11.5" customWidth="0"/>
    <x:col min="9560" max="9560" width="11.5" customWidth="0"/>
    <x:col min="9568" max="9568" width="11.5" customWidth="0"/>
    <x:col min="9576" max="9576" width="11.5" customWidth="0"/>
    <x:col min="9584" max="9584" width="11.5" customWidth="0"/>
    <x:col min="9592" max="9592" width="11.5" customWidth="0"/>
    <x:col min="9600" max="9600" width="11.5" customWidth="0"/>
    <x:col min="9608" max="9608" width="11.5" customWidth="0"/>
    <x:col min="9616" max="9616" width="11.5" customWidth="0"/>
    <x:col min="9624" max="9624" width="11.5" customWidth="0"/>
    <x:col min="9632" max="9632" width="11.5" customWidth="0"/>
    <x:col min="9640" max="9640" width="11.5" customWidth="0"/>
    <x:col min="9648" max="9648" width="11.5" customWidth="0"/>
    <x:col min="9656" max="9656" width="11.5" customWidth="0"/>
    <x:col min="9664" max="9664" width="11.5" customWidth="0"/>
    <x:col min="9672" max="9672" width="11.5" customWidth="0"/>
    <x:col min="9680" max="9680" width="11.5" customWidth="0"/>
    <x:col min="9688" max="9688" width="11.5" customWidth="0"/>
    <x:col min="9696" max="9696" width="11.5" customWidth="0"/>
    <x:col min="9704" max="9704" width="11.5" customWidth="0"/>
    <x:col min="9712" max="9712" width="11.5" customWidth="0"/>
    <x:col min="9720" max="9720" width="11.5" customWidth="0"/>
    <x:col min="9728" max="9728" width="11.5" customWidth="0"/>
    <x:col min="9736" max="9736" width="11.5" customWidth="0"/>
    <x:col min="9744" max="9744" width="11.5" customWidth="0"/>
    <x:col min="9752" max="9752" width="11.5" customWidth="0"/>
    <x:col min="9760" max="9760" width="11.5" customWidth="0"/>
    <x:col min="9768" max="9768" width="11.5" customWidth="0"/>
    <x:col min="9776" max="9776" width="11.5" customWidth="0"/>
    <x:col min="9784" max="9784" width="11.5" customWidth="0"/>
    <x:col min="9792" max="9792" width="11.5" customWidth="0"/>
    <x:col min="9800" max="9800" width="11.5" customWidth="0"/>
    <x:col min="9808" max="9808" width="11.5" customWidth="0"/>
    <x:col min="9816" max="9816" width="11.5" customWidth="0"/>
    <x:col min="9824" max="9824" width="11.5" customWidth="0"/>
    <x:col min="9832" max="9832" width="11.5" customWidth="0"/>
    <x:col min="9840" max="9840" width="11.5" customWidth="0"/>
    <x:col min="9848" max="9848" width="11.5" customWidth="0"/>
    <x:col min="9856" max="9856" width="11.5" customWidth="0"/>
    <x:col min="9864" max="9864" width="11.5" customWidth="0"/>
    <x:col min="9872" max="9872" width="11.5" customWidth="0"/>
    <x:col min="9880" max="9880" width="11.5" customWidth="0"/>
    <x:col min="9888" max="9888" width="11.5" customWidth="0"/>
    <x:col min="9896" max="9896" width="11.5" customWidth="0"/>
    <x:col min="9904" max="9904" width="11.5" customWidth="0"/>
    <x:col min="9912" max="9912" width="11.5" customWidth="0"/>
    <x:col min="9920" max="9920" width="11.5" customWidth="0"/>
    <x:col min="9928" max="9928" width="11.5" customWidth="0"/>
    <x:col min="9936" max="9936" width="11.5" customWidth="0"/>
    <x:col min="9944" max="9944" width="11.5" customWidth="0"/>
    <x:col min="9952" max="9952" width="11.5" customWidth="0"/>
    <x:col min="9960" max="9960" width="11.5" customWidth="0"/>
    <x:col min="9968" max="9968" width="11.5" customWidth="0"/>
    <x:col min="9976" max="9976" width="11.5" customWidth="0"/>
    <x:col min="9984" max="9984" width="11.5" customWidth="0"/>
    <x:col min="9992" max="9992" width="11.5" customWidth="0"/>
    <x:col min="10000" max="10000" width="11.5" customWidth="0"/>
    <x:col min="10008" max="10008" width="11.5" customWidth="0"/>
    <x:col min="10016" max="10016" width="11.5" customWidth="0"/>
    <x:col min="10024" max="10024" width="11.5" customWidth="0"/>
    <x:col min="10032" max="10032" width="11.5" customWidth="0"/>
    <x:col min="10040" max="10040" width="11.5" customWidth="0"/>
    <x:col min="10048" max="10048" width="11.5" customWidth="0"/>
    <x:col min="10056" max="10056" width="11.5" customWidth="0"/>
    <x:col min="10064" max="10064" width="11.5" customWidth="0"/>
    <x:col min="10072" max="10072" width="11.5" customWidth="0"/>
    <x:col min="10080" max="10080" width="11.5" customWidth="0"/>
    <x:col min="10088" max="10088" width="11.5" customWidth="0"/>
    <x:col min="10096" max="10096" width="11.5" customWidth="0"/>
    <x:col min="10104" max="10104" width="11.5" customWidth="0"/>
    <x:col min="10112" max="10112" width="11.5" customWidth="0"/>
    <x:col min="10120" max="10120" width="11.5" customWidth="0"/>
    <x:col min="10128" max="10128" width="11.5" customWidth="0"/>
    <x:col min="10136" max="10136" width="11.5" customWidth="0"/>
    <x:col min="10144" max="10144" width="11.5" customWidth="0"/>
    <x:col min="10152" max="10152" width="11.5" customWidth="0"/>
    <x:col min="10160" max="10160" width="11.5" customWidth="0"/>
    <x:col min="10168" max="10168" width="11.5" customWidth="0"/>
    <x:col min="10176" max="10176" width="11.5" customWidth="0"/>
    <x:col min="10184" max="10184" width="11.5" customWidth="0"/>
    <x:col min="10192" max="10192" width="11.5" customWidth="0"/>
    <x:col min="10200" max="10200" width="11.5" customWidth="0"/>
    <x:col min="10208" max="10208" width="11.5" customWidth="0"/>
    <x:col min="10216" max="10216" width="11.5" customWidth="0"/>
    <x:col min="10224" max="10224" width="11.5" customWidth="0"/>
    <x:col min="10232" max="10232" width="11.5" customWidth="0"/>
    <x:col min="10240" max="10240" width="11.5" customWidth="0"/>
    <x:col min="10248" max="10248" width="11.5" customWidth="0"/>
    <x:col min="10256" max="10256" width="11.5" customWidth="0"/>
    <x:col min="10264" max="10264" width="11.5" customWidth="0"/>
    <x:col min="10272" max="10272" width="11.5" customWidth="0"/>
    <x:col min="10280" max="10280" width="11.5" customWidth="0"/>
    <x:col min="10288" max="10288" width="11.5" customWidth="0"/>
    <x:col min="10296" max="10296" width="11.5" customWidth="0"/>
    <x:col min="10304" max="10304" width="11.5" customWidth="0"/>
    <x:col min="10312" max="10312" width="11.5" customWidth="0"/>
    <x:col min="10320" max="10320" width="11.5" customWidth="0"/>
    <x:col min="10328" max="10328" width="11.5" customWidth="0"/>
    <x:col min="10336" max="10336" width="11.5" customWidth="0"/>
    <x:col min="10344" max="10344" width="11.5" customWidth="0"/>
    <x:col min="10352" max="10352" width="11.5" customWidth="0"/>
    <x:col min="10360" max="10360" width="11.5" customWidth="0"/>
    <x:col min="10368" max="10368" width="11.5" customWidth="0"/>
    <x:col min="10376" max="10376" width="11.5" customWidth="0"/>
    <x:col min="10384" max="10384" width="11.5" customWidth="0"/>
    <x:col min="10392" max="10392" width="11.5" customWidth="0"/>
    <x:col min="10400" max="10400" width="11.5" customWidth="0"/>
    <x:col min="10408" max="10408" width="11.5" customWidth="0"/>
    <x:col min="10416" max="10416" width="11.5" customWidth="0"/>
    <x:col min="10424" max="10424" width="11.5" customWidth="0"/>
    <x:col min="10432" max="10432" width="11.5" customWidth="0"/>
    <x:col min="10440" max="10440" width="11.5" customWidth="0"/>
    <x:col min="10448" max="10448" width="11.5" customWidth="0"/>
    <x:col min="10456" max="10456" width="11.5" customWidth="0"/>
    <x:col min="10464" max="10464" width="11.5" customWidth="0"/>
    <x:col min="10472" max="10472" width="11.5" customWidth="0"/>
    <x:col min="10480" max="10480" width="11.5" customWidth="0"/>
    <x:col min="10488" max="10488" width="11.5" customWidth="0"/>
    <x:col min="10496" max="10496" width="11.5" customWidth="0"/>
    <x:col min="10504" max="10504" width="11.5" customWidth="0"/>
    <x:col min="10512" max="10512" width="11.5" customWidth="0"/>
    <x:col min="10520" max="10520" width="11.5" customWidth="0"/>
    <x:col min="10528" max="10528" width="11.5" customWidth="0"/>
    <x:col min="10536" max="10536" width="11.5" customWidth="0"/>
    <x:col min="10544" max="10544" width="11.5" customWidth="0"/>
    <x:col min="10552" max="10552" width="11.5" customWidth="0"/>
    <x:col min="10560" max="10560" width="11.5" customWidth="0"/>
    <x:col min="10568" max="10568" width="11.5" customWidth="0"/>
    <x:col min="10576" max="10576" width="11.5" customWidth="0"/>
    <x:col min="10584" max="10584" width="11.5" customWidth="0"/>
    <x:col min="10592" max="10592" width="11.5" customWidth="0"/>
    <x:col min="10600" max="10600" width="11.5" customWidth="0"/>
    <x:col min="10608" max="10608" width="11.5" customWidth="0"/>
    <x:col min="10616" max="10616" width="11.5" customWidth="0"/>
    <x:col min="10624" max="10624" width="11.5" customWidth="0"/>
    <x:col min="10632" max="10632" width="11.5" customWidth="0"/>
    <x:col min="10640" max="10640" width="11.5" customWidth="0"/>
    <x:col min="10648" max="10648" width="11.5" customWidth="0"/>
    <x:col min="10656" max="10656" width="11.5" customWidth="0"/>
    <x:col min="10664" max="10664" width="11.5" customWidth="0"/>
    <x:col min="10672" max="10672" width="11.5" customWidth="0"/>
    <x:col min="10680" max="10680" width="11.5" customWidth="0"/>
    <x:col min="10688" max="10688" width="11.5" customWidth="0"/>
    <x:col min="10696" max="10696" width="11.5" customWidth="0"/>
    <x:col min="10704" max="10704" width="11.5" customWidth="0"/>
    <x:col min="10712" max="10712" width="11.5" customWidth="0"/>
    <x:col min="10720" max="10720" width="11.5" customWidth="0"/>
    <x:col min="10728" max="10728" width="11.5" customWidth="0"/>
    <x:col min="10736" max="10736" width="11.5" customWidth="0"/>
    <x:col min="10744" max="10744" width="11.5" customWidth="0"/>
    <x:col min="10752" max="10752" width="11.5" customWidth="0"/>
    <x:col min="10760" max="10760" width="11.5" customWidth="0"/>
    <x:col min="10768" max="10768" width="11.5" customWidth="0"/>
    <x:col min="10776" max="10776" width="11.5" customWidth="0"/>
    <x:col min="10784" max="10784" width="11.5" customWidth="0"/>
    <x:col min="10792" max="10792" width="11.5" customWidth="0"/>
    <x:col min="10800" max="10800" width="11.5" customWidth="0"/>
    <x:col min="10808" max="10808" width="11.5" customWidth="0"/>
    <x:col min="10816" max="10816" width="11.5" customWidth="0"/>
    <x:col min="10824" max="10824" width="11.5" customWidth="0"/>
    <x:col min="10832" max="10832" width="11.5" customWidth="0"/>
    <x:col min="10840" max="10840" width="11.5" customWidth="0"/>
    <x:col min="10848" max="10848" width="11.5" customWidth="0"/>
    <x:col min="10856" max="10856" width="11.5" customWidth="0"/>
    <x:col min="10864" max="10864" width="11.5" customWidth="0"/>
    <x:col min="10872" max="10872" width="11.5" customWidth="0"/>
    <x:col min="10880" max="10880" width="11.5" customWidth="0"/>
    <x:col min="10888" max="10888" width="11.5" customWidth="0"/>
    <x:col min="10896" max="10896" width="11.5" customWidth="0"/>
    <x:col min="10904" max="10904" width="11.5" customWidth="0"/>
    <x:col min="10912" max="10912" width="11.5" customWidth="0"/>
    <x:col min="10920" max="10920" width="11.5" customWidth="0"/>
    <x:col min="10928" max="10928" width="11.5" customWidth="0"/>
    <x:col min="10936" max="10936" width="11.5" customWidth="0"/>
    <x:col min="10944" max="10944" width="11.5" customWidth="0"/>
    <x:col min="10952" max="10952" width="11.5" customWidth="0"/>
    <x:col min="10960" max="10960" width="11.5" customWidth="0"/>
    <x:col min="10968" max="10968" width="11.5" customWidth="0"/>
    <x:col min="10976" max="10976" width="11.5" customWidth="0"/>
    <x:col min="10984" max="10984" width="11.5" customWidth="0"/>
    <x:col min="10992" max="10992" width="11.5" customWidth="0"/>
    <x:col min="11000" max="11000" width="11.5" customWidth="0"/>
    <x:col min="11008" max="11008" width="11.5" customWidth="0"/>
    <x:col min="11016" max="11016" width="11.5" customWidth="0"/>
    <x:col min="11024" max="11024" width="11.5" customWidth="0"/>
    <x:col min="11032" max="11032" width="11.5" customWidth="0"/>
    <x:col min="11040" max="11040" width="11.5" customWidth="0"/>
    <x:col min="11048" max="11048" width="11.5" customWidth="0"/>
    <x:col min="11056" max="11056" width="11.5" customWidth="0"/>
    <x:col min="11064" max="11064" width="11.5" customWidth="0"/>
    <x:col min="11072" max="11072" width="11.5" customWidth="0"/>
    <x:col min="11080" max="11080" width="11.5" customWidth="0"/>
    <x:col min="11088" max="11088" width="11.5" customWidth="0"/>
    <x:col min="11096" max="11096" width="11.5" customWidth="0"/>
    <x:col min="11104" max="11104" width="11.5" customWidth="0"/>
    <x:col min="11112" max="11112" width="11.5" customWidth="0"/>
    <x:col min="11120" max="11120" width="11.5" customWidth="0"/>
    <x:col min="11128" max="11128" width="11.5" customWidth="0"/>
    <x:col min="11136" max="11136" width="11.5" customWidth="0"/>
    <x:col min="11144" max="11144" width="11.5" customWidth="0"/>
    <x:col min="11152" max="11152" width="11.5" customWidth="0"/>
    <x:col min="11160" max="11160" width="11.5" customWidth="0"/>
    <x:col min="11168" max="11168" width="11.5" customWidth="0"/>
    <x:col min="11176" max="11176" width="11.5" customWidth="0"/>
    <x:col min="11184" max="11184" width="11.5" customWidth="0"/>
    <x:col min="11192" max="11192" width="11.5" customWidth="0"/>
    <x:col min="11200" max="11200" width="11.5" customWidth="0"/>
    <x:col min="11208" max="11208" width="11.5" customWidth="0"/>
    <x:col min="11216" max="11216" width="11.5" customWidth="0"/>
    <x:col min="11224" max="11224" width="11.5" customWidth="0"/>
    <x:col min="11232" max="11232" width="11.5" customWidth="0"/>
    <x:col min="11240" max="11240" width="11.5" customWidth="0"/>
    <x:col min="11248" max="11248" width="11.5" customWidth="0"/>
    <x:col min="11256" max="11256" width="11.5" customWidth="0"/>
    <x:col min="11264" max="11264" width="11.5" customWidth="0"/>
    <x:col min="11272" max="11272" width="11.5" customWidth="0"/>
    <x:col min="11280" max="11280" width="11.5" customWidth="0"/>
    <x:col min="11288" max="11288" width="11.5" customWidth="0"/>
    <x:col min="11296" max="11296" width="11.5" customWidth="0"/>
    <x:col min="11304" max="11304" width="11.5" customWidth="0"/>
    <x:col min="11312" max="11312" width="11.5" customWidth="0"/>
    <x:col min="11320" max="11320" width="11.5" customWidth="0"/>
    <x:col min="11328" max="11328" width="11.5" customWidth="0"/>
    <x:col min="11336" max="11336" width="11.5" customWidth="0"/>
    <x:col min="11344" max="11344" width="11.5" customWidth="0"/>
    <x:col min="11352" max="11352" width="11.5" customWidth="0"/>
    <x:col min="11360" max="11360" width="11.5" customWidth="0"/>
    <x:col min="11368" max="11368" width="11.5" customWidth="0"/>
    <x:col min="11376" max="11376" width="11.5" customWidth="0"/>
    <x:col min="11384" max="11384" width="11.5" customWidth="0"/>
    <x:col min="11392" max="11392" width="11.5" customWidth="0"/>
    <x:col min="11400" max="11400" width="11.5" customWidth="0"/>
    <x:col min="11408" max="11408" width="11.5" customWidth="0"/>
    <x:col min="11416" max="11416" width="11.5" customWidth="0"/>
    <x:col min="11424" max="11424" width="11.5" customWidth="0"/>
    <x:col min="11432" max="11432" width="11.5" customWidth="0"/>
    <x:col min="11440" max="11440" width="11.5" customWidth="0"/>
    <x:col min="11448" max="11448" width="11.5" customWidth="0"/>
    <x:col min="11456" max="11456" width="11.5" customWidth="0"/>
    <x:col min="11464" max="11464" width="11.5" customWidth="0"/>
    <x:col min="11472" max="11472" width="11.5" customWidth="0"/>
    <x:col min="11480" max="11480" width="11.5" customWidth="0"/>
    <x:col min="11488" max="11488" width="11.5" customWidth="0"/>
    <x:col min="11496" max="11496" width="11.5" customWidth="0"/>
    <x:col min="11504" max="11504" width="11.5" customWidth="0"/>
    <x:col min="11512" max="11512" width="11.5" customWidth="0"/>
    <x:col min="11520" max="11520" width="11.5" customWidth="0"/>
    <x:col min="11528" max="11528" width="11.5" customWidth="0"/>
    <x:col min="11536" max="11536" width="11.5" customWidth="0"/>
    <x:col min="11544" max="11544" width="11.5" customWidth="0"/>
    <x:col min="11552" max="11552" width="11.5" customWidth="0"/>
    <x:col min="11560" max="11560" width="11.5" customWidth="0"/>
    <x:col min="11568" max="11568" width="11.5" customWidth="0"/>
    <x:col min="11576" max="11576" width="11.5" customWidth="0"/>
    <x:col min="11584" max="11584" width="11.5" customWidth="0"/>
    <x:col min="11592" max="11592" width="11.5" customWidth="0"/>
    <x:col min="11600" max="11600" width="11.5" customWidth="0"/>
    <x:col min="11608" max="11608" width="11.5" customWidth="0"/>
    <x:col min="11616" max="11616" width="11.5" customWidth="0"/>
    <x:col min="11624" max="11624" width="11.5" customWidth="0"/>
    <x:col min="11632" max="11632" width="11.5" customWidth="0"/>
    <x:col min="11640" max="11640" width="11.5" customWidth="0"/>
    <x:col min="11648" max="11648" width="11.5" customWidth="0"/>
    <x:col min="11656" max="11656" width="11.5" customWidth="0"/>
    <x:col min="11664" max="11664" width="11.5" customWidth="0"/>
    <x:col min="11672" max="11672" width="11.5" customWidth="0"/>
    <x:col min="11680" max="11680" width="11.5" customWidth="0"/>
    <x:col min="11688" max="11688" width="11.5" customWidth="0"/>
    <x:col min="11696" max="11696" width="11.5" customWidth="0"/>
    <x:col min="11704" max="11704" width="11.5" customWidth="0"/>
    <x:col min="11712" max="11712" width="11.5" customWidth="0"/>
    <x:col min="11720" max="11720" width="11.5" customWidth="0"/>
    <x:col min="11728" max="11728" width="11.5" customWidth="0"/>
    <x:col min="11736" max="11736" width="11.5" customWidth="0"/>
    <x:col min="11744" max="11744" width="11.5" customWidth="0"/>
    <x:col min="11752" max="11752" width="11.5" customWidth="0"/>
    <x:col min="11760" max="11760" width="11.5" customWidth="0"/>
    <x:col min="11768" max="11768" width="11.5" customWidth="0"/>
    <x:col min="11776" max="11776" width="11.5" customWidth="0"/>
    <x:col min="11784" max="11784" width="11.5" customWidth="0"/>
    <x:col min="11792" max="11792" width="11.5" customWidth="0"/>
    <x:col min="11800" max="11800" width="11.5" customWidth="0"/>
    <x:col min="11808" max="11808" width="11.5" customWidth="0"/>
    <x:col min="11816" max="11816" width="11.5" customWidth="0"/>
    <x:col min="11824" max="11824" width="11.5" customWidth="0"/>
    <x:col min="11832" max="11832" width="11.5" customWidth="0"/>
    <x:col min="11840" max="11840" width="11.5" customWidth="0"/>
    <x:col min="11848" max="11848" width="11.5" customWidth="0"/>
    <x:col min="11856" max="11856" width="11.5" customWidth="0"/>
    <x:col min="11864" max="11864" width="11.5" customWidth="0"/>
    <x:col min="11872" max="11872" width="11.5" customWidth="0"/>
    <x:col min="11880" max="11880" width="11.5" customWidth="0"/>
    <x:col min="11888" max="11888" width="11.5" customWidth="0"/>
    <x:col min="11896" max="11896" width="11.5" customWidth="0"/>
    <x:col min="11904" max="11904" width="11.5" customWidth="0"/>
    <x:col min="11912" max="11912" width="11.5" customWidth="0"/>
    <x:col min="11920" max="11920" width="11.5" customWidth="0"/>
    <x:col min="11928" max="11928" width="11.5" customWidth="0"/>
    <x:col min="11936" max="11936" width="11.5" customWidth="0"/>
    <x:col min="11944" max="11944" width="11.5" customWidth="0"/>
    <x:col min="11952" max="11952" width="11.5" customWidth="0"/>
    <x:col min="11960" max="11960" width="11.5" customWidth="0"/>
    <x:col min="11968" max="11968" width="11.5" customWidth="0"/>
    <x:col min="11976" max="11976" width="11.5" customWidth="0"/>
    <x:col min="11984" max="11984" width="11.5" customWidth="0"/>
    <x:col min="11992" max="11992" width="11.5" customWidth="0"/>
    <x:col min="12000" max="12000" width="11.5" customWidth="0"/>
    <x:col min="12008" max="12008" width="11.5" customWidth="0"/>
    <x:col min="12016" max="12016" width="11.5" customWidth="0"/>
    <x:col min="12024" max="12024" width="11.5" customWidth="0"/>
    <x:col min="12032" max="12032" width="11.5" customWidth="0"/>
    <x:col min="12040" max="12040" width="11.5" customWidth="0"/>
    <x:col min="12048" max="12048" width="11.5" customWidth="0"/>
    <x:col min="12056" max="12056" width="11.5" customWidth="0"/>
    <x:col min="12064" max="12064" width="11.5" customWidth="0"/>
    <x:col min="12072" max="12072" width="11.5" customWidth="0"/>
    <x:col min="12080" max="12080" width="11.5" customWidth="0"/>
    <x:col min="12088" max="12088" width="11.5" customWidth="0"/>
    <x:col min="12096" max="12096" width="11.5" customWidth="0"/>
    <x:col min="12104" max="12104" width="11.5" customWidth="0"/>
    <x:col min="12112" max="12112" width="11.5" customWidth="0"/>
    <x:col min="12120" max="12120" width="11.5" customWidth="0"/>
    <x:col min="12128" max="12128" width="11.5" customWidth="0"/>
    <x:col min="12136" max="12136" width="11.5" customWidth="0"/>
    <x:col min="12144" max="12144" width="11.5" customWidth="0"/>
    <x:col min="12152" max="12152" width="11.5" customWidth="0"/>
    <x:col min="12160" max="12160" width="11.5" customWidth="0"/>
    <x:col min="12168" max="12168" width="11.5" customWidth="0"/>
    <x:col min="12176" max="12176" width="11.5" customWidth="0"/>
    <x:col min="12184" max="12184" width="11.5" customWidth="0"/>
    <x:col min="12192" max="12192" width="11.5" customWidth="0"/>
    <x:col min="12200" max="12200" width="11.5" customWidth="0"/>
    <x:col min="12208" max="12208" width="11.5" customWidth="0"/>
    <x:col min="12216" max="12216" width="11.5" customWidth="0"/>
    <x:col min="12224" max="12224" width="11.5" customWidth="0"/>
    <x:col min="12232" max="12232" width="11.5" customWidth="0"/>
    <x:col min="12240" max="12240" width="11.5" customWidth="0"/>
    <x:col min="12248" max="12248" width="11.5" customWidth="0"/>
    <x:col min="12256" max="12256" width="11.5" customWidth="0"/>
    <x:col min="12264" max="12264" width="11.5" customWidth="0"/>
    <x:col min="12272" max="12272" width="11.5" customWidth="0"/>
    <x:col min="12280" max="12280" width="11.5" customWidth="0"/>
    <x:col min="12288" max="12288" width="11.5" customWidth="0"/>
    <x:col min="12296" max="12296" width="11.5" customWidth="0"/>
    <x:col min="12304" max="12304" width="11.5" customWidth="0"/>
    <x:col min="12312" max="12312" width="11.5" customWidth="0"/>
    <x:col min="12320" max="12320" width="11.5" customWidth="0"/>
    <x:col min="12328" max="12328" width="11.5" customWidth="0"/>
    <x:col min="12336" max="12336" width="11.5" customWidth="0"/>
    <x:col min="12344" max="12344" width="11.5" customWidth="0"/>
    <x:col min="12352" max="12352" width="11.5" customWidth="0"/>
    <x:col min="12360" max="12360" width="11.5" customWidth="0"/>
    <x:col min="12368" max="12368" width="11.5" customWidth="0"/>
    <x:col min="12376" max="12376" width="11.5" customWidth="0"/>
    <x:col min="12384" max="12384" width="11.5" customWidth="0"/>
    <x:col min="12392" max="12392" width="11.5" customWidth="0"/>
    <x:col min="12400" max="12400" width="11.5" customWidth="0"/>
    <x:col min="12408" max="12408" width="11.5" customWidth="0"/>
    <x:col min="12416" max="12416" width="11.5" customWidth="0"/>
    <x:col min="12424" max="12424" width="11.5" customWidth="0"/>
    <x:col min="12432" max="12432" width="11.5" customWidth="0"/>
    <x:col min="12440" max="12440" width="11.5" customWidth="0"/>
    <x:col min="12448" max="12448" width="11.5" customWidth="0"/>
    <x:col min="12456" max="12456" width="11.5" customWidth="0"/>
    <x:col min="12464" max="12464" width="11.5" customWidth="0"/>
    <x:col min="12472" max="12472" width="11.5" customWidth="0"/>
    <x:col min="12480" max="12480" width="11.5" customWidth="0"/>
    <x:col min="12488" max="12488" width="11.5" customWidth="0"/>
    <x:col min="12496" max="12496" width="11.5" customWidth="0"/>
    <x:col min="12504" max="12504" width="11.5" customWidth="0"/>
    <x:col min="12512" max="12512" width="11.5" customWidth="0"/>
    <x:col min="12520" max="12520" width="11.5" customWidth="0"/>
    <x:col min="12528" max="12528" width="11.5" customWidth="0"/>
    <x:col min="12536" max="12536" width="11.5" customWidth="0"/>
    <x:col min="12544" max="12544" width="11.5" customWidth="0"/>
    <x:col min="12552" max="12552" width="11.5" customWidth="0"/>
    <x:col min="12560" max="12560" width="11.5" customWidth="0"/>
    <x:col min="12568" max="12568" width="11.5" customWidth="0"/>
    <x:col min="12576" max="12576" width="11.5" customWidth="0"/>
    <x:col min="12584" max="12584" width="11.5" customWidth="0"/>
    <x:col min="12592" max="12592" width="11.5" customWidth="0"/>
    <x:col min="12600" max="12600" width="11.5" customWidth="0"/>
    <x:col min="12608" max="12608" width="11.5" customWidth="0"/>
    <x:col min="12616" max="12616" width="11.5" customWidth="0"/>
    <x:col min="12624" max="12624" width="11.5" customWidth="0"/>
    <x:col min="12632" max="12632" width="11.5" customWidth="0"/>
    <x:col min="12640" max="12640" width="11.5" customWidth="0"/>
    <x:col min="12648" max="12648" width="11.5" customWidth="0"/>
    <x:col min="12656" max="12656" width="11.5" customWidth="0"/>
    <x:col min="12664" max="12664" width="11.5" customWidth="0"/>
    <x:col min="12672" max="12672" width="11.5" customWidth="0"/>
    <x:col min="12680" max="12680" width="11.5" customWidth="0"/>
    <x:col min="12688" max="12688" width="11.5" customWidth="0"/>
    <x:col min="12696" max="12696" width="11.5" customWidth="0"/>
    <x:col min="12704" max="12704" width="11.5" customWidth="0"/>
    <x:col min="12712" max="12712" width="11.5" customWidth="0"/>
    <x:col min="12720" max="12720" width="11.5" customWidth="0"/>
    <x:col min="12728" max="12728" width="11.5" customWidth="0"/>
    <x:col min="12736" max="12736" width="11.5" customWidth="0"/>
    <x:col min="12744" max="12744" width="11.5" customWidth="0"/>
    <x:col min="12752" max="12752" width="11.5" customWidth="0"/>
    <x:col min="12760" max="12760" width="11.5" customWidth="0"/>
    <x:col min="12768" max="12768" width="11.5" customWidth="0"/>
    <x:col min="12776" max="12776" width="11.5" customWidth="0"/>
    <x:col min="12784" max="12784" width="11.5" customWidth="0"/>
    <x:col min="12792" max="12792" width="11.5" customWidth="0"/>
    <x:col min="12800" max="12800" width="11.5" customWidth="0"/>
    <x:col min="12808" max="12808" width="11.5" customWidth="0"/>
    <x:col min="12816" max="12816" width="11.5" customWidth="0"/>
    <x:col min="12824" max="12824" width="11.5" customWidth="0"/>
    <x:col min="12832" max="12832" width="11.5" customWidth="0"/>
    <x:col min="12840" max="12840" width="11.5" customWidth="0"/>
    <x:col min="12848" max="12848" width="11.5" customWidth="0"/>
    <x:col min="12856" max="12856" width="11.5" customWidth="0"/>
    <x:col min="12864" max="12864" width="11.5" customWidth="0"/>
    <x:col min="12872" max="12872" width="11.5" customWidth="0"/>
    <x:col min="12880" max="12880" width="11.5" customWidth="0"/>
    <x:col min="12888" max="12888" width="11.5" customWidth="0"/>
    <x:col min="12896" max="12896" width="11.5" customWidth="0"/>
    <x:col min="12904" max="12904" width="11.5" customWidth="0"/>
    <x:col min="12912" max="12912" width="11.5" customWidth="0"/>
    <x:col min="12920" max="12920" width="11.5" customWidth="0"/>
    <x:col min="12928" max="12928" width="11.5" customWidth="0"/>
    <x:col min="12936" max="12936" width="11.5" customWidth="0"/>
    <x:col min="12944" max="12944" width="11.5" customWidth="0"/>
    <x:col min="12952" max="12952" width="11.5" customWidth="0"/>
    <x:col min="12960" max="12960" width="11.5" customWidth="0"/>
    <x:col min="12968" max="12968" width="11.5" customWidth="0"/>
    <x:col min="12976" max="12976" width="11.5" customWidth="0"/>
    <x:col min="12984" max="12984" width="11.5" customWidth="0"/>
    <x:col min="12992" max="12992" width="11.5" customWidth="0"/>
    <x:col min="13000" max="13000" width="11.5" customWidth="0"/>
    <x:col min="13008" max="13008" width="11.5" customWidth="0"/>
    <x:col min="13016" max="13016" width="11.5" customWidth="0"/>
    <x:col min="13024" max="13024" width="11.5" customWidth="0"/>
    <x:col min="13032" max="13032" width="11.5" customWidth="0"/>
    <x:col min="13040" max="13040" width="11.5" customWidth="0"/>
    <x:col min="13048" max="13048" width="11.5" customWidth="0"/>
    <x:col min="13056" max="13056" width="11.5" customWidth="0"/>
    <x:col min="13064" max="13064" width="11.5" customWidth="0"/>
    <x:col min="13072" max="13072" width="11.5" customWidth="0"/>
    <x:col min="13080" max="13080" width="11.5" customWidth="0"/>
    <x:col min="13088" max="13088" width="11.5" customWidth="0"/>
    <x:col min="13096" max="13096" width="11.5" customWidth="0"/>
    <x:col min="13104" max="13104" width="11.5" customWidth="0"/>
    <x:col min="13112" max="13112" width="11.5" customWidth="0"/>
    <x:col min="13120" max="13120" width="11.5" customWidth="0"/>
    <x:col min="13128" max="13128" width="11.5" customWidth="0"/>
    <x:col min="13136" max="13136" width="11.5" customWidth="0"/>
    <x:col min="13144" max="13144" width="11.5" customWidth="0"/>
    <x:col min="13152" max="13152" width="11.5" customWidth="0"/>
    <x:col min="13160" max="13160" width="11.5" customWidth="0"/>
    <x:col min="13168" max="13168" width="11.5" customWidth="0"/>
    <x:col min="13176" max="13176" width="11.5" customWidth="0"/>
    <x:col min="13184" max="13184" width="11.5" customWidth="0"/>
    <x:col min="13192" max="13192" width="11.5" customWidth="0"/>
    <x:col min="13200" max="13200" width="11.5" customWidth="0"/>
    <x:col min="13208" max="13208" width="11.5" customWidth="0"/>
    <x:col min="13216" max="13216" width="11.5" customWidth="0"/>
    <x:col min="13224" max="13224" width="11.5" customWidth="0"/>
    <x:col min="13232" max="13232" width="11.5" customWidth="0"/>
    <x:col min="13240" max="13240" width="11.5" customWidth="0"/>
    <x:col min="13248" max="13248" width="11.5" customWidth="0"/>
    <x:col min="13256" max="13256" width="11.5" customWidth="0"/>
    <x:col min="13264" max="13264" width="11.5" customWidth="0"/>
    <x:col min="13272" max="13272" width="11.5" customWidth="0"/>
    <x:col min="13280" max="13280" width="11.5" customWidth="0"/>
    <x:col min="13288" max="13288" width="11.5" customWidth="0"/>
    <x:col min="13296" max="13296" width="11.5" customWidth="0"/>
    <x:col min="13304" max="13304" width="11.5" customWidth="0"/>
    <x:col min="13312" max="13312" width="11.5" customWidth="0"/>
    <x:col min="13320" max="13320" width="11.5" customWidth="0"/>
    <x:col min="13328" max="13328" width="11.5" customWidth="0"/>
    <x:col min="13336" max="13336" width="11.5" customWidth="0"/>
    <x:col min="13344" max="13344" width="11.5" customWidth="0"/>
    <x:col min="13352" max="13352" width="11.5" customWidth="0"/>
    <x:col min="13360" max="13360" width="11.5" customWidth="0"/>
    <x:col min="13368" max="13368" width="11.5" customWidth="0"/>
    <x:col min="13376" max="13376" width="11.5" customWidth="0"/>
    <x:col min="13384" max="13384" width="11.5" customWidth="0"/>
    <x:col min="13392" max="13392" width="11.5" customWidth="0"/>
    <x:col min="13400" max="13400" width="11.5" customWidth="0"/>
    <x:col min="13408" max="13408" width="11.5" customWidth="0"/>
    <x:col min="13416" max="13416" width="11.5" customWidth="0"/>
    <x:col min="13424" max="13424" width="11.5" customWidth="0"/>
    <x:col min="13432" max="13432" width="11.5" customWidth="0"/>
    <x:col min="13440" max="13440" width="11.5" customWidth="0"/>
    <x:col min="13448" max="13448" width="11.5" customWidth="0"/>
    <x:col min="13456" max="13456" width="11.5" customWidth="0"/>
    <x:col min="13464" max="13464" width="11.5" customWidth="0"/>
    <x:col min="13472" max="13472" width="11.5" customWidth="0"/>
    <x:col min="13480" max="13480" width="11.5" customWidth="0"/>
    <x:col min="13488" max="13488" width="11.5" customWidth="0"/>
    <x:col min="13496" max="13496" width="11.5" customWidth="0"/>
    <x:col min="13504" max="13504" width="11.5" customWidth="0"/>
    <x:col min="13512" max="13512" width="11.5" customWidth="0"/>
    <x:col min="13520" max="13520" width="11.5" customWidth="0"/>
    <x:col min="13528" max="13528" width="11.5" customWidth="0"/>
    <x:col min="13536" max="13536" width="11.5" customWidth="0"/>
    <x:col min="13544" max="13544" width="11.5" customWidth="0"/>
    <x:col min="13552" max="13552" width="11.5" customWidth="0"/>
    <x:col min="13560" max="13560" width="11.5" customWidth="0"/>
    <x:col min="13568" max="13568" width="11.5" customWidth="0"/>
    <x:col min="13576" max="13576" width="11.5" customWidth="0"/>
    <x:col min="13584" max="13584" width="11.5" customWidth="0"/>
    <x:col min="13592" max="13592" width="11.5" customWidth="0"/>
    <x:col min="13600" max="13600" width="11.5" customWidth="0"/>
    <x:col min="13608" max="13608" width="11.5" customWidth="0"/>
    <x:col min="13616" max="13616" width="11.5" customWidth="0"/>
    <x:col min="13624" max="13624" width="11.5" customWidth="0"/>
    <x:col min="13632" max="13632" width="11.5" customWidth="0"/>
    <x:col min="13640" max="13640" width="11.5" customWidth="0"/>
    <x:col min="13648" max="13648" width="11.5" customWidth="0"/>
    <x:col min="13656" max="13656" width="11.5" customWidth="0"/>
    <x:col min="13664" max="13664" width="11.5" customWidth="0"/>
    <x:col min="13672" max="13672" width="11.5" customWidth="0"/>
    <x:col min="13680" max="13680" width="11.5" customWidth="0"/>
    <x:col min="13688" max="13688" width="11.5" customWidth="0"/>
    <x:col min="13696" max="13696" width="11.5" customWidth="0"/>
    <x:col min="13704" max="13704" width="11.5" customWidth="0"/>
    <x:col min="13712" max="13712" width="11.5" customWidth="0"/>
    <x:col min="13720" max="13720" width="11.5" customWidth="0"/>
    <x:col min="13728" max="13728" width="11.5" customWidth="0"/>
    <x:col min="13736" max="13736" width="11.5" customWidth="0"/>
    <x:col min="13744" max="13744" width="11.5" customWidth="0"/>
    <x:col min="13752" max="13752" width="11.5" customWidth="0"/>
    <x:col min="13760" max="13760" width="11.5" customWidth="0"/>
    <x:col min="13768" max="13768" width="11.5" customWidth="0"/>
    <x:col min="13776" max="13776" width="11.5" customWidth="0"/>
    <x:col min="13784" max="13784" width="11.5" customWidth="0"/>
    <x:col min="13792" max="13792" width="11.5" customWidth="0"/>
    <x:col min="13800" max="13800" width="11.5" customWidth="0"/>
    <x:col min="13808" max="13808" width="11.5" customWidth="0"/>
    <x:col min="13816" max="13816" width="11.5" customWidth="0"/>
    <x:col min="13824" max="13824" width="11.5" customWidth="0"/>
    <x:col min="13832" max="13832" width="11.5" customWidth="0"/>
    <x:col min="13840" max="13840" width="11.5" customWidth="0"/>
    <x:col min="13848" max="13848" width="11.5" customWidth="0"/>
    <x:col min="13856" max="13856" width="11.5" customWidth="0"/>
    <x:col min="13864" max="13864" width="11.5" customWidth="0"/>
    <x:col min="13872" max="13872" width="11.5" customWidth="0"/>
    <x:col min="13880" max="13880" width="11.5" customWidth="0"/>
    <x:col min="13888" max="13888" width="11.5" customWidth="0"/>
    <x:col min="13896" max="13896" width="11.5" customWidth="0"/>
    <x:col min="13904" max="13904" width="11.5" customWidth="0"/>
    <x:col min="13912" max="13912" width="11.5" customWidth="0"/>
    <x:col min="13920" max="13920" width="11.5" customWidth="0"/>
    <x:col min="13928" max="13928" width="11.5" customWidth="0"/>
    <x:col min="13936" max="13936" width="11.5" customWidth="0"/>
    <x:col min="13944" max="13944" width="11.5" customWidth="0"/>
    <x:col min="13952" max="13952" width="11.5" customWidth="0"/>
    <x:col min="13960" max="13960" width="11.5" customWidth="0"/>
    <x:col min="13968" max="13968" width="11.5" customWidth="0"/>
    <x:col min="13976" max="13976" width="11.5" customWidth="0"/>
    <x:col min="13984" max="13984" width="11.5" customWidth="0"/>
    <x:col min="13992" max="13992" width="11.5" customWidth="0"/>
    <x:col min="14000" max="14000" width="11.5" customWidth="0"/>
    <x:col min="14008" max="14008" width="11.5" customWidth="0"/>
    <x:col min="14016" max="14016" width="11.5" customWidth="0"/>
    <x:col min="14024" max="14024" width="11.5" customWidth="0"/>
    <x:col min="14032" max="14032" width="11.5" customWidth="0"/>
    <x:col min="14040" max="14040" width="11.5" customWidth="0"/>
    <x:col min="14048" max="14048" width="11.5" customWidth="0"/>
    <x:col min="14056" max="14056" width="11.5" customWidth="0"/>
    <x:col min="14064" max="14064" width="11.5" customWidth="0"/>
    <x:col min="14072" max="14072" width="11.5" customWidth="0"/>
    <x:col min="14080" max="14080" width="11.5" customWidth="0"/>
    <x:col min="14088" max="14088" width="11.5" customWidth="0"/>
    <x:col min="14096" max="14096" width="11.5" customWidth="0"/>
    <x:col min="14104" max="14104" width="11.5" customWidth="0"/>
    <x:col min="14112" max="14112" width="11.5" customWidth="0"/>
    <x:col min="14120" max="14120" width="11.5" customWidth="0"/>
    <x:col min="14128" max="14128" width="11.5" customWidth="0"/>
    <x:col min="14136" max="14136" width="11.5" customWidth="0"/>
    <x:col min="14144" max="14144" width="11.5" customWidth="0"/>
    <x:col min="14152" max="14152" width="11.5" customWidth="0"/>
    <x:col min="14160" max="14160" width="11.5" customWidth="0"/>
    <x:col min="14168" max="14168" width="11.5" customWidth="0"/>
    <x:col min="14176" max="14176" width="11.5" customWidth="0"/>
    <x:col min="14184" max="14184" width="11.5" customWidth="0"/>
    <x:col min="14192" max="14192" width="11.5" customWidth="0"/>
    <x:col min="14200" max="14200" width="11.5" customWidth="0"/>
    <x:col min="14208" max="14208" width="11.5" customWidth="0"/>
    <x:col min="14216" max="14216" width="11.5" customWidth="0"/>
    <x:col min="14224" max="14224" width="11.5" customWidth="0"/>
    <x:col min="14232" max="14232" width="11.5" customWidth="0"/>
    <x:col min="14240" max="14240" width="11.5" customWidth="0"/>
    <x:col min="14248" max="14248" width="11.5" customWidth="0"/>
    <x:col min="14256" max="14256" width="11.5" customWidth="0"/>
    <x:col min="14264" max="14264" width="11.5" customWidth="0"/>
    <x:col min="14272" max="14272" width="11.5" customWidth="0"/>
    <x:col min="14280" max="14280" width="11.5" customWidth="0"/>
    <x:col min="14288" max="14288" width="11.5" customWidth="0"/>
    <x:col min="14296" max="14296" width="11.5" customWidth="0"/>
    <x:col min="14304" max="14304" width="11.5" customWidth="0"/>
    <x:col min="14312" max="14312" width="11.5" customWidth="0"/>
    <x:col min="14320" max="14320" width="11.5" customWidth="0"/>
    <x:col min="14328" max="14328" width="11.5" customWidth="0"/>
    <x:col min="14336" max="14336" width="11.5" customWidth="0"/>
    <x:col min="14344" max="14344" width="11.5" customWidth="0"/>
    <x:col min="14352" max="14352" width="11.5" customWidth="0"/>
    <x:col min="14360" max="14360" width="11.5" customWidth="0"/>
    <x:col min="14368" max="14368" width="11.5" customWidth="0"/>
    <x:col min="14376" max="14376" width="11.5" customWidth="0"/>
    <x:col min="14384" max="14384" width="11.5" customWidth="0"/>
    <x:col min="14392" max="14392" width="11.5" customWidth="0"/>
    <x:col min="14400" max="14400" width="11.5" customWidth="0"/>
    <x:col min="14408" max="14408" width="11.5" customWidth="0"/>
    <x:col min="14416" max="14416" width="11.5" customWidth="0"/>
    <x:col min="14424" max="14424" width="11.5" customWidth="0"/>
    <x:col min="14432" max="14432" width="11.5" customWidth="0"/>
    <x:col min="14440" max="14440" width="11.5" customWidth="0"/>
    <x:col min="14448" max="14448" width="11.5" customWidth="0"/>
    <x:col min="14456" max="14456" width="11.5" customWidth="0"/>
    <x:col min="14464" max="14464" width="11.5" customWidth="0"/>
    <x:col min="14472" max="14472" width="11.5" customWidth="0"/>
    <x:col min="14480" max="14480" width="11.5" customWidth="0"/>
    <x:col min="14488" max="14488" width="11.5" customWidth="0"/>
    <x:col min="14496" max="14496" width="11.5" customWidth="0"/>
    <x:col min="14504" max="14504" width="11.5" customWidth="0"/>
    <x:col min="14512" max="14512" width="11.5" customWidth="0"/>
    <x:col min="14520" max="14520" width="11.5" customWidth="0"/>
    <x:col min="14528" max="14528" width="11.5" customWidth="0"/>
    <x:col min="14536" max="14536" width="11.5" customWidth="0"/>
    <x:col min="14544" max="14544" width="11.5" customWidth="0"/>
    <x:col min="14552" max="14552" width="11.5" customWidth="0"/>
    <x:col min="14560" max="14560" width="11.5" customWidth="0"/>
    <x:col min="14568" max="14568" width="11.5" customWidth="0"/>
    <x:col min="14576" max="14576" width="11.5" customWidth="0"/>
    <x:col min="14584" max="14584" width="11.5" customWidth="0"/>
    <x:col min="14592" max="14592" width="11.5" customWidth="0"/>
    <x:col min="14600" max="14600" width="11.5" customWidth="0"/>
    <x:col min="14608" max="14608" width="11.5" customWidth="0"/>
    <x:col min="14616" max="14616" width="11.5" customWidth="0"/>
    <x:col min="14624" max="14624" width="11.5" customWidth="0"/>
    <x:col min="14632" max="14632" width="11.5" customWidth="0"/>
    <x:col min="14640" max="14640" width="11.5" customWidth="0"/>
    <x:col min="14648" max="14648" width="11.5" customWidth="0"/>
    <x:col min="14656" max="14656" width="11.5" customWidth="0"/>
    <x:col min="14664" max="14664" width="11.5" customWidth="0"/>
    <x:col min="14672" max="14672" width="11.5" customWidth="0"/>
    <x:col min="14680" max="14680" width="11.5" customWidth="0"/>
    <x:col min="14688" max="14688" width="11.5" customWidth="0"/>
    <x:col min="14696" max="14696" width="11.5" customWidth="0"/>
    <x:col min="14704" max="14704" width="11.5" customWidth="0"/>
    <x:col min="14712" max="14712" width="11.5" customWidth="0"/>
    <x:col min="14720" max="14720" width="11.5" customWidth="0"/>
    <x:col min="14728" max="14728" width="11.5" customWidth="0"/>
    <x:col min="14736" max="14736" width="11.5" customWidth="0"/>
    <x:col min="14744" max="14744" width="11.5" customWidth="0"/>
    <x:col min="14752" max="14752" width="11.5" customWidth="0"/>
    <x:col min="14760" max="14760" width="11.5" customWidth="0"/>
    <x:col min="14768" max="14768" width="11.5" customWidth="0"/>
    <x:col min="14776" max="14776" width="11.5" customWidth="0"/>
    <x:col min="14784" max="14784" width="11.5" customWidth="0"/>
    <x:col min="14792" max="14792" width="11.5" customWidth="0"/>
    <x:col min="14800" max="14800" width="11.5" customWidth="0"/>
    <x:col min="14808" max="14808" width="11.5" customWidth="0"/>
    <x:col min="14816" max="14816" width="11.5" customWidth="0"/>
    <x:col min="14824" max="14824" width="11.5" customWidth="0"/>
    <x:col min="14832" max="14832" width="11.5" customWidth="0"/>
    <x:col min="14840" max="14840" width="11.5" customWidth="0"/>
    <x:col min="14848" max="14848" width="11.5" customWidth="0"/>
    <x:col min="14856" max="14856" width="11.5" customWidth="0"/>
    <x:col min="14864" max="14864" width="11.5" customWidth="0"/>
    <x:col min="14872" max="14872" width="11.5" customWidth="0"/>
    <x:col min="14880" max="14880" width="11.5" customWidth="0"/>
    <x:col min="14888" max="14888" width="11.5" customWidth="0"/>
    <x:col min="14896" max="14896" width="11.5" customWidth="0"/>
    <x:col min="14904" max="14904" width="11.5" customWidth="0"/>
    <x:col min="14912" max="14912" width="11.5" customWidth="0"/>
    <x:col min="14920" max="14920" width="11.5" customWidth="0"/>
    <x:col min="14928" max="14928" width="11.5" customWidth="0"/>
    <x:col min="14936" max="14936" width="11.5" customWidth="0"/>
    <x:col min="14944" max="14944" width="11.5" customWidth="0"/>
    <x:col min="14952" max="14952" width="11.5" customWidth="0"/>
    <x:col min="14960" max="14960" width="11.5" customWidth="0"/>
    <x:col min="14968" max="14968" width="11.5" customWidth="0"/>
    <x:col min="14976" max="14976" width="11.5" customWidth="0"/>
    <x:col min="14984" max="14984" width="11.5" customWidth="0"/>
    <x:col min="14992" max="14992" width="11.5" customWidth="0"/>
    <x:col min="15000" max="15000" width="11.5" customWidth="0"/>
    <x:col min="15008" max="15008" width="11.5" customWidth="0"/>
    <x:col min="15016" max="15016" width="11.5" customWidth="0"/>
    <x:col min="15024" max="15024" width="11.5" customWidth="0"/>
    <x:col min="15032" max="15032" width="11.5" customWidth="0"/>
    <x:col min="15040" max="15040" width="11.5" customWidth="0"/>
    <x:col min="15048" max="15048" width="11.5" customWidth="0"/>
    <x:col min="15056" max="15056" width="11.5" customWidth="0"/>
    <x:col min="15064" max="15064" width="11.5" customWidth="0"/>
    <x:col min="15072" max="15072" width="11.5" customWidth="0"/>
    <x:col min="15080" max="15080" width="11.5" customWidth="0"/>
    <x:col min="15088" max="15088" width="11.5" customWidth="0"/>
    <x:col min="15096" max="15096" width="11.5" customWidth="0"/>
    <x:col min="15104" max="15104" width="11.5" customWidth="0"/>
    <x:col min="15112" max="15112" width="11.5" customWidth="0"/>
    <x:col min="15120" max="15120" width="11.5" customWidth="0"/>
    <x:col min="15128" max="15128" width="11.5" customWidth="0"/>
    <x:col min="15136" max="15136" width="11.5" customWidth="0"/>
    <x:col min="15144" max="15144" width="11.5" customWidth="0"/>
    <x:col min="15152" max="15152" width="11.5" customWidth="0"/>
    <x:col min="15160" max="15160" width="11.5" customWidth="0"/>
    <x:col min="15168" max="15168" width="11.5" customWidth="0"/>
    <x:col min="15176" max="15176" width="11.5" customWidth="0"/>
    <x:col min="15184" max="15184" width="11.5" customWidth="0"/>
    <x:col min="15192" max="15192" width="11.5" customWidth="0"/>
    <x:col min="15200" max="15200" width="11.5" customWidth="0"/>
    <x:col min="15208" max="15208" width="11.5" customWidth="0"/>
    <x:col min="15216" max="15216" width="11.5" customWidth="0"/>
    <x:col min="15224" max="15224" width="11.5" customWidth="0"/>
    <x:col min="15232" max="15232" width="11.5" customWidth="0"/>
    <x:col min="15240" max="15240" width="11.5" customWidth="0"/>
    <x:col min="15248" max="15248" width="11.5" customWidth="0"/>
    <x:col min="15256" max="15256" width="11.5" customWidth="0"/>
    <x:col min="15264" max="15264" width="11.5" customWidth="0"/>
    <x:col min="15272" max="15272" width="11.5" customWidth="0"/>
    <x:col min="15280" max="15280" width="11.5" customWidth="0"/>
    <x:col min="15288" max="15288" width="11.5" customWidth="0"/>
    <x:col min="15296" max="15296" width="11.5" customWidth="0"/>
    <x:col min="15304" max="15304" width="11.5" customWidth="0"/>
    <x:col min="15312" max="15312" width="11.5" customWidth="0"/>
    <x:col min="15320" max="15320" width="11.5" customWidth="0"/>
    <x:col min="15328" max="15328" width="11.5" customWidth="0"/>
    <x:col min="15336" max="15336" width="11.5" customWidth="0"/>
    <x:col min="15344" max="15344" width="11.5" customWidth="0"/>
    <x:col min="15352" max="15352" width="11.5" customWidth="0"/>
    <x:col min="15360" max="15360" width="11.5" customWidth="0"/>
    <x:col min="15368" max="15368" width="11.5" customWidth="0"/>
    <x:col min="15376" max="15376" width="11.5" customWidth="0"/>
    <x:col min="15384" max="15384" width="11.5" customWidth="0"/>
    <x:col min="15392" max="15392" width="11.5" customWidth="0"/>
    <x:col min="15400" max="15400" width="11.5" customWidth="0"/>
    <x:col min="15408" max="15408" width="11.5" customWidth="0"/>
    <x:col min="15416" max="15416" width="11.5" customWidth="0"/>
    <x:col min="15424" max="15424" width="11.5" customWidth="0"/>
    <x:col min="15432" max="15432" width="11.5" customWidth="0"/>
    <x:col min="15440" max="15440" width="11.5" customWidth="0"/>
    <x:col min="15448" max="15448" width="11.5" customWidth="0"/>
    <x:col min="15456" max="15456" width="11.5" customWidth="0"/>
    <x:col min="15464" max="15464" width="11.5" customWidth="0"/>
    <x:col min="15472" max="15472" width="11.5" customWidth="0"/>
    <x:col min="15480" max="15480" width="11.5" customWidth="0"/>
    <x:col min="15488" max="15488" width="11.5" customWidth="0"/>
    <x:col min="15496" max="15496" width="11.5" customWidth="0"/>
    <x:col min="15504" max="15504" width="11.5" customWidth="0"/>
    <x:col min="15512" max="15512" width="11.5" customWidth="0"/>
    <x:col min="15520" max="15520" width="11.5" customWidth="0"/>
    <x:col min="15528" max="15528" width="11.5" customWidth="0"/>
    <x:col min="15536" max="15536" width="11.5" customWidth="0"/>
    <x:col min="15544" max="15544" width="11.5" customWidth="0"/>
    <x:col min="15552" max="15552" width="11.5" customWidth="0"/>
    <x:col min="15560" max="15560" width="11.5" customWidth="0"/>
    <x:col min="15568" max="15568" width="11.5" customWidth="0"/>
    <x:col min="15576" max="15576" width="11.5" customWidth="0"/>
    <x:col min="15584" max="15584" width="11.5" customWidth="0"/>
    <x:col min="15592" max="15592" width="11.5" customWidth="0"/>
    <x:col min="15600" max="15600" width="11.5" customWidth="0"/>
    <x:col min="15608" max="15608" width="11.5" customWidth="0"/>
    <x:col min="15616" max="15616" width="11.5" customWidth="0"/>
    <x:col min="15624" max="15624" width="11.5" customWidth="0"/>
    <x:col min="15632" max="15632" width="11.5" customWidth="0"/>
    <x:col min="15640" max="15640" width="11.5" customWidth="0"/>
    <x:col min="15648" max="15648" width="11.5" customWidth="0"/>
    <x:col min="15656" max="15656" width="11.5" customWidth="0"/>
    <x:col min="15664" max="15664" width="11.5" customWidth="0"/>
    <x:col min="15672" max="15672" width="11.5" customWidth="0"/>
    <x:col min="15680" max="15680" width="11.5" customWidth="0"/>
    <x:col min="15688" max="15688" width="11.5" customWidth="0"/>
    <x:col min="15696" max="15696" width="11.5" customWidth="0"/>
    <x:col min="15704" max="15704" width="11.5" customWidth="0"/>
    <x:col min="15712" max="15712" width="11.5" customWidth="0"/>
    <x:col min="15720" max="15720" width="11.5" customWidth="0"/>
    <x:col min="15728" max="15728" width="11.5" customWidth="0"/>
    <x:col min="15736" max="15736" width="11.5" customWidth="0"/>
    <x:col min="15744" max="15744" width="11.5" customWidth="0"/>
    <x:col min="15752" max="15752" width="11.5" customWidth="0"/>
    <x:col min="15760" max="15760" width="11.5" customWidth="0"/>
    <x:col min="15768" max="15768" width="11.5" customWidth="0"/>
    <x:col min="15776" max="15776" width="11.5" customWidth="0"/>
    <x:col min="15784" max="15784" width="11.5" customWidth="0"/>
    <x:col min="15792" max="15792" width="11.5" customWidth="0"/>
    <x:col min="15800" max="15800" width="11.5" customWidth="0"/>
    <x:col min="15808" max="15808" width="11.5" customWidth="0"/>
    <x:col min="15816" max="15816" width="11.5" customWidth="0"/>
    <x:col min="15824" max="15824" width="11.5" customWidth="0"/>
    <x:col min="15832" max="15832" width="11.5" customWidth="0"/>
    <x:col min="15840" max="15840" width="11.5" customWidth="0"/>
    <x:col min="15848" max="15848" width="11.5" customWidth="0"/>
    <x:col min="15856" max="15856" width="11.5" customWidth="0"/>
    <x:col min="15864" max="15864" width="11.5" customWidth="0"/>
    <x:col min="15872" max="15872" width="11.5" customWidth="0"/>
    <x:col min="15880" max="15880" width="11.5" customWidth="0"/>
    <x:col min="15888" max="15888" width="11.5" customWidth="0"/>
    <x:col min="15896" max="15896" width="11.5" customWidth="0"/>
    <x:col min="15904" max="15904" width="11.5" customWidth="0"/>
    <x:col min="15912" max="15912" width="11.5" customWidth="0"/>
    <x:col min="15920" max="15920" width="11.5" customWidth="0"/>
    <x:col min="15928" max="15928" width="11.5" customWidth="0"/>
    <x:col min="15936" max="15936" width="11.5" customWidth="0"/>
    <x:col min="15944" max="15944" width="11.5" customWidth="0"/>
    <x:col min="15952" max="15952" width="11.5" customWidth="0"/>
    <x:col min="15960" max="15960" width="11.5" customWidth="0"/>
    <x:col min="15968" max="15968" width="11.5" customWidth="0"/>
    <x:col min="15976" max="15976" width="11.5" customWidth="0"/>
    <x:col min="15984" max="15984" width="11.5" customWidth="0"/>
    <x:col min="15992" max="15992" width="11.5" customWidth="0"/>
    <x:col min="16000" max="16000" width="11.5" customWidth="0"/>
    <x:col min="16008" max="16008" width="11.5" customWidth="0"/>
    <x:col min="16016" max="16016" width="11.5" customWidth="0"/>
    <x:col min="16024" max="16024" width="11.5" customWidth="0"/>
    <x:col min="16032" max="16032" width="11.5" customWidth="0"/>
    <x:col min="16040" max="16040" width="11.5" customWidth="0"/>
    <x:col min="16048" max="16048" width="11.5" customWidth="0"/>
    <x:col min="16056" max="16056" width="11.5" customWidth="0"/>
    <x:col min="16064" max="16064" width="11.5" customWidth="0"/>
    <x:col min="16072" max="16072" width="11.5" customWidth="0"/>
    <x:col min="16080" max="16080" width="11.5" customWidth="0"/>
    <x:col min="16088" max="16088" width="11.5" customWidth="0"/>
    <x:col min="16096" max="16096" width="11.5" customWidth="0"/>
    <x:col min="16104" max="16104" width="11.5" customWidth="0"/>
    <x:col min="16112" max="16112" width="11.5" customWidth="0"/>
    <x:col min="16120" max="16120" width="11.5" customWidth="0"/>
    <x:col min="16128" max="16128" width="11.5" customWidth="0"/>
    <x:col min="16136" max="16136" width="11.5" customWidth="0"/>
    <x:col min="16144" max="16144" width="11.5" customWidth="0"/>
    <x:col min="16152" max="16152" width="11.5" customWidth="0"/>
    <x:col min="16160" max="16160" width="11.5" customWidth="0"/>
    <x:col min="16168" max="16168" width="11.5" customWidth="0"/>
    <x:col min="16176" max="16176" width="11.5" customWidth="0"/>
    <x:col min="16184" max="16184" width="11.5" customWidth="0"/>
    <x:col min="16192" max="16192" width="11.5" customWidth="0"/>
    <x:col min="16200" max="16200" width="11.5" customWidth="0"/>
    <x:col min="16208" max="16208" width="11.5" customWidth="0"/>
    <x:col min="16216" max="16216" width="11.5" customWidth="0"/>
    <x:col min="16224" max="16224" width="11.5" customWidth="0"/>
    <x:col min="16232" max="16232" width="11.5" customWidth="0"/>
    <x:col min="16240" max="16240" width="11.5" customWidth="0"/>
    <x:col min="16248" max="16248" width="11.5" customWidth="0"/>
    <x:col min="16256" max="16256" width="11.5" customWidth="0"/>
    <x:col min="16264" max="16264" width="11.5" customWidth="0"/>
    <x:col min="16272" max="16272" width="11.5" customWidth="0"/>
    <x:col min="16280" max="16280" width="11.5" customWidth="0"/>
    <x:col min="16288" max="16288" width="11.5" customWidth="0"/>
    <x:col min="16296" max="16296" width="11.5" customWidth="0"/>
    <x:col min="16304" max="16304" width="11.5" customWidth="0"/>
    <x:col min="16312" max="16312" width="11.5" customWidth="0"/>
    <x:col min="16320" max="16320" width="11.5" customWidth="0"/>
    <x:col min="16328" max="16328" width="11.5" customWidth="0"/>
    <x:col min="16336" max="16336" width="11.5" customWidth="0"/>
    <x:col min="16344" max="16344" width="11.5" customWidth="0"/>
    <x:col min="16352" max="16352" width="11.5" customWidth="0"/>
    <x:col min="16360" max="16360" width="11.5" customWidth="0"/>
    <x:col min="16368" max="16368" width="11.5" customWidth="0"/>
    <x:col min="16376" max="16376" width="11.5" customWidth="0"/>
  </x:cols>
  <x:sheetData>
    <x:row r="1" s="1" customFormat="1" ht="31" customHeight="1">
      <x:c r="A1" s="133" t="s">
        <x:v>294</x:v>
      </x:c>
      <x:c r="B1" s="133"/>
      <x:c r="C1" s="133"/>
      <x:c r="D1" s="133"/>
      <x:c r="E1" s="133"/>
      <x:c r="F1" s="133"/>
      <x:c r="G1" s="133"/>
      <x:c r="H1" s="133"/>
      <x:c r="I1" s="133"/>
      <x:c r="J1" s="16"/>
      <x:c r="K1" s="16"/>
      <x:c r="L1" s="16"/>
      <x:c r="M1" s="16"/>
      <x:c r="N1" s="16"/>
      <x:c r="O1" s="16"/>
      <x:c r="P1" s="44"/>
      <x:c r="Q1" s="16"/>
      <x:c r="R1" s="16"/>
      <x:c r="S1" s="16"/>
      <x:c r="T1" s="16"/>
      <x:c r="U1" s="16"/>
      <x:c r="V1" s="16"/>
      <x:c r="W1" s="16"/>
    </x:row>
    <x:row r="2" s="1" customFormat="1" ht="20" customHeight="1">
      <x:c r="A2" s="114" t="e">
        <x:v>#NAME?</x:v>
      </x:c>
      <x:c r="B2" s="134"/>
      <x:c r="C2" s="134"/>
      <x:c r="D2" s="135"/>
      <x:c r="E2" s="135"/>
      <x:c r="F2" s="135"/>
      <x:c r="G2" s="135"/>
      <x:c r="H2" s="135"/>
      <x:c r="I2" s="135"/>
      <x:c r="J2" s="16"/>
      <x:c r="K2" s="17"/>
      <x:c r="L2" s="16"/>
      <x:c r="M2" s="16"/>
      <x:c r="N2" s="16"/>
      <x:c r="O2" s="16"/>
      <x:c r="P2" s="53"/>
      <x:c r="Q2" s="16"/>
      <x:c r="R2" s="16"/>
      <x:c r="S2" s="16"/>
      <x:c r="T2" s="16"/>
      <x:c r="U2" s="16"/>
      <x:c r="V2" s="16"/>
      <x:c r="W2" s="16"/>
    </x:row>
    <x:row r="3" s="1" customFormat="1" ht="20" customHeight="1">
      <x:c r="A3" s="1" t="s">
        <x:v>295</x:v>
      </x:c>
      <x:c r="B3" s="2"/>
      <x:c r="C3" s="3"/>
      <x:c r="D3" s="4" t="s">
        <x:v>296</x:v>
      </x:c>
      <x:c r="E3" s="5"/>
      <x:c r="F3" s="45" t="n">
        <x:f>G56</x:f>
        <x:v>0</x:v>
      </x:c>
      <x:c r="G3" s="5"/>
      <x:c r="I3" s="18"/>
      <x:c r="J3" s="16"/>
      <x:c r="K3" s="16"/>
      <x:c r="L3" s="17"/>
      <x:c r="M3" s="16"/>
      <x:c r="N3" s="16"/>
      <x:c r="O3" s="16"/>
      <x:c r="P3" s="53"/>
      <x:c r="Q3" s="16"/>
      <x:c r="R3" s="16"/>
      <x:c r="S3" s="16"/>
      <x:c r="T3" s="16"/>
      <x:c r="U3" s="16"/>
      <x:c r="V3" s="16"/>
      <x:c r="W3" s="16"/>
    </x:row>
    <x:row r="4" ht="20" customHeight="1">
      <x:c r="A4" s="7" t="s">
        <x:v>297</x:v>
      </x:c>
      <x:c r="B4" s="7" t="s">
        <x:v>298</x:v>
      </x:c>
      <x:c r="C4" s="7" t="s">
        <x:v>299</x:v>
      </x:c>
      <x:c r="D4" s="7" t="s">
        <x:v>300</x:v>
      </x:c>
      <x:c r="E4" s="7" t="s">
        <x:v>301</x:v>
      </x:c>
      <x:c r="F4" s="7" t="s">
        <x:v>302</x:v>
      </x:c>
      <x:c r="G4" s="7" t="s">
        <x:v>303</x:v>
      </x:c>
      <x:c r="H4" s="8" t="s">
        <x:v>93</x:v>
      </x:c>
      <x:c r="I4" s="8" t="s">
        <x:v>304</x:v>
      </x:c>
      <x:c r="P4" s="53"/>
    </x:row>
    <x:row r="5" ht="20" customHeight="1">
      <x:c r="A5" s="7" t="s">
        <x:v>305</x:v>
      </x:c>
      <x:c r="B5" s="7" t="s">
        <x:v>306</x:v>
      </x:c>
      <x:c r="C5" s="7" t="s">
        <x:v>307</x:v>
      </x:c>
      <x:c r="D5" s="7" t="s">
        <x:v>308</x:v>
      </x:c>
      <x:c r="E5" s="9">
        <x:v>139</x:v>
      </x:c>
      <x:c r="F5" s="7" t="s">
        <x:v>309</x:v>
      </x:c>
      <x:c r="G5" s="10"/>
      <x:c r="H5" s="7"/>
      <x:c r="I5" s="7"/>
    </x:row>
    <x:row r="6" ht="20" customHeight="1">
      <x:c r="A6" s="7" t="s">
        <x:v>310</x:v>
      </x:c>
      <x:c r="B6" s="7" t="s">
        <x:v>306</x:v>
      </x:c>
      <x:c r="C6" s="7" t="s">
        <x:v>311</x:v>
      </x:c>
      <x:c r="D6" s="7" t="s">
        <x:v>308</x:v>
      </x:c>
      <x:c r="E6" s="9">
        <x:v>157</x:v>
      </x:c>
      <x:c r="F6" s="7" t="s">
        <x:v>312</x:v>
      </x:c>
      <x:c r="G6" s="10"/>
      <x:c r="H6" s="7"/>
      <x:c r="I6" s="7"/>
      <x:c r="J6" s="20"/>
    </x:row>
    <x:row r="7" ht="20" customHeight="1">
      <x:c r="A7" s="7" t="s">
        <x:v>313</x:v>
      </x:c>
      <x:c r="B7" s="7" t="s">
        <x:v>306</x:v>
      </x:c>
      <x:c r="C7" s="7" t="s">
        <x:v>307</x:v>
      </x:c>
      <x:c r="D7" s="7" t="s">
        <x:v>308</x:v>
      </x:c>
      <x:c r="E7" s="9">
        <x:v>10</x:v>
      </x:c>
      <x:c r="F7" s="7" t="s">
        <x:v>314</x:v>
      </x:c>
      <x:c r="G7" s="10"/>
      <x:c r="H7" s="7"/>
      <x:c r="I7" s="7"/>
      <x:c r="J7" s="20"/>
    </x:row>
    <x:row r="8" ht="20" customHeight="1">
      <x:c r="A8" s="7" t="s">
        <x:v>315</x:v>
      </x:c>
      <x:c r="B8" s="7" t="s">
        <x:v>306</x:v>
      </x:c>
      <x:c r="C8" s="7" t="s">
        <x:v>307</x:v>
      </x:c>
      <x:c r="D8" s="7" t="s">
        <x:v>308</x:v>
      </x:c>
      <x:c r="E8" s="9">
        <x:v>141</x:v>
      </x:c>
      <x:c r="F8" s="7" t="s">
        <x:v>316</x:v>
      </x:c>
      <x:c r="G8" s="10"/>
      <x:c r="H8" s="7"/>
      <x:c r="I8" s="7"/>
      <x:c r="J8" s="20"/>
    </x:row>
    <x:row r="9" ht="20" customHeight="1">
      <x:c r="A9" s="7" t="s">
        <x:v>317</x:v>
      </x:c>
      <x:c r="B9" s="7" t="s">
        <x:v>306</x:v>
      </x:c>
      <x:c r="C9" s="7" t="s">
        <x:v>307</x:v>
      </x:c>
      <x:c r="D9" s="7" t="s">
        <x:v>308</x:v>
      </x:c>
      <x:c r="E9" s="9">
        <x:v>31</x:v>
      </x:c>
      <x:c r="F9" s="7" t="s">
        <x:v>318</x:v>
      </x:c>
      <x:c r="G9" s="10"/>
      <x:c r="H9" s="7"/>
      <x:c r="I9" s="7"/>
      <x:c r="J9" s="20"/>
    </x:row>
    <x:row r="10" ht="20" customHeight="1">
      <x:c r="A10" s="7" t="s">
        <x:v>317</x:v>
      </x:c>
      <x:c r="B10" s="7" t="s">
        <x:v>306</x:v>
      </x:c>
      <x:c r="C10" s="7" t="s">
        <x:v>307</x:v>
      </x:c>
      <x:c r="D10" s="7" t="s">
        <x:v>308</x:v>
      </x:c>
      <x:c r="E10" s="9">
        <x:v>31</x:v>
      </x:c>
      <x:c r="F10" s="7" t="s">
        <x:v>318</x:v>
      </x:c>
      <x:c r="G10" s="10"/>
      <x:c r="H10" s="7"/>
      <x:c r="I10" s="7"/>
      <x:c r="J10" s="20"/>
    </x:row>
    <x:row r="11" ht="20" customHeight="1">
      <x:c r="A11" s="7" t="s">
        <x:v>319</x:v>
      </x:c>
      <x:c r="B11" s="7" t="s">
        <x:v>306</x:v>
      </x:c>
      <x:c r="C11" s="7" t="s">
        <x:v>320</x:v>
      </x:c>
      <x:c r="D11" s="7" t="s">
        <x:v>308</x:v>
      </x:c>
      <x:c r="E11" s="9">
        <x:v>154</x:v>
      </x:c>
      <x:c r="F11" s="7" t="s">
        <x:v>321</x:v>
      </x:c>
      <x:c r="G11" s="10"/>
      <x:c r="H11" s="7"/>
      <x:c r="I11" s="7"/>
      <x:c r="J11" s="20"/>
    </x:row>
    <x:row r="12" ht="20" customHeight="1">
      <x:c r="A12" s="7" t="s">
        <x:v>319</x:v>
      </x:c>
      <x:c r="B12" s="7" t="s">
        <x:v>306</x:v>
      </x:c>
      <x:c r="C12" s="7" t="s">
        <x:v>320</x:v>
      </x:c>
      <x:c r="D12" s="7" t="s">
        <x:v>308</x:v>
      </x:c>
      <x:c r="E12" s="9">
        <x:v>225</x:v>
      </x:c>
      <x:c r="F12" s="7" t="s">
        <x:v>322</x:v>
      </x:c>
      <x:c r="G12" s="7"/>
      <x:c r="H12" s="10"/>
      <x:c r="I12" s="7"/>
    </x:row>
    <x:row r="13" ht="20" customHeight="1">
      <x:c r="A13" s="46"/>
      <x:c r="B13" s="46"/>
      <x:c r="C13" s="46"/>
      <x:c r="D13" s="46"/>
      <x:c r="E13" s="47"/>
      <x:c r="F13" s="46"/>
      <x:c r="G13" s="20"/>
      <x:c r="H13" s="48"/>
      <x:c r="I13" s="48"/>
    </x:row>
    <x:row r="14" ht="20" customHeight="1">
      <x:c r="A14" s="49"/>
      <x:c r="B14" s="49"/>
      <x:c r="C14" s="49"/>
      <x:c r="D14" s="49"/>
      <x:c r="E14" s="50"/>
      <x:c r="F14" s="49"/>
      <x:c r="G14" s="20"/>
      <x:c r="H14" s="7"/>
      <x:c r="I14" s="7"/>
    </x:row>
    <x:row r="15" ht="20" customHeight="1">
      <x:c r="A15" s="49"/>
      <x:c r="B15" s="49"/>
      <x:c r="C15" s="49"/>
      <x:c r="D15" s="49"/>
      <x:c r="E15" s="50"/>
      <x:c r="F15" s="49"/>
      <x:c r="G15" s="20"/>
      <x:c r="H15" s="7"/>
      <x:c r="I15" s="7"/>
    </x:row>
    <x:row r="16" ht="20" customHeight="1">
      <x:c r="A16" s="49"/>
      <x:c r="B16" s="49"/>
      <x:c r="C16" s="49"/>
      <x:c r="D16" s="49"/>
      <x:c r="E16" s="50"/>
      <x:c r="F16" s="49"/>
      <x:c r="G16" s="20"/>
      <x:c r="H16" s="7"/>
      <x:c r="I16" s="7"/>
    </x:row>
    <x:row r="17" ht="20" customHeight="1">
      <x:c r="A17" s="49"/>
      <x:c r="B17" s="49"/>
      <x:c r="C17" s="49"/>
      <x:c r="D17" s="49"/>
      <x:c r="E17" s="50"/>
      <x:c r="F17" s="49"/>
      <x:c r="G17" s="20"/>
      <x:c r="H17" s="7"/>
      <x:c r="I17" s="7"/>
    </x:row>
    <x:row r="18" ht="20" customHeight="1">
      <x:c r="A18" s="49"/>
      <x:c r="B18" s="49"/>
      <x:c r="C18" s="49"/>
      <x:c r="D18" s="49"/>
      <x:c r="E18" s="50"/>
      <x:c r="F18" s="49"/>
      <x:c r="G18" s="20"/>
      <x:c r="H18" s="7"/>
      <x:c r="I18" s="7"/>
    </x:row>
    <x:row r="19" ht="20" customHeight="1">
      <x:c r="A19" s="49"/>
      <x:c r="B19" s="49"/>
      <x:c r="C19" s="49"/>
      <x:c r="D19" s="49"/>
      <x:c r="E19" s="50"/>
      <x:c r="F19" s="49"/>
      <x:c r="G19" s="20"/>
      <x:c r="H19" s="7"/>
      <x:c r="I19" s="7"/>
    </x:row>
    <x:row r="20" ht="20" customHeight="1">
      <x:c r="A20" s="49"/>
      <x:c r="B20" s="49"/>
      <x:c r="C20" s="49"/>
      <x:c r="D20" s="49"/>
      <x:c r="E20" s="50"/>
      <x:c r="F20" s="49"/>
      <x:c r="G20" s="20"/>
      <x:c r="H20" s="7"/>
      <x:c r="I20" s="7"/>
    </x:row>
    <x:row r="21" ht="20" customHeight="1">
      <x:c r="A21" s="49"/>
      <x:c r="B21" s="49"/>
      <x:c r="C21" s="49"/>
      <x:c r="D21" s="49"/>
      <x:c r="E21" s="50"/>
      <x:c r="F21" s="49"/>
      <x:c r="G21" s="20"/>
      <x:c r="H21" s="7"/>
      <x:c r="I21" s="7"/>
    </x:row>
    <x:row r="22" ht="20" customHeight="1">
      <x:c r="A22" s="49"/>
      <x:c r="B22" s="49"/>
      <x:c r="C22" s="49"/>
      <x:c r="D22" s="49"/>
      <x:c r="E22" s="50"/>
      <x:c r="F22" s="49"/>
      <x:c r="G22" s="20"/>
      <x:c r="H22" s="7"/>
      <x:c r="I22" s="7"/>
    </x:row>
    <x:row r="23" ht="20" customHeight="1">
      <x:c r="A23" s="49"/>
      <x:c r="B23" s="49"/>
      <x:c r="C23" s="49"/>
      <x:c r="D23" s="49"/>
      <x:c r="E23" s="50"/>
      <x:c r="F23" s="49"/>
      <x:c r="G23" s="20"/>
      <x:c r="H23" s="7"/>
      <x:c r="I23" s="7"/>
    </x:row>
    <x:row r="24" ht="20" customHeight="1">
      <x:c r="A24" s="49"/>
      <x:c r="B24" s="49"/>
      <x:c r="C24" s="49"/>
      <x:c r="D24" s="49"/>
      <x:c r="E24" s="50"/>
      <x:c r="F24" s="49"/>
      <x:c r="G24" s="20"/>
      <x:c r="H24" s="7"/>
      <x:c r="I24" s="7"/>
    </x:row>
    <x:row r="25" ht="20" customHeight="1">
      <x:c r="A25" s="49"/>
      <x:c r="B25" s="49"/>
      <x:c r="C25" s="49"/>
      <x:c r="D25" s="49"/>
      <x:c r="E25" s="50"/>
      <x:c r="F25" s="49"/>
      <x:c r="G25" s="20"/>
      <x:c r="H25" s="7"/>
      <x:c r="I25" s="7"/>
    </x:row>
    <x:row r="26" ht="20" customHeight="1">
      <x:c r="A26" s="49"/>
      <x:c r="B26" s="49"/>
      <x:c r="C26" s="49"/>
      <x:c r="D26" s="49"/>
      <x:c r="E26" s="50"/>
      <x:c r="F26" s="49"/>
      <x:c r="G26" s="20"/>
      <x:c r="H26" s="7"/>
      <x:c r="I26" s="7"/>
    </x:row>
    <x:row r="27" ht="20" customHeight="1">
      <x:c r="A27" s="49"/>
      <x:c r="B27" s="49"/>
      <x:c r="C27" s="49"/>
      <x:c r="D27" s="49"/>
      <x:c r="E27" s="50"/>
      <x:c r="F27" s="49"/>
      <x:c r="G27" s="20"/>
      <x:c r="H27" s="7"/>
      <x:c r="I27" s="7"/>
    </x:row>
    <x:row r="28" ht="20" customHeight="1">
      <x:c r="A28" s="49"/>
      <x:c r="B28" s="49"/>
      <x:c r="C28" s="49"/>
      <x:c r="D28" s="49"/>
      <x:c r="E28" s="50"/>
      <x:c r="F28" s="49"/>
      <x:c r="G28" s="20"/>
      <x:c r="H28" s="7"/>
      <x:c r="I28" s="7"/>
    </x:row>
    <x:row r="29" ht="20" customHeight="1">
      <x:c r="A29" s="49"/>
      <x:c r="B29" s="49"/>
      <x:c r="C29" s="49"/>
      <x:c r="D29" s="49"/>
      <x:c r="E29" s="50"/>
      <x:c r="F29" s="49"/>
      <x:c r="G29" s="20"/>
      <x:c r="H29" s="7"/>
      <x:c r="I29" s="7"/>
    </x:row>
    <x:row r="30" ht="20" customHeight="1">
      <x:c r="A30" s="49"/>
      <x:c r="B30" s="49"/>
      <x:c r="C30" s="49"/>
      <x:c r="D30" s="49"/>
      <x:c r="E30" s="50"/>
      <x:c r="F30" s="49"/>
      <x:c r="G30" s="20"/>
      <x:c r="H30" s="7"/>
      <x:c r="I30" s="7"/>
    </x:row>
    <x:row r="31" ht="20" customHeight="1">
      <x:c r="A31" s="49"/>
      <x:c r="B31" s="49"/>
      <x:c r="C31" s="49"/>
      <x:c r="D31" s="49"/>
      <x:c r="E31" s="50"/>
      <x:c r="F31" s="49"/>
      <x:c r="G31" s="20"/>
      <x:c r="H31" s="7"/>
      <x:c r="I31" s="7"/>
    </x:row>
    <x:row r="32" ht="20" customHeight="1">
      <x:c r="A32" s="49"/>
      <x:c r="B32" s="49"/>
      <x:c r="C32" s="49"/>
      <x:c r="D32" s="49"/>
      <x:c r="E32" s="50"/>
      <x:c r="F32" s="49"/>
      <x:c r="G32" s="20"/>
      <x:c r="H32" s="7"/>
      <x:c r="I32" s="7"/>
    </x:row>
    <x:row r="33" ht="20" customHeight="1">
      <x:c r="A33" s="49"/>
      <x:c r="B33" s="49"/>
      <x:c r="C33" s="49"/>
      <x:c r="D33" s="49"/>
      <x:c r="E33" s="50"/>
      <x:c r="F33" s="49"/>
      <x:c r="G33" s="20"/>
      <x:c r="H33" s="7"/>
      <x:c r="I33" s="7"/>
    </x:row>
    <x:row r="34" ht="20" customHeight="1">
      <x:c r="A34" s="49"/>
      <x:c r="B34" s="49"/>
      <x:c r="C34" s="49"/>
      <x:c r="D34" s="49"/>
      <x:c r="E34" s="50"/>
      <x:c r="F34" s="49"/>
      <x:c r="G34" s="20"/>
      <x:c r="H34" s="7"/>
      <x:c r="I34" s="7"/>
    </x:row>
    <x:row r="35" ht="20" customHeight="1">
      <x:c r="A35" s="49"/>
      <x:c r="B35" s="49"/>
      <x:c r="C35" s="49"/>
      <x:c r="D35" s="49"/>
      <x:c r="E35" s="50"/>
      <x:c r="F35" s="49"/>
      <x:c r="G35" s="20"/>
      <x:c r="H35" s="7"/>
      <x:c r="I35" s="7"/>
    </x:row>
    <x:row r="36" ht="20" customHeight="1">
      <x:c r="A36" s="49"/>
      <x:c r="B36" s="49"/>
      <x:c r="C36" s="49"/>
      <x:c r="D36" s="49"/>
      <x:c r="E36" s="50"/>
      <x:c r="F36" s="49"/>
      <x:c r="G36" s="20"/>
      <x:c r="H36" s="7"/>
      <x:c r="I36" s="7"/>
    </x:row>
    <x:row r="37" ht="20" customHeight="1">
      <x:c r="A37" s="49"/>
      <x:c r="B37" s="49"/>
      <x:c r="C37" s="49"/>
      <x:c r="D37" s="49"/>
      <x:c r="E37" s="50"/>
      <x:c r="F37" s="49"/>
      <x:c r="G37" s="20"/>
      <x:c r="H37" s="7"/>
      <x:c r="I37" s="7"/>
    </x:row>
    <x:row r="38" ht="20" customHeight="1">
      <x:c r="A38" s="49"/>
      <x:c r="B38" s="49"/>
      <x:c r="C38" s="49"/>
      <x:c r="D38" s="49"/>
      <x:c r="E38" s="50"/>
      <x:c r="F38" s="49"/>
      <x:c r="G38" s="20"/>
      <x:c r="H38" s="7"/>
      <x:c r="I38" s="7"/>
    </x:row>
    <x:row r="39" ht="20" customHeight="1">
      <x:c r="A39" s="49"/>
      <x:c r="B39" s="49"/>
      <x:c r="C39" s="49"/>
      <x:c r="D39" s="49"/>
      <x:c r="E39" s="50"/>
      <x:c r="F39" s="49"/>
      <x:c r="G39" s="20"/>
      <x:c r="H39" s="7"/>
      <x:c r="I39" s="7"/>
    </x:row>
    <x:row r="40" ht="20" customHeight="1">
      <x:c r="A40" s="49"/>
      <x:c r="B40" s="49"/>
      <x:c r="C40" s="49"/>
      <x:c r="D40" s="49"/>
      <x:c r="E40" s="50"/>
      <x:c r="F40" s="49"/>
      <x:c r="G40" s="20"/>
      <x:c r="H40" s="7"/>
      <x:c r="I40" s="7"/>
    </x:row>
    <x:row r="41" ht="20" customHeight="1">
      <x:c r="A41" s="49"/>
      <x:c r="B41" s="49"/>
      <x:c r="C41" s="49"/>
      <x:c r="D41" s="49"/>
      <x:c r="E41" s="50"/>
      <x:c r="F41" s="49"/>
      <x:c r="G41" s="20"/>
      <x:c r="H41" s="7"/>
      <x:c r="I41" s="7"/>
    </x:row>
    <x:row r="42" ht="20" customHeight="1">
      <x:c r="A42" s="49"/>
      <x:c r="B42" s="49"/>
      <x:c r="C42" s="49"/>
      <x:c r="D42" s="49"/>
      <x:c r="E42" s="50"/>
      <x:c r="F42" s="49"/>
      <x:c r="G42" s="20"/>
      <x:c r="H42" s="7"/>
      <x:c r="I42" s="7"/>
    </x:row>
    <x:row r="43" ht="20" customHeight="1">
      <x:c r="A43" s="49"/>
      <x:c r="B43" s="49"/>
      <x:c r="C43" s="49"/>
      <x:c r="D43" s="49"/>
      <x:c r="E43" s="50"/>
      <x:c r="F43" s="49"/>
      <x:c r="G43" s="20"/>
      <x:c r="H43" s="7"/>
      <x:c r="I43" s="7"/>
    </x:row>
    <x:row r="44" ht="20" customHeight="1">
      <x:c r="A44" s="49"/>
      <x:c r="B44" s="49"/>
      <x:c r="C44" s="49"/>
      <x:c r="D44" s="49"/>
      <x:c r="E44" s="50"/>
      <x:c r="F44" s="49"/>
      <x:c r="G44" s="20"/>
      <x:c r="H44" s="7"/>
      <x:c r="I44" s="7"/>
    </x:row>
    <x:row r="45" ht="20" customHeight="1">
      <x:c r="A45" s="49"/>
      <x:c r="B45" s="49"/>
      <x:c r="C45" s="49"/>
      <x:c r="D45" s="49"/>
      <x:c r="E45" s="50"/>
      <x:c r="F45" s="49"/>
      <x:c r="G45" s="20"/>
      <x:c r="H45" s="7"/>
      <x:c r="I45" s="7"/>
    </x:row>
    <x:row r="46" ht="20" customHeight="1">
      <x:c r="A46" s="49"/>
      <x:c r="B46" s="49"/>
      <x:c r="C46" s="49"/>
      <x:c r="D46" s="49"/>
      <x:c r="E46" s="50"/>
      <x:c r="F46" s="49"/>
      <x:c r="G46" s="20"/>
      <x:c r="H46" s="7"/>
      <x:c r="I46" s="7"/>
    </x:row>
    <x:row r="47" ht="20" customHeight="1">
      <x:c r="A47" s="49"/>
      <x:c r="B47" s="49"/>
      <x:c r="C47" s="49"/>
      <x:c r="D47" s="49"/>
      <x:c r="E47" s="50"/>
      <x:c r="F47" s="49"/>
      <x:c r="G47" s="20"/>
      <x:c r="H47" s="7"/>
      <x:c r="I47" s="7"/>
    </x:row>
    <x:row r="48" ht="20" customHeight="1">
      <x:c r="A48" s="49"/>
      <x:c r="B48" s="49"/>
      <x:c r="C48" s="49"/>
      <x:c r="D48" s="49"/>
      <x:c r="E48" s="50"/>
      <x:c r="F48" s="49"/>
      <x:c r="G48" s="20"/>
      <x:c r="H48" s="7"/>
      <x:c r="I48" s="7"/>
    </x:row>
    <x:row r="49" ht="20" customHeight="1">
      <x:c r="A49" s="49"/>
      <x:c r="B49" s="49"/>
      <x:c r="C49" s="49"/>
      <x:c r="D49" s="49"/>
      <x:c r="E49" s="50"/>
      <x:c r="F49" s="49"/>
      <x:c r="G49" s="20"/>
      <x:c r="H49" s="7"/>
      <x:c r="I49" s="7"/>
    </x:row>
    <x:row r="50" ht="20" customHeight="1">
      <x:c r="A50" s="49"/>
      <x:c r="B50" s="49"/>
      <x:c r="C50" s="49"/>
      <x:c r="D50" s="49"/>
      <x:c r="E50" s="50"/>
      <x:c r="F50" s="49"/>
      <x:c r="G50" s="20"/>
      <x:c r="H50" s="7"/>
      <x:c r="I50" s="7"/>
    </x:row>
    <x:row r="51" ht="20" customHeight="1">
      <x:c r="A51" s="49"/>
      <x:c r="B51" s="49"/>
      <x:c r="C51" s="49"/>
      <x:c r="D51" s="49"/>
      <x:c r="E51" s="50"/>
      <x:c r="F51" s="49"/>
      <x:c r="G51" s="20"/>
      <x:c r="H51" s="7"/>
      <x:c r="I51" s="7"/>
    </x:row>
    <x:row r="52" ht="20" customHeight="1">
      <x:c r="A52" s="49"/>
      <x:c r="B52" s="49"/>
      <x:c r="C52" s="49"/>
      <x:c r="D52" s="49"/>
      <x:c r="E52" s="50"/>
      <x:c r="F52" s="49"/>
      <x:c r="G52" s="20"/>
      <x:c r="H52" s="7"/>
      <x:c r="I52" s="7"/>
    </x:row>
    <x:row r="53" ht="20" customHeight="1">
      <x:c r="A53" s="49"/>
      <x:c r="B53" s="49"/>
      <x:c r="C53" s="49"/>
      <x:c r="D53" s="49"/>
      <x:c r="E53" s="50"/>
      <x:c r="F53" s="49"/>
      <x:c r="G53" s="20"/>
      <x:c r="H53" s="7"/>
      <x:c r="I53" s="7"/>
    </x:row>
    <x:row r="54" ht="20" customHeight="1">
      <x:c r="A54" s="49"/>
      <x:c r="B54" s="49"/>
      <x:c r="C54" s="49"/>
      <x:c r="D54" s="49"/>
      <x:c r="E54" s="50"/>
      <x:c r="F54" s="49"/>
      <x:c r="G54" s="20"/>
      <x:c r="H54" s="7"/>
      <x:c r="I54" s="7"/>
    </x:row>
    <x:row r="55" ht="20" customHeight="1">
      <x:c r="A55" s="49"/>
      <x:c r="B55" s="49"/>
      <x:c r="C55" s="49"/>
      <x:c r="D55" s="49"/>
      <x:c r="E55" s="50"/>
      <x:c r="F55" s="49"/>
      <x:c r="G55" s="20"/>
      <x:c r="H55" s="7"/>
      <x:c r="I55" s="7"/>
    </x:row>
    <x:row r="56">
      <x:c r="A56" s="111" t="s">
        <x:v>49</x:v>
      </x:c>
      <x:c r="B56" s="111"/>
      <x:c r="C56" s="111"/>
      <x:c r="D56" s="111"/>
      <x:c r="E56" s="111"/>
      <x:c r="F56" s="111"/>
      <x:c r="G56" s="10" t="n">
        <x:f>SUM(G5:G5)</x:f>
        <x:v>0</x:v>
      </x:c>
      <x:c r="H56" s="7"/>
      <x:c r="I56" s="7"/>
    </x:row>
    <x:row r="60" ht="17" hidden="1">
      <x:c r="F60" s="51" t="s">
        <x:v>0</x:v>
      </x:c>
      <x:c r="G60" s="51" t="s">
        <x:v>323</x:v>
      </x:c>
      <x:c r="H60" s="52" t="s">
        <x:v>272</x:v>
      </x:c>
      <x:c r="I60" t="s">
        <x:v>324</x:v>
      </x:c>
    </x:row>
    <x:row r="61" hidden="1">
      <x:c r="F61" t="s">
        <x:v>325</x:v>
      </x:c>
      <x:c r="G61">
        <x:v>46</x:v>
      </x:c>
      <x:c r="H61" s="44">
        <x:v>2.1600000000000001E-2</x:v>
      </x:c>
      <x:c r="I61" s="54">
        <x:v>3284.9</x:v>
      </x:c>
      <x:c r="J61" t="n">
        <x:f>I61*H61</x:f>
        <x:v>70.95384</x:v>
      </x:c>
    </x:row>
    <x:row r="62" hidden="1">
      <x:c r="F62" t="s">
        <x:v>164</x:v>
      </x:c>
      <x:c r="G62">
        <x:v>51</x:v>
      </x:c>
      <x:c r="H62" s="44">
        <x:v>2.3900000000000001E-2</x:v>
      </x:c>
      <x:c r="I62" s="54">
        <x:v>3284.9</x:v>
      </x:c>
      <x:c r="J62" t="n">
        <x:f t="shared" ref="J62:J79" si="0">I62*H62</x:f>
        <x:v>78.50911</x:v>
      </x:c>
    </x:row>
    <x:row r="63" hidden="1">
      <x:c r="F63" t="s">
        <x:v>165</x:v>
      </x:c>
      <x:c r="G63">
        <x:v>1</x:v>
      </x:c>
      <x:c r="H63" s="44">
        <x:v>5.0000000000000001E-4</x:v>
      </x:c>
      <x:c r="I63" s="54">
        <x:v>3284.9</x:v>
      </x:c>
      <x:c r="J63">
        <x:f t="shared" si="0"/>
        <x:v>1.6424500000000002</x:v>
      </x:c>
    </x:row>
    <x:row r="64" hidden="1">
      <x:c r="G64">
        <x:v>178</x:v>
      </x:c>
      <x:c r="H64" s="44">
        <x:v>8.3500000000000005E-2</x:v>
      </x:c>
      <x:c r="I64" s="54">
        <x:v>3284.9</x:v>
      </x:c>
      <x:c r="J64">
        <x:f t="shared" si="0"/>
        <x:v>274.28915000000001</x:v>
      </x:c>
    </x:row>
    <x:row r="65" hidden="1">
      <x:c r="G65">
        <x:v>56</x:v>
      </x:c>
      <x:c r="H65" s="44">
        <x:v>2.63E-2</x:v>
      </x:c>
      <x:c r="I65" s="54">
        <x:v>3284.9</x:v>
      </x:c>
      <x:c r="J65">
        <x:f t="shared" si="0"/>
        <x:v>86.392870000000002</x:v>
      </x:c>
    </x:row>
    <x:row r="66" hidden="1">
      <x:c r="G66">
        <x:v>346</x:v>
      </x:c>
      <x:c r="H66" s="44">
        <x:v>0.16220000000000001</x:v>
      </x:c>
      <x:c r="I66" s="54">
        <x:v>3284.9</x:v>
      </x:c>
      <x:c r="J66">
        <x:f t="shared" si="0"/>
        <x:v>532.81078000000002</x:v>
      </x:c>
    </x:row>
    <x:row r="67" hidden="1">
      <x:c r="G67">
        <x:v>7</x:v>
      </x:c>
      <x:c r="H67" s="44">
        <x:v>3.3E-3</x:v>
      </x:c>
      <x:c r="I67" s="54">
        <x:v>3284.9</x:v>
      </x:c>
      <x:c r="J67">
        <x:f t="shared" si="0"/>
        <x:v>10.840170000000001</x:v>
      </x:c>
    </x:row>
    <x:row r="68" hidden="1">
      <x:c r="G68">
        <x:v>179</x:v>
      </x:c>
      <x:c r="H68" s="44">
        <x:v>8.3900000000000002E-2</x:v>
      </x:c>
      <x:c r="I68" s="54">
        <x:v>3284.9</x:v>
      </x:c>
      <x:c r="J68">
        <x:f t="shared" si="0"/>
        <x:v>275.60311000000002</x:v>
      </x:c>
    </x:row>
    <x:row r="69" hidden="1">
      <x:c r="G69">
        <x:v>176</x:v>
      </x:c>
      <x:c r="H69" s="44">
        <x:v>8.2500000000000004E-2</x:v>
      </x:c>
      <x:c r="I69" s="54">
        <x:v>3284.9</x:v>
      </x:c>
      <x:c r="J69">
        <x:f t="shared" si="0"/>
        <x:v>271.00425000000001</x:v>
      </x:c>
    </x:row>
    <x:row r="70" hidden="1">
      <x:c r="G70">
        <x:v>38</x:v>
      </x:c>
      <x:c r="H70" s="44">
        <x:v>1.78E-2</x:v>
      </x:c>
      <x:c r="I70" s="54">
        <x:v>3284.9</x:v>
      </x:c>
      <x:c r="J70">
        <x:f t="shared" si="0"/>
        <x:v>58.471220000000002</x:v>
      </x:c>
    </x:row>
    <x:row r="71" hidden="1">
      <x:c r="G71">
        <x:v>147</x:v>
      </x:c>
      <x:c r="H71" s="44">
        <x:v>6.8900000000000003E-2</x:v>
      </x:c>
      <x:c r="I71" s="54">
        <x:v>3284.9</x:v>
      </x:c>
      <x:c r="J71">
        <x:f t="shared" si="0"/>
        <x:v>226.32961</x:v>
      </x:c>
    </x:row>
    <x:row r="72" hidden="1">
      <x:c r="G72">
        <x:v>24</x:v>
      </x:c>
      <x:c r="H72" s="44">
        <x:v>1.1299999999999999E-2</x:v>
      </x:c>
      <x:c r="I72" s="54">
        <x:v>3284.9</x:v>
      </x:c>
      <x:c r="J72">
        <x:f t="shared" si="0"/>
        <x:v>37.119369999999996</x:v>
      </x:c>
    </x:row>
    <x:row r="73" hidden="1">
      <x:c r="G73">
        <x:v>82</x:v>
      </x:c>
      <x:c r="H73" s="44">
        <x:v>3.8399999999999997E-2</x:v>
      </x:c>
      <x:c r="I73" s="54">
        <x:v>3284.9</x:v>
      </x:c>
      <x:c r="J73">
        <x:f t="shared" si="0"/>
        <x:v>126.14015999999999</x:v>
      </x:c>
    </x:row>
    <x:row r="74" hidden="1">
      <x:c r="G74">
        <x:v>3</x:v>
      </x:c>
      <x:c r="H74" s="44">
        <x:v>1.4E-3</x:v>
      </x:c>
      <x:c r="I74" s="54">
        <x:v>3284.9</x:v>
      </x:c>
      <x:c r="J74">
        <x:f t="shared" si="0"/>
        <x:v>4.5988600000000002</x:v>
      </x:c>
    </x:row>
    <x:row r="75" hidden="1">
      <x:c r="G75">
        <x:v>2</x:v>
      </x:c>
      <x:c r="H75" s="44">
        <x:v>8.9999999999999998E-4</x:v>
      </x:c>
      <x:c r="I75" s="54">
        <x:v>3284.9</x:v>
      </x:c>
      <x:c r="J75">
        <x:f t="shared" si="0"/>
        <x:v>2.95641</x:v>
      </x:c>
    </x:row>
    <x:row r="76" hidden="1">
      <x:c r="G76">
        <x:v>58</x:v>
      </x:c>
      <x:c r="H76" s="44">
        <x:v>2.7199999999999998E-2</x:v>
      </x:c>
      <x:c r="I76" s="54">
        <x:v>3284.9</x:v>
      </x:c>
      <x:c r="J76">
        <x:f t="shared" si="0"/>
        <x:v>89.349279999999993</x:v>
      </x:c>
    </x:row>
    <x:row r="77" hidden="1">
      <x:c r="G77">
        <x:v>192</x:v>
      </x:c>
      <x:c r="H77" s="44">
        <x:v>0.09</x:v>
      </x:c>
      <x:c r="I77" s="54">
        <x:v>3284.9</x:v>
      </x:c>
      <x:c r="J77">
        <x:f t="shared" si="0"/>
        <x:v>295.64100000000002</x:v>
      </x:c>
    </x:row>
    <x:row r="78" hidden="1">
      <x:c r="G78">
        <x:v>465</x:v>
      </x:c>
      <x:c r="H78" s="44">
        <x:v>0.218</x:v>
      </x:c>
      <x:c r="I78" s="54">
        <x:v>3284.9</x:v>
      </x:c>
      <x:c r="J78">
        <x:f t="shared" si="0"/>
        <x:v>716.10820000000001</x:v>
      </x:c>
    </x:row>
    <x:row r="79" hidden="1">
      <x:c r="G79">
        <x:v>82</x:v>
      </x:c>
      <x:c r="H79" s="44">
        <x:v>3.8399999999999997E-2</x:v>
      </x:c>
      <x:c r="I79" s="54">
        <x:v>3284.9</x:v>
      </x:c>
      <x:c r="J79">
        <x:f t="shared" si="0"/>
        <x:v>126.14015999999999</x:v>
      </x:c>
    </x:row>
    <x:row r="80" hidden="1"/>
    <x:row r="81" hidden="1"/>
    <x:row r="82">
      <x:c r="F82" s="112"/>
      <x:c r="G82" s="112"/>
      <x:c r="H82" s="124"/>
    </x:row>
    <x:row r="83">
      <x:c r="F83" s="112"/>
      <x:c r="G83" s="112"/>
      <x:c r="H83" s="124"/>
    </x:row>
    <x:row r="84">
      <x:c r="F84" s="13"/>
      <x:c r="G84" s="13"/>
      <x:c r="H84" s="19"/>
    </x:row>
    <x:row r="85">
      <x:c r="F85" s="13"/>
      <x:c r="G85" s="13"/>
      <x:c r="H85" s="19"/>
    </x:row>
    <x:row r="86">
      <x:c r="F86" s="13"/>
      <x:c r="G86" s="13"/>
      <x:c r="H86" s="19"/>
    </x:row>
    <x:row r="87">
      <x:c r="F87" s="13"/>
      <x:c r="G87" s="13"/>
      <x:c r="H87" s="19"/>
    </x:row>
    <x:row r="88">
      <x:c r="F88" s="13"/>
      <x:c r="G88" s="13"/>
      <x:c r="H88" s="19"/>
    </x:row>
    <x:row r="89">
      <x:c r="F89" s="13"/>
      <x:c r="G89" s="13"/>
      <x:c r="H89" s="19"/>
    </x:row>
    <x:row r="90">
      <x:c r="F90" s="13"/>
      <x:c r="G90" s="13"/>
      <x:c r="H90" s="19"/>
    </x:row>
    <x:row r="91">
      <x:c r="F91" s="13"/>
      <x:c r="G91" s="13"/>
      <x:c r="H91" s="19"/>
    </x:row>
    <x:row r="92">
      <x:c r="F92" s="13"/>
      <x:c r="G92" s="13"/>
      <x:c r="H92" s="19"/>
    </x:row>
    <x:row r="93">
      <x:c r="F93" s="13"/>
      <x:c r="G93" s="13"/>
      <x:c r="H93" s="19"/>
    </x:row>
    <x:row r="94">
      <x:c r="F94" s="13"/>
      <x:c r="G94" s="13"/>
      <x:c r="H94" s="19"/>
    </x:row>
    <x:row r="95">
      <x:c r="F95" s="13"/>
      <x:c r="G95" s="13"/>
      <x:c r="H95" s="19"/>
    </x:row>
    <x:row r="96">
      <x:c r="F96" s="13"/>
      <x:c r="G96" s="13"/>
      <x:c r="H96" s="19"/>
    </x:row>
    <x:row r="97">
      <x:c r="F97" s="13"/>
      <x:c r="G97" s="13"/>
      <x:c r="H97" s="19"/>
    </x:row>
    <x:row r="98">
      <x:c r="F98" s="13"/>
      <x:c r="G98" s="13"/>
      <x:c r="H98" s="19"/>
    </x:row>
    <x:row r="99" ht="16">
      <x:c r="F99" s="13"/>
      <x:c r="G99" s="15"/>
      <x:c r="H99" s="19"/>
    </x:row>
    <x:row r="100" ht="16">
      <x:c r="F100" s="13"/>
      <x:c r="G100" s="15"/>
      <x:c r="H100" s="19"/>
    </x:row>
    <x:row r="101" ht="16">
      <x:c r="F101" s="13"/>
      <x:c r="G101" s="15"/>
      <x:c r="H101" s="19"/>
    </x:row>
    <x:row r="102">
      <x:c r="F102" s="111"/>
      <x:c r="G102" s="111"/>
      <x:c r="H102" s="19"/>
    </x:row>
  </x:sheetData>
  <x:mergeCells>
    <x:mergeCell ref="A1:I1"/>
    <x:mergeCell ref="A2:C2"/>
    <x:mergeCell ref="D2:I2"/>
    <x:mergeCell ref="A56:F56"/>
    <x:mergeCell ref="F102:G102"/>
    <x:mergeCell ref="F82:F83"/>
    <x:mergeCell ref="G82:G83"/>
    <x:mergeCell ref="H82:H8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10" defaultColWidth="9" defaultRowHeight="14"/>
  <x:cols>
    <x:col min="1" max="1" width="25" customWidth="1"/>
    <x:col min="2" max="2" width="28.83203125" customWidth="1"/>
    <x:col min="3" max="3" width="22.33203125" customWidth="1"/>
    <x:col min="4" max="5" width="10.5" customWidth="1"/>
    <x:col min="6" max="6" width="38" customWidth="1"/>
    <x:col min="7" max="7" width="19.1640625" customWidth="1"/>
  </x:cols>
  <x:sheetData>
    <x:row r="1" s="1" customFormat="1" ht="34.75" customHeight="1">
      <x:c r="A1" s="133" t="s">
        <x:v>326</x:v>
      </x:c>
      <x:c r="B1" s="133"/>
      <x:c r="C1" s="133"/>
      <x:c r="D1" s="133"/>
      <x:c r="E1" s="133"/>
      <x:c r="F1" s="133"/>
      <x:c r="G1" s="133"/>
      <x:c r="H1" s="133"/>
      <x:c r="I1" s="133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</x:row>
    <x:row r="2" s="1" customFormat="1">
      <x:c r="A2" s="114" t="e">
        <x:v>#NAME?</x:v>
      </x:c>
      <x:c r="B2" s="134"/>
      <x:c r="C2" s="134"/>
      <x:c r="D2" s="135"/>
      <x:c r="E2" s="135"/>
      <x:c r="F2" s="135"/>
      <x:c r="G2" s="135"/>
      <x:c r="H2" s="135"/>
      <x:c r="I2" s="135"/>
      <x:c r="J2" s="16"/>
      <x:c r="K2" s="17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  <x:c r="W2" s="16"/>
    </x:row>
    <x:row r="3" s="1" customFormat="1">
      <x:c r="A3" s="1" t="s">
        <x:v>295</x:v>
      </x:c>
      <x:c r="B3" s="2"/>
      <x:c r="C3" s="3"/>
      <x:c r="D3" s="4" t="s">
        <x:v>296</x:v>
      </x:c>
      <x:c r="E3" s="5"/>
      <x:c r="F3" s="6" t="n">
        <x:f>G6</x:f>
        <x:v>0</x:v>
      </x:c>
      <x:c r="G3" s="5"/>
      <x:c r="I3" s="18"/>
      <x:c r="J3" s="16"/>
      <x:c r="K3" s="16"/>
      <x:c r="L3" s="17"/>
      <x:c r="M3" s="16"/>
      <x:c r="N3" s="16"/>
      <x:c r="O3" s="16"/>
      <x:c r="P3" s="16"/>
      <x:c r="Q3" s="16"/>
      <x:c r="R3" s="16"/>
      <x:c r="S3" s="16"/>
      <x:c r="T3" s="16"/>
      <x:c r="U3" s="16"/>
      <x:c r="V3" s="16"/>
      <x:c r="W3" s="16"/>
    </x:row>
    <x:row r="4" ht="20" customHeight="1">
      <x:c r="A4" s="7" t="s">
        <x:v>297</x:v>
      </x:c>
      <x:c r="B4" s="7" t="s">
        <x:v>298</x:v>
      </x:c>
      <x:c r="C4" s="7" t="s">
        <x:v>299</x:v>
      </x:c>
      <x:c r="D4" s="7" t="s">
        <x:v>300</x:v>
      </x:c>
      <x:c r="E4" s="7" t="s">
        <x:v>301</x:v>
      </x:c>
      <x:c r="F4" s="7" t="s">
        <x:v>302</x:v>
      </x:c>
      <x:c r="G4" s="7" t="s">
        <x:v>303</x:v>
      </x:c>
      <x:c r="H4" s="8" t="s">
        <x:v>93</x:v>
      </x:c>
      <x:c r="I4" s="8" t="s">
        <x:v>304</x:v>
      </x:c>
    </x:row>
    <x:row r="5" ht="20" customHeight="1">
      <x:c r="A5" s="7"/>
      <x:c r="B5" s="7"/>
      <x:c r="C5" s="7"/>
      <x:c r="D5" s="7"/>
      <x:c r="E5" s="9"/>
      <x:c r="F5" s="7"/>
      <x:c r="G5" s="10"/>
      <x:c r="H5" s="7"/>
      <x:c r="I5" s="7"/>
    </x:row>
    <x:row r="6">
      <x:c r="A6" s="111" t="s">
        <x:v>49</x:v>
      </x:c>
      <x:c r="B6" s="111"/>
      <x:c r="C6" s="111"/>
      <x:c r="D6" s="111"/>
      <x:c r="E6" s="111"/>
      <x:c r="F6" s="111"/>
      <x:c r="G6" s="7" t="n">
        <x:f>G5</x:f>
        <x:v>0</x:v>
      </x:c>
      <x:c r="H6" s="7"/>
      <x:c r="I6" s="7"/>
    </x:row>
    <x:row r="7">
      <x:c r="A7" s="112" t="s">
        <x:v>50</x:v>
      </x:c>
      <x:c r="B7" s="112" t="s">
        <x:v>2</x:v>
      </x:c>
      <x:c r="C7" s="124" t="s">
        <x:v>327</x:v>
      </x:c>
    </x:row>
    <x:row r="8">
      <x:c r="A8" s="112"/>
      <x:c r="B8" s="112"/>
      <x:c r="C8" s="124"/>
    </x:row>
    <x:row r="9">
      <x:c r="A9" s="13" t="s">
        <x:v>164</x:v>
      </x:c>
      <x:c r="B9" s="13" t="s">
        <x:v>75</x:v>
      </x:c>
      <x:c r="C9" s="14"/>
    </x:row>
    <x:row r="10">
      <x:c r="A10" s="13" t="s">
        <x:v>165</x:v>
      </x:c>
      <x:c r="B10" s="13" t="s">
        <x:v>76</x:v>
      </x:c>
      <x:c r="C10" s="14"/>
    </x:row>
    <x:row r="11">
      <x:c r="A11" s="13" t="s">
        <x:v>166</x:v>
      </x:c>
      <x:c r="B11" s="13" t="s">
        <x:v>77</x:v>
      </x:c>
      <x:c r="C11" s="14"/>
    </x:row>
    <x:row r="12">
      <x:c r="A12" s="13" t="s">
        <x:v>167</x:v>
      </x:c>
      <x:c r="B12" s="13" t="s">
        <x:v>78</x:v>
      </x:c>
      <x:c r="C12" s="14"/>
    </x:row>
    <x:row r="13">
      <x:c r="A13" s="13" t="s">
        <x:v>168</x:v>
      </x:c>
      <x:c r="B13" s="13" t="s">
        <x:v>79</x:v>
      </x:c>
      <x:c r="C13" s="14"/>
    </x:row>
    <x:row r="14">
      <x:c r="A14" s="13" t="s">
        <x:v>169</x:v>
      </x:c>
      <x:c r="B14" s="13" t="s">
        <x:v>80</x:v>
      </x:c>
      <x:c r="C14" s="14"/>
    </x:row>
    <x:row r="15">
      <x:c r="A15" s="13" t="s">
        <x:v>170</x:v>
      </x:c>
      <x:c r="B15" s="13" t="s">
        <x:v>81</x:v>
      </x:c>
      <x:c r="C15" s="14"/>
    </x:row>
    <x:row r="16">
      <x:c r="A16" s="13" t="s">
        <x:v>171</x:v>
      </x:c>
      <x:c r="B16" s="13" t="s">
        <x:v>82</x:v>
      </x:c>
      <x:c r="C16" s="14"/>
    </x:row>
    <x:row r="17">
      <x:c r="A17" s="13" t="s">
        <x:v>172</x:v>
      </x:c>
      <x:c r="B17" s="13" t="s">
        <x:v>83</x:v>
      </x:c>
      <x:c r="C17" s="14"/>
    </x:row>
    <x:row r="18">
      <x:c r="A18" s="13" t="s">
        <x:v>173</x:v>
      </x:c>
      <x:c r="B18" s="13" t="s">
        <x:v>84</x:v>
      </x:c>
      <x:c r="C18" s="14"/>
    </x:row>
    <x:row r="19">
      <x:c r="A19" s="13" t="s">
        <x:v>174</x:v>
      </x:c>
      <x:c r="B19" s="13" t="s">
        <x:v>85</x:v>
      </x:c>
      <x:c r="C19" s="14"/>
    </x:row>
    <x:row r="20">
      <x:c r="A20" s="13" t="s">
        <x:v>273</x:v>
      </x:c>
      <x:c r="B20" s="13" t="s">
        <x:v>86</x:v>
      </x:c>
      <x:c r="C20" s="14"/>
    </x:row>
    <x:row r="21">
      <x:c r="A21" s="13" t="s">
        <x:v>176</x:v>
      </x:c>
      <x:c r="B21" s="13" t="s">
        <x:v>87</x:v>
      </x:c>
      <x:c r="C21" s="14"/>
    </x:row>
    <x:row r="22">
      <x:c r="A22" s="13" t="s">
        <x:v>177</x:v>
      </x:c>
      <x:c r="B22" s="13" t="s">
        <x:v>88</x:v>
      </x:c>
      <x:c r="C22" s="14"/>
    </x:row>
    <x:row r="23">
      <x:c r="A23" s="13" t="s">
        <x:v>168</x:v>
      </x:c>
      <x:c r="B23" s="13" t="s">
        <x:v>89</x:v>
      </x:c>
      <x:c r="C23" s="14"/>
    </x:row>
    <x:row r="24" ht="17">
      <x:c r="A24" s="13" t="s">
        <x:v>274</x:v>
      </x:c>
      <x:c r="B24" s="15" t="s">
        <x:v>90</x:v>
      </x:c>
      <x:c r="C24" s="14"/>
    </x:row>
    <x:row r="25" ht="17">
      <x:c r="A25" s="13" t="s">
        <x:v>275</x:v>
      </x:c>
      <x:c r="B25" s="15" t="s">
        <x:v>19</x:v>
      </x:c>
      <x:c r="C25" s="14"/>
    </x:row>
    <x:row r="26" ht="17">
      <x:c r="A26" s="13" t="s">
        <x:v>276</x:v>
      </x:c>
      <x:c r="B26" s="15" t="s">
        <x:v>34</x:v>
      </x:c>
      <x:c r="C26" s="14"/>
    </x:row>
    <x:row r="27">
      <x:c r="A27" s="111" t="s">
        <x:v>49</x:v>
      </x:c>
      <x:c r="B27" s="111"/>
      <x:c r="C27" s="14" t="n">
        <x:f>SUM(C9:C26)</x:f>
        <x:v>0</x:v>
      </x:c>
    </x:row>
  </x:sheetData>
  <x:mergeCells>
    <x:mergeCell ref="A1:I1"/>
    <x:mergeCell ref="A2:C2"/>
    <x:mergeCell ref="D2:I2"/>
    <x:mergeCell ref="A6:F6"/>
    <x:mergeCell ref="A27:B27"/>
    <x:mergeCell ref="A7:A8"/>
    <x:mergeCell ref="B7:B8"/>
    <x:mergeCell ref="C7:C8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10" defaultColWidth="9" defaultRowHeight="14"/>
  <x:cols>
    <x:col min="1" max="3" width="19.1640625" customWidth="1"/>
    <x:col min="4" max="4" width="14.1640625" customWidth="1"/>
    <x:col min="5" max="5" width="19.1640625" customWidth="1"/>
    <x:col min="6" max="6" width="45.1640625" customWidth="1"/>
    <x:col min="7" max="7" width="19.1640625" customWidth="1"/>
    <x:col min="10" max="10" width="10.33203125" customWidth="0"/>
  </x:cols>
  <x:sheetData>
    <x:row r="1" s="1" customFormat="1" ht="34.75" customHeight="1">
      <x:c r="A1" s="133" t="s">
        <x:v>328</x:v>
      </x:c>
      <x:c r="B1" s="133"/>
      <x:c r="C1" s="133"/>
      <x:c r="D1" s="133"/>
      <x:c r="E1" s="133"/>
      <x:c r="F1" s="133"/>
      <x:c r="G1" s="133"/>
      <x:c r="H1" s="133"/>
      <x:c r="I1" s="133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</x:row>
    <x:row r="2" s="1" customFormat="1">
      <x:c r="A2" s="114" t="e">
        <x:v>#NAME?</x:v>
      </x:c>
      <x:c r="B2" s="134"/>
      <x:c r="C2" s="134"/>
      <x:c r="D2" s="135"/>
      <x:c r="E2" s="135"/>
      <x:c r="F2" s="135"/>
      <x:c r="G2" s="135"/>
      <x:c r="H2" s="135"/>
      <x:c r="I2" s="135"/>
      <x:c r="J2" s="16"/>
      <x:c r="K2" s="17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  <x:c r="W2" s="16"/>
    </x:row>
    <x:row r="3" s="1" customFormat="1" ht="20" customHeight="1">
      <x:c r="A3" s="1" t="s">
        <x:v>295</x:v>
      </x:c>
      <x:c r="B3" s="2"/>
      <x:c r="C3" s="3"/>
      <x:c r="D3" s="4" t="s">
        <x:v>296</x:v>
      </x:c>
      <x:c r="E3" s="5"/>
      <x:c r="F3" s="6" t="n">
        <x:f>G52</x:f>
        <x:v>0</x:v>
      </x:c>
      <x:c r="G3" s="5"/>
      <x:c r="I3" s="18"/>
      <x:c r="J3" s="16"/>
      <x:c r="K3" s="16"/>
      <x:c r="L3" s="17"/>
      <x:c r="M3" s="16"/>
      <x:c r="N3" s="16"/>
      <x:c r="O3" s="16"/>
      <x:c r="P3" s="16"/>
      <x:c r="Q3" s="16"/>
      <x:c r="R3" s="16"/>
      <x:c r="S3" s="16"/>
      <x:c r="T3" s="16"/>
      <x:c r="U3" s="16"/>
      <x:c r="V3" s="16"/>
      <x:c r="W3" s="16"/>
    </x:row>
    <x:row r="4" ht="20" customHeight="1">
      <x:c r="A4" s="7" t="s">
        <x:v>297</x:v>
      </x:c>
      <x:c r="B4" s="7" t="s">
        <x:v>298</x:v>
      </x:c>
      <x:c r="C4" s="7" t="s">
        <x:v>299</x:v>
      </x:c>
      <x:c r="D4" s="7" t="s">
        <x:v>300</x:v>
      </x:c>
      <x:c r="E4" s="7" t="s">
        <x:v>301</x:v>
      </x:c>
      <x:c r="F4" s="7" t="s">
        <x:v>302</x:v>
      </x:c>
      <x:c r="G4" s="7" t="s">
        <x:v>303</x:v>
      </x:c>
      <x:c r="H4" s="8" t="s">
        <x:v>93</x:v>
      </x:c>
      <x:c r="I4" s="8" t="s">
        <x:v>304</x:v>
      </x:c>
    </x:row>
    <x:row r="5" ht="20" customHeight="1">
      <x:c r="A5" s="7" t="s">
        <x:v>329</x:v>
      </x:c>
      <x:c r="B5" s="7" t="s">
        <x:v>306</x:v>
      </x:c>
      <x:c r="C5" s="7" t="s">
        <x:v>311</x:v>
      </x:c>
      <x:c r="D5" s="7" t="s">
        <x:v>308</x:v>
      </x:c>
      <x:c r="E5" s="9">
        <x:v>168</x:v>
      </x:c>
      <x:c r="F5" s="7" t="s">
        <x:v>330</x:v>
      </x:c>
      <x:c r="G5" s="10"/>
      <x:c r="H5" s="7"/>
      <x:c r="I5" s="7"/>
      <x:c r="J5" s="20"/>
    </x:row>
    <x:row r="6" ht="20" customHeight="1">
      <x:c r="A6" s="7" t="s">
        <x:v>329</x:v>
      </x:c>
      <x:c r="B6" s="7" t="s">
        <x:v>306</x:v>
      </x:c>
      <x:c r="C6" s="7" t="s">
        <x:v>311</x:v>
      </x:c>
      <x:c r="D6" s="7" t="s">
        <x:v>308</x:v>
      </x:c>
      <x:c r="E6" s="9">
        <x:v>168</x:v>
      </x:c>
      <x:c r="F6" s="7" t="s">
        <x:v>330</x:v>
      </x:c>
      <x:c r="G6" s="10"/>
      <x:c r="H6" s="7"/>
      <x:c r="I6" s="7"/>
      <x:c r="J6" s="20"/>
    </x:row>
    <x:row r="7" ht="20" customHeight="1">
      <x:c r="A7" s="7" t="s">
        <x:v>329</x:v>
      </x:c>
      <x:c r="B7" s="7" t="s">
        <x:v>306</x:v>
      </x:c>
      <x:c r="C7" s="7" t="s">
        <x:v>311</x:v>
      </x:c>
      <x:c r="D7" s="7" t="s">
        <x:v>308</x:v>
      </x:c>
      <x:c r="E7" s="9">
        <x:v>168</x:v>
      </x:c>
      <x:c r="F7" s="7" t="s">
        <x:v>330</x:v>
      </x:c>
      <x:c r="G7" s="10"/>
      <x:c r="H7" s="7"/>
      <x:c r="I7" s="7"/>
      <x:c r="J7" s="20"/>
    </x:row>
    <x:row r="8" ht="20" customHeight="1">
      <x:c r="A8" s="7" t="s">
        <x:v>331</x:v>
      </x:c>
      <x:c r="B8" s="7" t="s">
        <x:v>306</x:v>
      </x:c>
      <x:c r="C8" s="7" t="s">
        <x:v>307</x:v>
      </x:c>
      <x:c r="D8" s="7" t="s">
        <x:v>308</x:v>
      </x:c>
      <x:c r="E8" s="9">
        <x:v>145</x:v>
      </x:c>
      <x:c r="F8" s="7" t="s">
        <x:v>332</x:v>
      </x:c>
      <x:c r="G8" s="10"/>
      <x:c r="H8" s="7"/>
      <x:c r="I8" s="7"/>
      <x:c r="J8" s="20"/>
    </x:row>
    <x:row r="9" ht="20" customHeight="1">
      <x:c r="A9" s="7" t="s">
        <x:v>331</x:v>
      </x:c>
      <x:c r="B9" s="7" t="s">
        <x:v>306</x:v>
      </x:c>
      <x:c r="C9" s="7" t="s">
        <x:v>307</x:v>
      </x:c>
      <x:c r="D9" s="7" t="s">
        <x:v>308</x:v>
      </x:c>
      <x:c r="E9" s="9">
        <x:v>145</x:v>
      </x:c>
      <x:c r="F9" s="7" t="s">
        <x:v>332</x:v>
      </x:c>
      <x:c r="G9" s="10"/>
      <x:c r="H9" s="7"/>
      <x:c r="I9" s="7"/>
      <x:c r="J9" s="20"/>
    </x:row>
    <x:row r="10" ht="20" customHeight="1">
      <x:c r="A10" s="7" t="s">
        <x:v>331</x:v>
      </x:c>
      <x:c r="B10" s="7" t="s">
        <x:v>306</x:v>
      </x:c>
      <x:c r="C10" s="7" t="s">
        <x:v>307</x:v>
      </x:c>
      <x:c r="D10" s="7" t="s">
        <x:v>308</x:v>
      </x:c>
      <x:c r="E10" s="9">
        <x:v>145</x:v>
      </x:c>
      <x:c r="F10" s="7" t="s">
        <x:v>332</x:v>
      </x:c>
      <x:c r="G10" s="10"/>
      <x:c r="H10" s="7"/>
      <x:c r="I10" s="7"/>
      <x:c r="J10" s="20"/>
    </x:row>
    <x:row r="11" ht="20" customHeight="1">
      <x:c r="A11" s="7" t="s">
        <x:v>319</x:v>
      </x:c>
      <x:c r="B11" s="7" t="s">
        <x:v>306</x:v>
      </x:c>
      <x:c r="C11" s="7" t="s">
        <x:v>320</x:v>
      </x:c>
      <x:c r="D11" s="7" t="s">
        <x:v>308</x:v>
      </x:c>
      <x:c r="E11" s="9">
        <x:v>188</x:v>
      </x:c>
      <x:c r="F11" s="7" t="s">
        <x:v>333</x:v>
      </x:c>
      <x:c r="G11" s="10"/>
      <x:c r="H11" s="7"/>
      <x:c r="I11" s="7"/>
      <x:c r="J11" s="20"/>
    </x:row>
    <x:row r="12" ht="20" customHeight="1">
      <x:c r="A12" s="7" t="s">
        <x:v>319</x:v>
      </x:c>
      <x:c r="B12" s="7" t="s">
        <x:v>306</x:v>
      </x:c>
      <x:c r="C12" s="7" t="s">
        <x:v>320</x:v>
      </x:c>
      <x:c r="D12" s="7" t="s">
        <x:v>308</x:v>
      </x:c>
      <x:c r="E12" s="9">
        <x:v>188</x:v>
      </x:c>
      <x:c r="F12" s="7" t="s">
        <x:v>333</x:v>
      </x:c>
      <x:c r="G12" s="10"/>
      <x:c r="H12" s="7"/>
      <x:c r="I12" s="7"/>
      <x:c r="J12" s="20"/>
    </x:row>
    <x:row r="13" ht="20" customHeight="1">
      <x:c r="A13" s="7" t="s">
        <x:v>319</x:v>
      </x:c>
      <x:c r="B13" s="7" t="s">
        <x:v>306</x:v>
      </x:c>
      <x:c r="C13" s="7" t="s">
        <x:v>320</x:v>
      </x:c>
      <x:c r="D13" s="7" t="s">
        <x:v>308</x:v>
      </x:c>
      <x:c r="E13" s="9">
        <x:v>188</x:v>
      </x:c>
      <x:c r="F13" s="7" t="s">
        <x:v>333</x:v>
      </x:c>
      <x:c r="G13" s="10"/>
      <x:c r="H13" s="7"/>
      <x:c r="I13" s="7"/>
      <x:c r="J13" s="20"/>
    </x:row>
    <x:row r="14" ht="20" customHeight="1">
      <x:c r="A14" s="7"/>
      <x:c r="B14" s="7"/>
      <x:c r="C14" s="7"/>
      <x:c r="D14" s="7"/>
      <x:c r="E14" s="9"/>
      <x:c r="F14" s="7"/>
      <x:c r="G14" s="10"/>
      <x:c r="H14" s="7"/>
      <x:c r="I14" s="7"/>
    </x:row>
    <x:row r="15" ht="20" customHeight="1">
      <x:c r="A15" s="7"/>
      <x:c r="B15" s="7"/>
      <x:c r="C15" s="7"/>
      <x:c r="D15" s="7"/>
      <x:c r="E15" s="9"/>
      <x:c r="F15" s="7"/>
      <x:c r="G15" s="10"/>
      <x:c r="H15" s="7"/>
      <x:c r="I15" s="7"/>
    </x:row>
    <x:row r="16" ht="20" customHeight="1">
      <x:c r="A16" s="7"/>
      <x:c r="B16" s="7"/>
      <x:c r="C16" s="7"/>
      <x:c r="D16" s="7"/>
      <x:c r="E16" s="9"/>
      <x:c r="F16" s="7"/>
      <x:c r="G16" s="10"/>
      <x:c r="H16" s="7"/>
      <x:c r="I16" s="7"/>
    </x:row>
    <x:row r="17" ht="20" customHeight="1">
      <x:c r="A17" s="7"/>
      <x:c r="B17" s="7"/>
      <x:c r="C17" s="7"/>
      <x:c r="D17" s="7"/>
      <x:c r="E17" s="9"/>
      <x:c r="F17" s="7"/>
      <x:c r="G17" s="10"/>
      <x:c r="H17" s="7"/>
      <x:c r="I17" s="7"/>
    </x:row>
    <x:row r="18" ht="20" customHeight="1">
      <x:c r="A18" s="7"/>
      <x:c r="B18" s="7"/>
      <x:c r="C18" s="7"/>
      <x:c r="D18" s="7"/>
      <x:c r="E18" s="9"/>
      <x:c r="F18" s="7"/>
      <x:c r="G18" s="10"/>
      <x:c r="H18" s="7"/>
      <x:c r="I18" s="7"/>
    </x:row>
    <x:row r="19" ht="20" customHeight="1">
      <x:c r="A19" s="7"/>
      <x:c r="B19" s="7"/>
      <x:c r="C19" s="7"/>
      <x:c r="D19" s="7"/>
      <x:c r="E19" s="9"/>
      <x:c r="F19" s="7"/>
      <x:c r="G19" s="10"/>
      <x:c r="H19" s="7"/>
      <x:c r="I19" s="7"/>
    </x:row>
    <x:row r="20" ht="20" customHeight="1">
      <x:c r="A20" s="7"/>
      <x:c r="B20" s="7"/>
      <x:c r="C20" s="7"/>
      <x:c r="D20" s="7"/>
      <x:c r="E20" s="9"/>
      <x:c r="F20" s="7"/>
      <x:c r="G20" s="10"/>
      <x:c r="H20" s="7"/>
      <x:c r="I20" s="7"/>
    </x:row>
    <x:row r="21" ht="20" customHeight="1">
      <x:c r="A21" s="7"/>
      <x:c r="B21" s="7"/>
      <x:c r="C21" s="7"/>
      <x:c r="D21" s="7"/>
      <x:c r="E21" s="9"/>
      <x:c r="F21" s="7"/>
      <x:c r="G21" s="10"/>
      <x:c r="H21" s="7"/>
      <x:c r="I21" s="7"/>
    </x:row>
    <x:row r="22" ht="20" customHeight="1">
      <x:c r="A22" s="7"/>
      <x:c r="B22" s="7"/>
      <x:c r="C22" s="7"/>
      <x:c r="D22" s="7"/>
      <x:c r="E22" s="9"/>
      <x:c r="F22" s="7"/>
      <x:c r="G22" s="10"/>
      <x:c r="H22" s="7"/>
      <x:c r="I22" s="7"/>
    </x:row>
    <x:row r="23" ht="20" customHeight="1">
      <x:c r="A23" s="7"/>
      <x:c r="B23" s="7"/>
      <x:c r="C23" s="7"/>
      <x:c r="D23" s="7"/>
      <x:c r="E23" s="9"/>
      <x:c r="F23" s="7"/>
      <x:c r="G23" s="10"/>
      <x:c r="H23" s="7"/>
      <x:c r="I23" s="7"/>
    </x:row>
    <x:row r="24" ht="20" customHeight="1">
      <x:c r="A24" s="7"/>
      <x:c r="B24" s="7"/>
      <x:c r="C24" s="7"/>
      <x:c r="D24" s="7"/>
      <x:c r="E24" s="9"/>
      <x:c r="F24" s="7"/>
      <x:c r="G24" s="10"/>
      <x:c r="H24" s="7"/>
      <x:c r="I24" s="7"/>
    </x:row>
    <x:row r="25" ht="20" customHeight="1">
      <x:c r="A25" s="7"/>
      <x:c r="B25" s="7"/>
      <x:c r="C25" s="7"/>
      <x:c r="D25" s="7"/>
      <x:c r="E25" s="9"/>
      <x:c r="F25" s="7"/>
      <x:c r="G25" s="10"/>
      <x:c r="H25" s="7"/>
      <x:c r="I25" s="7"/>
    </x:row>
    <x:row r="26" ht="20" customHeight="1">
      <x:c r="A26" s="7"/>
      <x:c r="B26" s="7"/>
      <x:c r="C26" s="7"/>
      <x:c r="D26" s="7"/>
      <x:c r="E26" s="9"/>
      <x:c r="F26" s="7"/>
      <x:c r="G26" s="10"/>
      <x:c r="H26" s="7"/>
      <x:c r="I26" s="7"/>
    </x:row>
    <x:row r="27" ht="20" customHeight="1">
      <x:c r="A27" s="7"/>
      <x:c r="B27" s="7"/>
      <x:c r="C27" s="7"/>
      <x:c r="D27" s="7"/>
      <x:c r="E27" s="9"/>
      <x:c r="F27" s="7"/>
      <x:c r="G27" s="10"/>
      <x:c r="H27" s="7"/>
      <x:c r="I27" s="7"/>
    </x:row>
    <x:row r="28" ht="20" customHeight="1">
      <x:c r="A28" s="7"/>
      <x:c r="B28" s="7"/>
      <x:c r="C28" s="7"/>
      <x:c r="D28" s="7"/>
      <x:c r="E28" s="9"/>
      <x:c r="F28" s="7"/>
      <x:c r="G28" s="10"/>
      <x:c r="H28" s="7"/>
      <x:c r="I28" s="7"/>
    </x:row>
    <x:row r="29" ht="20" customHeight="1">
      <x:c r="A29" s="7"/>
      <x:c r="B29" s="7"/>
      <x:c r="C29" s="7"/>
      <x:c r="D29" s="7"/>
      <x:c r="E29" s="9"/>
      <x:c r="F29" s="7"/>
      <x:c r="G29" s="10"/>
      <x:c r="H29" s="7"/>
      <x:c r="I29" s="7"/>
    </x:row>
    <x:row r="30" ht="20" customHeight="1">
      <x:c r="A30" s="7"/>
      <x:c r="B30" s="7"/>
      <x:c r="C30" s="7"/>
      <x:c r="D30" s="7"/>
      <x:c r="E30" s="9"/>
      <x:c r="F30" s="7"/>
      <x:c r="G30" s="10"/>
      <x:c r="H30" s="7"/>
      <x:c r="I30" s="7"/>
    </x:row>
    <x:row r="31" ht="20" customHeight="1">
      <x:c r="A31" s="7"/>
      <x:c r="B31" s="7"/>
      <x:c r="C31" s="7"/>
      <x:c r="D31" s="7"/>
      <x:c r="E31" s="9"/>
      <x:c r="F31" s="7"/>
      <x:c r="G31" s="10"/>
      <x:c r="H31" s="7"/>
      <x:c r="I31" s="7"/>
    </x:row>
    <x:row r="32" ht="20" customHeight="1">
      <x:c r="A32" s="7"/>
      <x:c r="B32" s="7"/>
      <x:c r="C32" s="7"/>
      <x:c r="D32" s="7"/>
      <x:c r="E32" s="9"/>
      <x:c r="F32" s="7"/>
      <x:c r="G32" s="10"/>
      <x:c r="H32" s="7"/>
      <x:c r="I32" s="7"/>
    </x:row>
    <x:row r="33" ht="20" customHeight="1">
      <x:c r="A33" s="7"/>
      <x:c r="B33" s="7"/>
      <x:c r="C33" s="7"/>
      <x:c r="D33" s="7"/>
      <x:c r="E33" s="9"/>
      <x:c r="F33" s="7"/>
      <x:c r="G33" s="10"/>
      <x:c r="H33" s="7"/>
      <x:c r="I33" s="7"/>
    </x:row>
    <x:row r="34" ht="20" customHeight="1">
      <x:c r="A34" s="7"/>
      <x:c r="B34" s="7"/>
      <x:c r="C34" s="7"/>
      <x:c r="D34" s="7"/>
      <x:c r="E34" s="9"/>
      <x:c r="F34" s="7"/>
      <x:c r="G34" s="10"/>
      <x:c r="H34" s="7"/>
      <x:c r="I34" s="7"/>
    </x:row>
    <x:row r="35" ht="20" customHeight="1">
      <x:c r="A35" s="7"/>
      <x:c r="B35" s="7"/>
      <x:c r="C35" s="7"/>
      <x:c r="D35" s="7"/>
      <x:c r="E35" s="9"/>
      <x:c r="F35" s="7"/>
      <x:c r="G35" s="10"/>
      <x:c r="H35" s="7"/>
      <x:c r="I35" s="7"/>
    </x:row>
    <x:row r="36" ht="20" customHeight="1">
      <x:c r="A36" s="7"/>
      <x:c r="B36" s="7"/>
      <x:c r="C36" s="7"/>
      <x:c r="D36" s="7"/>
      <x:c r="E36" s="9"/>
      <x:c r="F36" s="7"/>
      <x:c r="G36" s="10"/>
      <x:c r="H36" s="7"/>
      <x:c r="I36" s="7"/>
    </x:row>
    <x:row r="37" ht="20" customHeight="1">
      <x:c r="A37" s="7"/>
      <x:c r="B37" s="7"/>
      <x:c r="C37" s="7"/>
      <x:c r="D37" s="7"/>
      <x:c r="E37" s="9"/>
      <x:c r="F37" s="7"/>
      <x:c r="G37" s="10"/>
      <x:c r="H37" s="7"/>
      <x:c r="I37" s="7"/>
    </x:row>
    <x:row r="38" ht="20" customHeight="1">
      <x:c r="A38" s="7"/>
      <x:c r="B38" s="7"/>
      <x:c r="C38" s="7"/>
      <x:c r="D38" s="7"/>
      <x:c r="E38" s="9"/>
      <x:c r="F38" s="7"/>
      <x:c r="G38" s="10"/>
      <x:c r="H38" s="7"/>
      <x:c r="I38" s="7"/>
    </x:row>
    <x:row r="39" ht="20" customHeight="1">
      <x:c r="A39" s="7"/>
      <x:c r="B39" s="7"/>
      <x:c r="C39" s="7"/>
      <x:c r="D39" s="7"/>
      <x:c r="E39" s="9"/>
      <x:c r="F39" s="7"/>
      <x:c r="G39" s="10"/>
      <x:c r="H39" s="7"/>
      <x:c r="I39" s="7"/>
    </x:row>
    <x:row r="40" ht="20" customHeight="1">
      <x:c r="A40" s="7"/>
      <x:c r="B40" s="7"/>
      <x:c r="C40" s="7"/>
      <x:c r="D40" s="7"/>
      <x:c r="E40" s="9"/>
      <x:c r="F40" s="7"/>
      <x:c r="G40" s="10"/>
      <x:c r="H40" s="7"/>
      <x:c r="I40" s="7"/>
    </x:row>
    <x:row r="41" ht="20" customHeight="1">
      <x:c r="A41" s="7"/>
      <x:c r="B41" s="7"/>
      <x:c r="C41" s="7"/>
      <x:c r="D41" s="7"/>
      <x:c r="E41" s="9"/>
      <x:c r="F41" s="7"/>
      <x:c r="G41" s="10"/>
      <x:c r="H41" s="7"/>
      <x:c r="I41" s="7"/>
    </x:row>
    <x:row r="42" ht="20" customHeight="1">
      <x:c r="A42" s="7"/>
      <x:c r="B42" s="7"/>
      <x:c r="C42" s="7"/>
      <x:c r="D42" s="7"/>
      <x:c r="E42" s="9"/>
      <x:c r="F42" s="7"/>
      <x:c r="G42" s="10"/>
      <x:c r="H42" s="7"/>
      <x:c r="I42" s="7"/>
    </x:row>
    <x:row r="43" ht="20" customHeight="1">
      <x:c r="A43" s="7"/>
      <x:c r="B43" s="7"/>
      <x:c r="C43" s="7"/>
      <x:c r="D43" s="7"/>
      <x:c r="E43" s="9"/>
      <x:c r="F43" s="7"/>
      <x:c r="G43" s="10"/>
      <x:c r="H43" s="7"/>
      <x:c r="I43" s="7"/>
    </x:row>
    <x:row r="44" ht="20" customHeight="1">
      <x:c r="A44" s="7"/>
      <x:c r="B44" s="7"/>
      <x:c r="C44" s="7"/>
      <x:c r="D44" s="7"/>
      <x:c r="E44" s="9"/>
      <x:c r="F44" s="7"/>
      <x:c r="G44" s="10"/>
      <x:c r="H44" s="7"/>
      <x:c r="I44" s="7"/>
    </x:row>
    <x:row r="45" ht="20" customHeight="1">
      <x:c r="A45" s="7"/>
      <x:c r="B45" s="7"/>
      <x:c r="C45" s="7"/>
      <x:c r="D45" s="7"/>
      <x:c r="E45" s="9"/>
      <x:c r="F45" s="7"/>
      <x:c r="G45" s="10"/>
      <x:c r="H45" s="7"/>
      <x:c r="I45" s="7"/>
    </x:row>
    <x:row r="46" ht="20" customHeight="1">
      <x:c r="A46" s="7"/>
      <x:c r="B46" s="7"/>
      <x:c r="C46" s="7"/>
      <x:c r="D46" s="7"/>
      <x:c r="E46" s="9"/>
      <x:c r="F46" s="7"/>
      <x:c r="G46" s="10"/>
      <x:c r="H46" s="7"/>
      <x:c r="I46" s="7"/>
    </x:row>
    <x:row r="47" ht="20" customHeight="1">
      <x:c r="A47" s="7"/>
      <x:c r="B47" s="7"/>
      <x:c r="C47" s="7"/>
      <x:c r="D47" s="7"/>
      <x:c r="E47" s="9"/>
      <x:c r="F47" s="7"/>
      <x:c r="G47" s="10"/>
      <x:c r="H47" s="7"/>
      <x:c r="I47" s="7"/>
    </x:row>
    <x:row r="48" ht="20" customHeight="1">
      <x:c r="A48" s="7"/>
      <x:c r="B48" s="7"/>
      <x:c r="C48" s="7"/>
      <x:c r="D48" s="7"/>
      <x:c r="E48" s="9"/>
      <x:c r="F48" s="7"/>
      <x:c r="G48" s="10"/>
      <x:c r="H48" s="7"/>
      <x:c r="I48" s="7"/>
    </x:row>
    <x:row r="49" ht="20" customHeight="1">
      <x:c r="A49" s="7"/>
      <x:c r="B49" s="7"/>
      <x:c r="C49" s="7"/>
      <x:c r="D49" s="7"/>
      <x:c r="E49" s="9"/>
      <x:c r="F49" s="7"/>
      <x:c r="G49" s="10"/>
      <x:c r="H49" s="7"/>
      <x:c r="I49" s="7"/>
    </x:row>
    <x:row r="50" ht="20" customHeight="1">
      <x:c r="A50" s="7"/>
      <x:c r="B50" s="7"/>
      <x:c r="C50" s="7"/>
      <x:c r="D50" s="7"/>
      <x:c r="E50" s="9"/>
      <x:c r="F50" s="7"/>
      <x:c r="G50" s="10"/>
      <x:c r="H50" s="7"/>
      <x:c r="I50" s="7"/>
    </x:row>
    <x:row r="51" ht="20" customHeight="1">
      <x:c r="A51" s="7"/>
      <x:c r="B51" s="7"/>
      <x:c r="C51" s="7"/>
      <x:c r="D51" s="7"/>
      <x:c r="E51" s="9"/>
      <x:c r="F51" s="7"/>
      <x:c r="G51" s="10"/>
      <x:c r="H51" s="7"/>
      <x:c r="I51" s="7"/>
    </x:row>
    <x:row r="52">
      <x:c r="A52" s="111" t="s">
        <x:v>49</x:v>
      </x:c>
      <x:c r="B52" s="111"/>
      <x:c r="C52" s="111"/>
      <x:c r="D52" s="111"/>
      <x:c r="E52" s="111"/>
      <x:c r="F52" s="111"/>
      <x:c r="G52" s="7" t="n">
        <x:f>SUM(G5:G6)</x:f>
        <x:v>0</x:v>
      </x:c>
      <x:c r="H52" s="7"/>
      <x:c r="I52" s="7"/>
    </x:row>
    <x:row r="54">
      <x:c r="A54" s="112" t="s">
        <x:v>50</x:v>
      </x:c>
      <x:c r="B54" s="112" t="s">
        <x:v>2</x:v>
      </x:c>
      <x:c r="C54" s="124" t="s">
        <x:v>327</x:v>
      </x:c>
    </x:row>
    <x:row r="55">
      <x:c r="A55" s="112"/>
      <x:c r="B55" s="112"/>
      <x:c r="C55" s="124"/>
    </x:row>
    <x:row r="56">
      <x:c r="A56" s="13" t="s">
        <x:v>164</x:v>
      </x:c>
      <x:c r="B56" s="13" t="s">
        <x:v>75</x:v>
      </x:c>
      <x:c r="C56" s="19" t="e">
        <x:f>项目分类明细汇总表1月!$D$4*研发人员工时统计合计!J43</x:f>
        <x:v>#NAME?</x:v>
      </x:c>
    </x:row>
    <x:row r="57">
      <x:c r="A57" s="13" t="s">
        <x:v>165</x:v>
      </x:c>
      <x:c r="B57" s="13" t="s">
        <x:v>76</x:v>
      </x:c>
      <x:c r="C57" s="19" t="e">
        <x:f>项目分类明细汇总表1月!$D$4*研发人员工时统计合计!J44</x:f>
        <x:v>#NAME?</x:v>
      </x:c>
    </x:row>
    <x:row r="58">
      <x:c r="A58" s="13" t="s">
        <x:v>166</x:v>
      </x:c>
      <x:c r="B58" s="13" t="s">
        <x:v>77</x:v>
      </x:c>
      <x:c r="C58" s="19" t="e">
        <x:f>项目分类明细汇总表1月!$D$4*研发人员工时统计合计!J45</x:f>
        <x:v>#NAME?</x:v>
      </x:c>
    </x:row>
    <x:row r="59">
      <x:c r="A59" s="13" t="s">
        <x:v>167</x:v>
      </x:c>
      <x:c r="B59" s="13" t="s">
        <x:v>78</x:v>
      </x:c>
      <x:c r="C59" s="19" t="e">
        <x:f>项目分类明细汇总表1月!$D$4*研发人员工时统计合计!J46</x:f>
        <x:v>#NAME?</x:v>
      </x:c>
    </x:row>
    <x:row r="60">
      <x:c r="A60" s="13" t="s">
        <x:v>168</x:v>
      </x:c>
      <x:c r="B60" s="13" t="s">
        <x:v>79</x:v>
      </x:c>
      <x:c r="C60" s="19" t="e">
        <x:f>项目分类明细汇总表1月!$D$4*研发人员工时统计合计!J47</x:f>
        <x:v>#NAME?</x:v>
      </x:c>
    </x:row>
    <x:row r="61">
      <x:c r="A61" s="13" t="s">
        <x:v>169</x:v>
      </x:c>
      <x:c r="B61" s="13" t="s">
        <x:v>80</x:v>
      </x:c>
      <x:c r="C61" s="19" t="e">
        <x:f>项目分类明细汇总表1月!$D$4*研发人员工时统计合计!J48</x:f>
        <x:v>#NAME?</x:v>
      </x:c>
    </x:row>
    <x:row r="62">
      <x:c r="A62" s="13" t="s">
        <x:v>170</x:v>
      </x:c>
      <x:c r="B62" s="13" t="s">
        <x:v>81</x:v>
      </x:c>
      <x:c r="C62" s="19" t="e">
        <x:f>项目分类明细汇总表1月!$D$4*研发人员工时统计合计!J49</x:f>
        <x:v>#NAME?</x:v>
      </x:c>
    </x:row>
    <x:row r="63">
      <x:c r="A63" s="13" t="s">
        <x:v>171</x:v>
      </x:c>
      <x:c r="B63" s="13" t="s">
        <x:v>82</x:v>
      </x:c>
      <x:c r="C63" s="19" t="e">
        <x:f>项目分类明细汇总表1月!$D$4*研发人员工时统计合计!J50</x:f>
        <x:v>#NAME?</x:v>
      </x:c>
    </x:row>
    <x:row r="64">
      <x:c r="A64" s="13" t="s">
        <x:v>172</x:v>
      </x:c>
      <x:c r="B64" s="13" t="s">
        <x:v>83</x:v>
      </x:c>
      <x:c r="C64" s="19" t="e">
        <x:f>项目分类明细汇总表1月!$D$4*研发人员工时统计合计!J51</x:f>
        <x:v>#NAME?</x:v>
      </x:c>
    </x:row>
    <x:row r="65">
      <x:c r="A65" s="13" t="s">
        <x:v>173</x:v>
      </x:c>
      <x:c r="B65" s="13" t="s">
        <x:v>84</x:v>
      </x:c>
      <x:c r="C65" s="19" t="e">
        <x:f>项目分类明细汇总表1月!$D$4*研发人员工时统计合计!J52</x:f>
        <x:v>#NAME?</x:v>
      </x:c>
    </x:row>
    <x:row r="66">
      <x:c r="A66" s="13" t="s">
        <x:v>174</x:v>
      </x:c>
      <x:c r="B66" s="13" t="s">
        <x:v>85</x:v>
      </x:c>
      <x:c r="C66" s="19" t="e">
        <x:f>项目分类明细汇总表1月!$D$4*研发人员工时统计合计!J53</x:f>
        <x:v>#NAME?</x:v>
      </x:c>
    </x:row>
    <x:row r="67">
      <x:c r="A67" s="13" t="s">
        <x:v>273</x:v>
      </x:c>
      <x:c r="B67" s="13" t="s">
        <x:v>86</x:v>
      </x:c>
      <x:c r="C67" s="19" t="e">
        <x:f>项目分类明细汇总表1月!$D$4*研发人员工时统计合计!J54</x:f>
        <x:v>#NAME?</x:v>
      </x:c>
    </x:row>
    <x:row r="68">
      <x:c r="A68" s="13" t="s">
        <x:v>176</x:v>
      </x:c>
      <x:c r="B68" s="13" t="s">
        <x:v>87</x:v>
      </x:c>
      <x:c r="C68" s="19" t="e">
        <x:f>项目分类明细汇总表1月!$D$4*研发人员工时统计合计!J55</x:f>
        <x:v>#NAME?</x:v>
      </x:c>
    </x:row>
    <x:row r="69">
      <x:c r="A69" s="13" t="s">
        <x:v>177</x:v>
      </x:c>
      <x:c r="B69" s="13" t="s">
        <x:v>88</x:v>
      </x:c>
      <x:c r="C69" s="19" t="e">
        <x:f>项目分类明细汇总表1月!$D$4*研发人员工时统计合计!J56</x:f>
        <x:v>#NAME?</x:v>
      </x:c>
    </x:row>
    <x:row r="70">
      <x:c r="A70" s="13" t="s">
        <x:v>168</x:v>
      </x:c>
      <x:c r="B70" s="13" t="s">
        <x:v>89</x:v>
      </x:c>
      <x:c r="C70" s="19" t="e">
        <x:f>项目分类明细汇总表1月!$D$4*研发人员工时统计合计!J57</x:f>
        <x:v>#NAME?</x:v>
      </x:c>
    </x:row>
    <x:row r="71" ht="17">
      <x:c r="A71" s="13" t="s">
        <x:v>274</x:v>
      </x:c>
      <x:c r="B71" s="15" t="s">
        <x:v>90</x:v>
      </x:c>
      <x:c r="C71" s="19" t="e">
        <x:f>项目分类明细汇总表1月!$D$4*研发人员工时统计合计!J58</x:f>
        <x:v>#NAME?</x:v>
      </x:c>
    </x:row>
    <x:row r="72" ht="17">
      <x:c r="A72" s="13" t="s">
        <x:v>275</x:v>
      </x:c>
      <x:c r="B72" s="15" t="s">
        <x:v>19</x:v>
      </x:c>
      <x:c r="C72" s="19" t="e">
        <x:f>项目分类明细汇总表1月!$D$4*研发人员工时统计合计!J59</x:f>
        <x:v>#NAME?</x:v>
      </x:c>
    </x:row>
    <x:row r="73" ht="17">
      <x:c r="A73" s="13" t="s">
        <x:v>276</x:v>
      </x:c>
      <x:c r="B73" s="15" t="s">
        <x:v>34</x:v>
      </x:c>
      <x:c r="C73" s="19" t="e">
        <x:f>项目分类明细汇总表1月!$D$4*研发人员工时统计合计!J60</x:f>
        <x:v>#NAME?</x:v>
      </x:c>
    </x:row>
    <x:row r="74">
      <x:c r="A74" s="111" t="s">
        <x:v>49</x:v>
      </x:c>
      <x:c r="B74" s="111"/>
      <x:c r="C74" s="19" t="e">
        <x:f>SUM(C56:C73)</x:f>
        <x:v>#NAME?</x:v>
      </x:c>
    </x:row>
  </x:sheetData>
  <x:mergeCells>
    <x:mergeCell ref="A1:I1"/>
    <x:mergeCell ref="A2:C2"/>
    <x:mergeCell ref="D2:I2"/>
    <x:mergeCell ref="A52:F52"/>
    <x:mergeCell ref="A74:B74"/>
    <x:mergeCell ref="A54:A55"/>
    <x:mergeCell ref="B54:B55"/>
    <x:mergeCell ref="C54:C55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10" defaultColWidth="9" defaultRowHeight="14"/>
  <x:cols>
    <x:col min="1" max="1" width="19.83203125" customWidth="1"/>
    <x:col min="2" max="2" width="52.1640625" customWidth="1"/>
    <x:col min="3" max="3" width="30.5" customWidth="1"/>
    <x:col min="4" max="4" width="3.83203125" customWidth="1"/>
    <x:col min="6" max="6" width="67" customWidth="1"/>
    <x:col min="7" max="7" width="11.83203125" customWidth="1"/>
  </x:cols>
  <x:sheetData>
    <x:row r="1" s="1" customFormat="1" ht="34.75" customHeight="1">
      <x:c r="A1" s="133" t="s">
        <x:v>334</x:v>
      </x:c>
      <x:c r="B1" s="133"/>
      <x:c r="C1" s="133"/>
      <x:c r="D1" s="133"/>
      <x:c r="E1" s="133"/>
      <x:c r="F1" s="133"/>
      <x:c r="G1" s="133"/>
      <x:c r="H1" s="133"/>
      <x:c r="I1" s="133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</x:row>
    <x:row r="2" s="1" customFormat="1">
      <x:c r="A2" s="114" t="e">
        <x:v>#NAME?</x:v>
      </x:c>
      <x:c r="B2" s="134"/>
      <x:c r="C2" s="134"/>
      <x:c r="D2" s="135"/>
      <x:c r="E2" s="135"/>
      <x:c r="F2" s="135"/>
      <x:c r="G2" s="135"/>
      <x:c r="H2" s="135"/>
      <x:c r="I2" s="135"/>
      <x:c r="J2" s="16"/>
      <x:c r="K2" s="17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  <x:c r="W2" s="16"/>
    </x:row>
    <x:row r="3" s="1" customFormat="1">
      <x:c r="A3" s="1" t="s">
        <x:v>295</x:v>
      </x:c>
      <x:c r="B3" s="2"/>
      <x:c r="C3" s="3"/>
      <x:c r="D3" s="4" t="s">
        <x:v>296</x:v>
      </x:c>
      <x:c r="E3" s="5"/>
      <x:c r="F3" s="6" t="n">
        <x:f>G57</x:f>
        <x:v>0</x:v>
      </x:c>
      <x:c r="G3" s="5"/>
      <x:c r="I3" s="18"/>
      <x:c r="J3" s="16"/>
      <x:c r="K3" s="16"/>
      <x:c r="L3" s="17"/>
      <x:c r="M3" s="16"/>
      <x:c r="N3" s="16"/>
      <x:c r="O3" s="16"/>
      <x:c r="P3" s="16"/>
      <x:c r="Q3" s="16"/>
      <x:c r="R3" s="16"/>
      <x:c r="S3" s="16"/>
      <x:c r="T3" s="16"/>
      <x:c r="U3" s="16"/>
      <x:c r="V3" s="16"/>
      <x:c r="W3" s="16"/>
    </x:row>
    <x:row r="4" ht="20" customHeight="1">
      <x:c r="A4" s="7" t="s">
        <x:v>297</x:v>
      </x:c>
      <x:c r="B4" s="7" t="s">
        <x:v>298</x:v>
      </x:c>
      <x:c r="C4" s="7" t="s">
        <x:v>299</x:v>
      </x:c>
      <x:c r="D4" s="7" t="s">
        <x:v>300</x:v>
      </x:c>
      <x:c r="E4" s="7" t="s">
        <x:v>301</x:v>
      </x:c>
      <x:c r="F4" s="7" t="s">
        <x:v>302</x:v>
      </x:c>
      <x:c r="G4" s="7" t="s">
        <x:v>303</x:v>
      </x:c>
      <x:c r="H4" s="8" t="s">
        <x:v>93</x:v>
      </x:c>
      <x:c r="I4" s="8" t="s">
        <x:v>304</x:v>
      </x:c>
    </x:row>
    <x:row r="5" ht="20" customHeight="1">
      <x:c r="A5" s="7" t="s">
        <x:v>335</x:v>
      </x:c>
      <x:c r="B5" s="7" t="s">
        <x:v>306</x:v>
      </x:c>
      <x:c r="C5" s="7" t="s">
        <x:v>311</x:v>
      </x:c>
      <x:c r="D5" s="7" t="s">
        <x:v>308</x:v>
      </x:c>
      <x:c r="E5" s="9">
        <x:v>40</x:v>
      </x:c>
      <x:c r="F5" s="7" t="s">
        <x:v>336</x:v>
      </x:c>
      <x:c r="G5" s="10"/>
      <x:c r="H5" s="7"/>
      <x:c r="I5" s="7"/>
      <x:c r="J5" s="20"/>
    </x:row>
    <x:row r="6" ht="20" customHeight="1">
      <x:c r="A6" s="7" t="s">
        <x:v>337</x:v>
      </x:c>
      <x:c r="B6" s="7" t="s">
        <x:v>306</x:v>
      </x:c>
      <x:c r="C6" s="7" t="s">
        <x:v>311</x:v>
      </x:c>
      <x:c r="D6" s="7" t="s">
        <x:v>308</x:v>
      </x:c>
      <x:c r="E6" s="9">
        <x:v>93</x:v>
      </x:c>
      <x:c r="F6" s="7" t="s">
        <x:v>338</x:v>
      </x:c>
      <x:c r="G6" s="10"/>
      <x:c r="H6" s="7"/>
      <x:c r="I6" s="7"/>
      <x:c r="J6" s="20"/>
    </x:row>
    <x:row r="7" ht="20" customHeight="1">
      <x:c r="A7" s="7" t="s">
        <x:v>339</x:v>
      </x:c>
      <x:c r="B7" s="7" t="s">
        <x:v>306</x:v>
      </x:c>
      <x:c r="C7" s="7" t="s">
        <x:v>320</x:v>
      </x:c>
      <x:c r="D7" s="7" t="s">
        <x:v>308</x:v>
      </x:c>
      <x:c r="E7" s="9">
        <x:v>17</x:v>
      </x:c>
      <x:c r="F7" s="7" t="s">
        <x:v>340</x:v>
      </x:c>
      <x:c r="G7" s="10"/>
      <x:c r="H7" s="7"/>
      <x:c r="I7" s="7"/>
      <x:c r="J7" s="20"/>
    </x:row>
    <x:row r="8" ht="20" customHeight="1">
      <x:c r="A8" s="7"/>
      <x:c r="B8" s="7"/>
      <x:c r="C8" s="7"/>
      <x:c r="D8" s="7"/>
      <x:c r="E8" s="9"/>
      <x:c r="F8" s="7"/>
      <x:c r="G8" s="10"/>
      <x:c r="H8" s="7"/>
      <x:c r="I8" s="7"/>
    </x:row>
    <x:row r="9" ht="20" customHeight="1">
      <x:c r="A9" s="7"/>
      <x:c r="B9" s="7"/>
      <x:c r="C9" s="7"/>
      <x:c r="D9" s="7"/>
      <x:c r="E9" s="9"/>
      <x:c r="F9" s="7"/>
      <x:c r="G9" s="10"/>
      <x:c r="H9" s="7"/>
      <x:c r="I9" s="7"/>
    </x:row>
    <x:row r="10" ht="20" customHeight="1">
      <x:c r="A10" s="7"/>
      <x:c r="B10" s="7"/>
      <x:c r="C10" s="7"/>
      <x:c r="D10" s="7"/>
      <x:c r="E10" s="9"/>
      <x:c r="F10" s="7"/>
      <x:c r="G10" s="10"/>
      <x:c r="H10" s="7"/>
      <x:c r="I10" s="7"/>
    </x:row>
    <x:row r="11" ht="20" customHeight="1">
      <x:c r="A11" s="7"/>
      <x:c r="B11" s="7"/>
      <x:c r="C11" s="7"/>
      <x:c r="D11" s="7"/>
      <x:c r="E11" s="9"/>
      <x:c r="F11" s="7"/>
      <x:c r="G11" s="10"/>
      <x:c r="H11" s="7"/>
      <x:c r="I11" s="7"/>
    </x:row>
    <x:row r="12" ht="20" customHeight="1">
      <x:c r="A12" s="7"/>
      <x:c r="B12" s="7"/>
      <x:c r="C12" s="7"/>
      <x:c r="D12" s="7"/>
      <x:c r="E12" s="9"/>
      <x:c r="F12" s="7"/>
      <x:c r="G12" s="10"/>
      <x:c r="H12" s="7"/>
      <x:c r="I12" s="7"/>
    </x:row>
    <x:row r="13" ht="20" customHeight="1">
      <x:c r="A13" s="7"/>
      <x:c r="B13" s="7"/>
      <x:c r="C13" s="7"/>
      <x:c r="D13" s="7"/>
      <x:c r="E13" s="9"/>
      <x:c r="F13" s="7"/>
      <x:c r="G13" s="10"/>
      <x:c r="H13" s="7"/>
      <x:c r="I13" s="7"/>
    </x:row>
    <x:row r="14" ht="20" customHeight="1">
      <x:c r="A14" s="7"/>
      <x:c r="B14" s="7"/>
      <x:c r="C14" s="7"/>
      <x:c r="D14" s="7"/>
      <x:c r="E14" s="9"/>
      <x:c r="F14" s="7"/>
      <x:c r="G14" s="10"/>
      <x:c r="H14" s="7"/>
      <x:c r="I14" s="7"/>
    </x:row>
    <x:row r="15" ht="20" customHeight="1">
      <x:c r="A15" s="7"/>
      <x:c r="B15" s="7"/>
      <x:c r="C15" s="7"/>
      <x:c r="D15" s="7"/>
      <x:c r="E15" s="9"/>
      <x:c r="F15" s="7"/>
      <x:c r="G15" s="10"/>
      <x:c r="H15" s="7"/>
      <x:c r="I15" s="7"/>
    </x:row>
    <x:row r="16" ht="20" customHeight="1">
      <x:c r="A16" s="7"/>
      <x:c r="B16" s="7"/>
      <x:c r="C16" s="7"/>
      <x:c r="D16" s="7"/>
      <x:c r="E16" s="9"/>
      <x:c r="F16" s="7"/>
      <x:c r="G16" s="10"/>
      <x:c r="H16" s="7"/>
      <x:c r="I16" s="7"/>
    </x:row>
    <x:row r="17" ht="20" customHeight="1">
      <x:c r="A17" s="7"/>
      <x:c r="B17" s="7"/>
      <x:c r="C17" s="7"/>
      <x:c r="D17" s="7"/>
      <x:c r="E17" s="9"/>
      <x:c r="F17" s="7"/>
      <x:c r="G17" s="10"/>
      <x:c r="H17" s="7"/>
      <x:c r="I17" s="7"/>
    </x:row>
    <x:row r="18" ht="20" customHeight="1">
      <x:c r="A18" s="7"/>
      <x:c r="B18" s="7"/>
      <x:c r="C18" s="7"/>
      <x:c r="D18" s="7"/>
      <x:c r="E18" s="9"/>
      <x:c r="F18" s="7"/>
      <x:c r="G18" s="10"/>
      <x:c r="H18" s="7"/>
      <x:c r="I18" s="7"/>
    </x:row>
    <x:row r="19" ht="20" customHeight="1">
      <x:c r="A19" s="7"/>
      <x:c r="B19" s="7"/>
      <x:c r="C19" s="7"/>
      <x:c r="D19" s="7"/>
      <x:c r="E19" s="9"/>
      <x:c r="F19" s="7"/>
      <x:c r="G19" s="10"/>
      <x:c r="H19" s="7"/>
      <x:c r="I19" s="7"/>
    </x:row>
    <x:row r="20" ht="20" customHeight="1">
      <x:c r="A20" s="7"/>
      <x:c r="B20" s="7"/>
      <x:c r="C20" s="7"/>
      <x:c r="D20" s="7"/>
      <x:c r="E20" s="9"/>
      <x:c r="F20" s="7"/>
      <x:c r="G20" s="10"/>
      <x:c r="H20" s="7"/>
      <x:c r="I20" s="7"/>
    </x:row>
    <x:row r="21" ht="20" customHeight="1">
      <x:c r="A21" s="7"/>
      <x:c r="B21" s="7"/>
      <x:c r="C21" s="7"/>
      <x:c r="D21" s="7"/>
      <x:c r="E21" s="9"/>
      <x:c r="F21" s="7"/>
      <x:c r="G21" s="10"/>
      <x:c r="H21" s="7"/>
      <x:c r="I21" s="7"/>
    </x:row>
    <x:row r="22" ht="20" customHeight="1">
      <x:c r="A22" s="7"/>
      <x:c r="B22" s="7"/>
      <x:c r="C22" s="7"/>
      <x:c r="D22" s="7"/>
      <x:c r="E22" s="9"/>
      <x:c r="F22" s="7"/>
      <x:c r="G22" s="10"/>
      <x:c r="H22" s="7"/>
      <x:c r="I22" s="7"/>
    </x:row>
    <x:row r="23" ht="20" customHeight="1">
      <x:c r="A23" s="7"/>
      <x:c r="B23" s="7"/>
      <x:c r="C23" s="7"/>
      <x:c r="D23" s="7"/>
      <x:c r="E23" s="9"/>
      <x:c r="F23" s="7"/>
      <x:c r="G23" s="10"/>
      <x:c r="H23" s="7"/>
      <x:c r="I23" s="7"/>
    </x:row>
    <x:row r="24" ht="20" customHeight="1">
      <x:c r="A24" s="7"/>
      <x:c r="B24" s="7"/>
      <x:c r="C24" s="7"/>
      <x:c r="D24" s="7"/>
      <x:c r="E24" s="9"/>
      <x:c r="F24" s="7"/>
      <x:c r="G24" s="10"/>
      <x:c r="H24" s="7"/>
      <x:c r="I24" s="7"/>
    </x:row>
    <x:row r="25" ht="20" customHeight="1">
      <x:c r="A25" s="7"/>
      <x:c r="B25" s="7"/>
      <x:c r="C25" s="7"/>
      <x:c r="D25" s="7"/>
      <x:c r="E25" s="9"/>
      <x:c r="F25" s="7"/>
      <x:c r="G25" s="10"/>
      <x:c r="H25" s="7"/>
      <x:c r="I25" s="7"/>
    </x:row>
    <x:row r="26" ht="20" customHeight="1">
      <x:c r="A26" s="7"/>
      <x:c r="B26" s="7"/>
      <x:c r="C26" s="7"/>
      <x:c r="D26" s="7"/>
      <x:c r="E26" s="9"/>
      <x:c r="F26" s="7"/>
      <x:c r="G26" s="10"/>
      <x:c r="H26" s="7"/>
      <x:c r="I26" s="7"/>
    </x:row>
    <x:row r="27" ht="20" customHeight="1">
      <x:c r="A27" s="7"/>
      <x:c r="B27" s="7"/>
      <x:c r="C27" s="7"/>
      <x:c r="D27" s="7"/>
      <x:c r="E27" s="9"/>
      <x:c r="F27" s="7"/>
      <x:c r="G27" s="10"/>
      <x:c r="H27" s="7"/>
      <x:c r="I27" s="7"/>
    </x:row>
    <x:row r="28" ht="20" customHeight="1">
      <x:c r="A28" s="7"/>
      <x:c r="B28" s="7"/>
      <x:c r="C28" s="7"/>
      <x:c r="D28" s="7"/>
      <x:c r="E28" s="9"/>
      <x:c r="F28" s="7"/>
      <x:c r="G28" s="10"/>
      <x:c r="H28" s="7"/>
      <x:c r="I28" s="7"/>
    </x:row>
    <x:row r="29" ht="20" customHeight="1">
      <x:c r="A29" s="7"/>
      <x:c r="B29" s="7"/>
      <x:c r="C29" s="7"/>
      <x:c r="D29" s="7"/>
      <x:c r="E29" s="9"/>
      <x:c r="F29" s="7"/>
      <x:c r="G29" s="10"/>
      <x:c r="H29" s="7"/>
      <x:c r="I29" s="7"/>
    </x:row>
    <x:row r="30" ht="20" customHeight="1">
      <x:c r="A30" s="7"/>
      <x:c r="B30" s="7"/>
      <x:c r="C30" s="7"/>
      <x:c r="D30" s="7"/>
      <x:c r="E30" s="9"/>
      <x:c r="F30" s="7"/>
      <x:c r="G30" s="10"/>
      <x:c r="H30" s="7"/>
      <x:c r="I30" s="7"/>
    </x:row>
    <x:row r="31" ht="20" customHeight="1">
      <x:c r="A31" s="7"/>
      <x:c r="B31" s="7"/>
      <x:c r="C31" s="7"/>
      <x:c r="D31" s="7"/>
      <x:c r="E31" s="9"/>
      <x:c r="F31" s="7"/>
      <x:c r="G31" s="10"/>
      <x:c r="H31" s="7"/>
      <x:c r="I31" s="7"/>
    </x:row>
    <x:row r="32" ht="20" customHeight="1">
      <x:c r="A32" s="7"/>
      <x:c r="B32" s="7"/>
      <x:c r="C32" s="7"/>
      <x:c r="D32" s="7"/>
      <x:c r="E32" s="9"/>
      <x:c r="F32" s="7"/>
      <x:c r="G32" s="10"/>
      <x:c r="H32" s="7"/>
      <x:c r="I32" s="7"/>
    </x:row>
    <x:row r="33" ht="20" customHeight="1">
      <x:c r="A33" s="7"/>
      <x:c r="B33" s="7"/>
      <x:c r="C33" s="7"/>
      <x:c r="D33" s="7"/>
      <x:c r="E33" s="9"/>
      <x:c r="F33" s="7"/>
      <x:c r="G33" s="10"/>
      <x:c r="H33" s="7"/>
      <x:c r="I33" s="7"/>
    </x:row>
    <x:row r="34" ht="20" customHeight="1">
      <x:c r="A34" s="7"/>
      <x:c r="B34" s="7"/>
      <x:c r="C34" s="7"/>
      <x:c r="D34" s="7"/>
      <x:c r="E34" s="9"/>
      <x:c r="F34" s="7"/>
      <x:c r="G34" s="10"/>
      <x:c r="H34" s="7"/>
      <x:c r="I34" s="7"/>
    </x:row>
    <x:row r="35" ht="20" customHeight="1">
      <x:c r="A35" s="7"/>
      <x:c r="B35" s="7"/>
      <x:c r="C35" s="7"/>
      <x:c r="D35" s="7"/>
      <x:c r="E35" s="9"/>
      <x:c r="F35" s="7"/>
      <x:c r="G35" s="10"/>
      <x:c r="H35" s="7"/>
      <x:c r="I35" s="7"/>
    </x:row>
    <x:row r="36" ht="20" customHeight="1">
      <x:c r="A36" s="7"/>
      <x:c r="B36" s="7"/>
      <x:c r="C36" s="7"/>
      <x:c r="D36" s="7"/>
      <x:c r="E36" s="9"/>
      <x:c r="F36" s="7"/>
      <x:c r="G36" s="10"/>
      <x:c r="H36" s="7"/>
      <x:c r="I36" s="7"/>
    </x:row>
    <x:row r="37" ht="20" customHeight="1">
      <x:c r="A37" s="7"/>
      <x:c r="B37" s="7"/>
      <x:c r="C37" s="7"/>
      <x:c r="D37" s="7"/>
      <x:c r="E37" s="9"/>
      <x:c r="F37" s="7"/>
      <x:c r="G37" s="10"/>
      <x:c r="H37" s="7"/>
      <x:c r="I37" s="7"/>
    </x:row>
    <x:row r="38" ht="20" customHeight="1">
      <x:c r="A38" s="7"/>
      <x:c r="B38" s="7"/>
      <x:c r="C38" s="7"/>
      <x:c r="D38" s="7"/>
      <x:c r="E38" s="9"/>
      <x:c r="F38" s="7"/>
      <x:c r="G38" s="10"/>
      <x:c r="H38" s="7"/>
      <x:c r="I38" s="7"/>
    </x:row>
    <x:row r="39" ht="20" customHeight="1">
      <x:c r="A39" s="7"/>
      <x:c r="B39" s="7"/>
      <x:c r="C39" s="7"/>
      <x:c r="D39" s="7"/>
      <x:c r="E39" s="9"/>
      <x:c r="F39" s="7"/>
      <x:c r="G39" s="10"/>
      <x:c r="H39" s="7"/>
      <x:c r="I39" s="7"/>
    </x:row>
    <x:row r="40" ht="20" customHeight="1">
      <x:c r="A40" s="7"/>
      <x:c r="B40" s="7"/>
      <x:c r="C40" s="7"/>
      <x:c r="D40" s="7"/>
      <x:c r="E40" s="9"/>
      <x:c r="F40" s="7"/>
      <x:c r="G40" s="10"/>
      <x:c r="H40" s="7"/>
      <x:c r="I40" s="7"/>
    </x:row>
    <x:row r="41" ht="20" customHeight="1">
      <x:c r="A41" s="7"/>
      <x:c r="B41" s="7"/>
      <x:c r="C41" s="7"/>
      <x:c r="D41" s="7"/>
      <x:c r="E41" s="9"/>
      <x:c r="F41" s="7"/>
      <x:c r="G41" s="10"/>
      <x:c r="H41" s="7"/>
      <x:c r="I41" s="7"/>
    </x:row>
    <x:row r="42" ht="20" customHeight="1">
      <x:c r="A42" s="7"/>
      <x:c r="B42" s="7"/>
      <x:c r="C42" s="7"/>
      <x:c r="D42" s="7"/>
      <x:c r="E42" s="9"/>
      <x:c r="F42" s="7"/>
      <x:c r="G42" s="10"/>
      <x:c r="H42" s="7"/>
      <x:c r="I42" s="7"/>
    </x:row>
    <x:row r="43" ht="20" customHeight="1">
      <x:c r="A43" s="7"/>
      <x:c r="B43" s="7"/>
      <x:c r="C43" s="7"/>
      <x:c r="D43" s="7"/>
      <x:c r="E43" s="9"/>
      <x:c r="F43" s="7"/>
      <x:c r="G43" s="10"/>
      <x:c r="H43" s="7"/>
      <x:c r="I43" s="7"/>
    </x:row>
    <x:row r="44" ht="20" customHeight="1">
      <x:c r="A44" s="7"/>
      <x:c r="B44" s="7"/>
      <x:c r="C44" s="7"/>
      <x:c r="D44" s="7"/>
      <x:c r="E44" s="9"/>
      <x:c r="F44" s="7"/>
      <x:c r="G44" s="10"/>
      <x:c r="H44" s="7"/>
      <x:c r="I44" s="7"/>
    </x:row>
    <x:row r="45" ht="20" customHeight="1">
      <x:c r="A45" s="7"/>
      <x:c r="B45" s="7"/>
      <x:c r="C45" s="7"/>
      <x:c r="D45" s="7"/>
      <x:c r="E45" s="9"/>
      <x:c r="F45" s="7"/>
      <x:c r="G45" s="10"/>
      <x:c r="H45" s="7"/>
      <x:c r="I45" s="7"/>
    </x:row>
    <x:row r="46" ht="20" customHeight="1">
      <x:c r="A46" s="7"/>
      <x:c r="B46" s="7"/>
      <x:c r="C46" s="7"/>
      <x:c r="D46" s="7"/>
      <x:c r="E46" s="9"/>
      <x:c r="F46" s="7"/>
      <x:c r="G46" s="10"/>
      <x:c r="H46" s="7"/>
      <x:c r="I46" s="7"/>
    </x:row>
    <x:row r="47" ht="20" customHeight="1">
      <x:c r="A47" s="7"/>
      <x:c r="B47" s="7"/>
      <x:c r="C47" s="7"/>
      <x:c r="D47" s="7"/>
      <x:c r="E47" s="9"/>
      <x:c r="F47" s="7"/>
      <x:c r="G47" s="10"/>
      <x:c r="H47" s="7"/>
      <x:c r="I47" s="7"/>
    </x:row>
    <x:row r="48" ht="20" customHeight="1">
      <x:c r="A48" s="7"/>
      <x:c r="B48" s="7"/>
      <x:c r="C48" s="7"/>
      <x:c r="D48" s="7"/>
      <x:c r="E48" s="9"/>
      <x:c r="F48" s="7"/>
      <x:c r="G48" s="10"/>
      <x:c r="H48" s="7"/>
      <x:c r="I48" s="7"/>
    </x:row>
    <x:row r="49" ht="20" customHeight="1">
      <x:c r="A49" s="7"/>
      <x:c r="B49" s="7"/>
      <x:c r="C49" s="7"/>
      <x:c r="D49" s="7"/>
      <x:c r="E49" s="9"/>
      <x:c r="F49" s="7"/>
      <x:c r="G49" s="10"/>
      <x:c r="H49" s="7"/>
      <x:c r="I49" s="7"/>
    </x:row>
    <x:row r="50" ht="20" customHeight="1">
      <x:c r="A50" s="7"/>
      <x:c r="B50" s="7"/>
      <x:c r="C50" s="7"/>
      <x:c r="D50" s="7"/>
      <x:c r="E50" s="9"/>
      <x:c r="F50" s="7"/>
      <x:c r="G50" s="10"/>
      <x:c r="H50" s="7"/>
      <x:c r="I50" s="7"/>
    </x:row>
    <x:row r="51" ht="20" customHeight="1">
      <x:c r="A51" s="7"/>
      <x:c r="B51" s="7"/>
      <x:c r="C51" s="7"/>
      <x:c r="D51" s="7"/>
      <x:c r="E51" s="9"/>
      <x:c r="F51" s="7"/>
      <x:c r="G51" s="10"/>
      <x:c r="H51" s="7"/>
      <x:c r="I51" s="7"/>
    </x:row>
    <x:row r="52" ht="20" customHeight="1">
      <x:c r="A52" s="7"/>
      <x:c r="B52" s="7"/>
      <x:c r="C52" s="7"/>
      <x:c r="D52" s="7"/>
      <x:c r="E52" s="9"/>
      <x:c r="F52" s="7"/>
      <x:c r="G52" s="10"/>
      <x:c r="H52" s="7"/>
      <x:c r="I52" s="7"/>
    </x:row>
    <x:row r="53" ht="20" customHeight="1">
      <x:c r="A53" s="7"/>
      <x:c r="B53" s="7"/>
      <x:c r="C53" s="7"/>
      <x:c r="D53" s="7"/>
      <x:c r="E53" s="9"/>
      <x:c r="F53" s="7"/>
      <x:c r="G53" s="10"/>
      <x:c r="H53" s="7"/>
      <x:c r="I53" s="7"/>
    </x:row>
    <x:row r="54" ht="20" customHeight="1">
      <x:c r="A54" s="7"/>
      <x:c r="B54" s="7"/>
      <x:c r="C54" s="7"/>
      <x:c r="D54" s="7"/>
      <x:c r="E54" s="9"/>
      <x:c r="F54" s="7"/>
      <x:c r="G54" s="10"/>
      <x:c r="H54" s="7"/>
      <x:c r="I54" s="7"/>
    </x:row>
    <x:row r="55" ht="20" customHeight="1">
      <x:c r="A55" s="7"/>
      <x:c r="B55" s="7"/>
      <x:c r="C55" s="7"/>
      <x:c r="D55" s="7"/>
      <x:c r="E55" s="9"/>
      <x:c r="F55" s="7"/>
      <x:c r="G55" s="10"/>
      <x:c r="H55" s="7"/>
      <x:c r="I55" s="7"/>
    </x:row>
    <x:row r="56" ht="20" customHeight="1">
      <x:c r="A56" s="7"/>
      <x:c r="B56" s="7"/>
      <x:c r="C56" s="7"/>
      <x:c r="D56" s="7"/>
      <x:c r="E56" s="9"/>
      <x:c r="F56" s="7"/>
      <x:c r="G56" s="10"/>
      <x:c r="H56" s="7"/>
      <x:c r="I56" s="7"/>
    </x:row>
    <x:row r="57">
      <x:c r="A57" s="111" t="s">
        <x:v>49</x:v>
      </x:c>
      <x:c r="B57" s="111"/>
      <x:c r="C57" s="111"/>
      <x:c r="D57" s="111"/>
      <x:c r="E57" s="111"/>
      <x:c r="F57" s="111"/>
      <x:c r="G57" s="19" t="n">
        <x:f>SUM(G5:G5)</x:f>
        <x:v>0</x:v>
      </x:c>
      <x:c r="H57" s="7"/>
      <x:c r="I57" s="7"/>
    </x:row>
    <x:row r="59">
      <x:c r="A59" s="112" t="s">
        <x:v>50</x:v>
      </x:c>
      <x:c r="B59" s="112" t="s">
        <x:v>2</x:v>
      </x:c>
      <x:c r="C59" s="124" t="s">
        <x:v>327</x:v>
      </x:c>
    </x:row>
    <x:row r="60">
      <x:c r="A60" s="112"/>
      <x:c r="B60" s="112"/>
      <x:c r="C60" s="124"/>
    </x:row>
    <x:row r="61">
      <x:c r="A61" s="13" t="s">
        <x:v>164</x:v>
      </x:c>
      <x:c r="B61" s="13" t="s">
        <x:v>75</x:v>
      </x:c>
      <x:c r="C61" s="19" t="e">
        <x:f>项目分类明细汇总表1月!$D$5*研发人员工时统计合计!J43</x:f>
        <x:v>#NAME?</x:v>
      </x:c>
    </x:row>
    <x:row r="62">
      <x:c r="A62" s="13" t="s">
        <x:v>165</x:v>
      </x:c>
      <x:c r="B62" s="13" t="s">
        <x:v>76</x:v>
      </x:c>
      <x:c r="C62" s="19" t="e">
        <x:f>项目分类明细汇总表1月!$D$5*研发人员工时统计合计!J44</x:f>
        <x:v>#NAME?</x:v>
      </x:c>
    </x:row>
    <x:row r="63">
      <x:c r="A63" s="13" t="s">
        <x:v>166</x:v>
      </x:c>
      <x:c r="B63" s="13" t="s">
        <x:v>77</x:v>
      </x:c>
      <x:c r="C63" s="19" t="e">
        <x:f>项目分类明细汇总表1月!$D$5*研发人员工时统计合计!J45</x:f>
        <x:v>#NAME?</x:v>
      </x:c>
    </x:row>
    <x:row r="64">
      <x:c r="A64" s="13" t="s">
        <x:v>167</x:v>
      </x:c>
      <x:c r="B64" s="13" t="s">
        <x:v>78</x:v>
      </x:c>
      <x:c r="C64" s="19" t="e">
        <x:f>项目分类明细汇总表1月!$D$5*研发人员工时统计合计!J46</x:f>
        <x:v>#NAME?</x:v>
      </x:c>
    </x:row>
    <x:row r="65">
      <x:c r="A65" s="13" t="s">
        <x:v>168</x:v>
      </x:c>
      <x:c r="B65" s="13" t="s">
        <x:v>79</x:v>
      </x:c>
      <x:c r="C65" s="19" t="e">
        <x:f>项目分类明细汇总表1月!$D$5*研发人员工时统计合计!J47</x:f>
        <x:v>#NAME?</x:v>
      </x:c>
    </x:row>
    <x:row r="66">
      <x:c r="A66" s="13" t="s">
        <x:v>169</x:v>
      </x:c>
      <x:c r="B66" s="13" t="s">
        <x:v>80</x:v>
      </x:c>
      <x:c r="C66" s="19" t="e">
        <x:f>项目分类明细汇总表1月!$D$5*研发人员工时统计合计!J48</x:f>
        <x:v>#NAME?</x:v>
      </x:c>
    </x:row>
    <x:row r="67">
      <x:c r="A67" s="13" t="s">
        <x:v>170</x:v>
      </x:c>
      <x:c r="B67" s="13" t="s">
        <x:v>81</x:v>
      </x:c>
      <x:c r="C67" s="19" t="e">
        <x:f>项目分类明细汇总表1月!$D$5*研发人员工时统计合计!J49</x:f>
        <x:v>#NAME?</x:v>
      </x:c>
    </x:row>
    <x:row r="68">
      <x:c r="A68" s="13" t="s">
        <x:v>171</x:v>
      </x:c>
      <x:c r="B68" s="13" t="s">
        <x:v>82</x:v>
      </x:c>
      <x:c r="C68" s="19" t="e">
        <x:f>项目分类明细汇总表1月!$D$5*研发人员工时统计合计!J50</x:f>
        <x:v>#NAME?</x:v>
      </x:c>
    </x:row>
    <x:row r="69">
      <x:c r="A69" s="13" t="s">
        <x:v>172</x:v>
      </x:c>
      <x:c r="B69" s="13" t="s">
        <x:v>83</x:v>
      </x:c>
      <x:c r="C69" s="19" t="e">
        <x:f>项目分类明细汇总表1月!$D$5*研发人员工时统计合计!J51</x:f>
        <x:v>#NAME?</x:v>
      </x:c>
    </x:row>
    <x:row r="70">
      <x:c r="A70" s="13" t="s">
        <x:v>173</x:v>
      </x:c>
      <x:c r="B70" s="13" t="s">
        <x:v>84</x:v>
      </x:c>
      <x:c r="C70" s="19" t="e">
        <x:f>项目分类明细汇总表1月!$D$5*研发人员工时统计合计!J52</x:f>
        <x:v>#NAME?</x:v>
      </x:c>
    </x:row>
    <x:row r="71">
      <x:c r="A71" s="13" t="s">
        <x:v>174</x:v>
      </x:c>
      <x:c r="B71" s="13" t="s">
        <x:v>85</x:v>
      </x:c>
      <x:c r="C71" s="19" t="e">
        <x:f>项目分类明细汇总表1月!$D$5*研发人员工时统计合计!J53</x:f>
        <x:v>#NAME?</x:v>
      </x:c>
    </x:row>
    <x:row r="72">
      <x:c r="A72" s="13" t="s">
        <x:v>273</x:v>
      </x:c>
      <x:c r="B72" s="13" t="s">
        <x:v>86</x:v>
      </x:c>
      <x:c r="C72" s="19" t="e">
        <x:f>项目分类明细汇总表1月!$D$5*研发人员工时统计合计!J54</x:f>
        <x:v>#NAME?</x:v>
      </x:c>
    </x:row>
    <x:row r="73">
      <x:c r="A73" s="13" t="s">
        <x:v>176</x:v>
      </x:c>
      <x:c r="B73" s="13" t="s">
        <x:v>87</x:v>
      </x:c>
      <x:c r="C73" s="19" t="e">
        <x:f>项目分类明细汇总表1月!$D$5*研发人员工时统计合计!J55</x:f>
        <x:v>#NAME?</x:v>
      </x:c>
    </x:row>
    <x:row r="74">
      <x:c r="A74" s="13" t="s">
        <x:v>177</x:v>
      </x:c>
      <x:c r="B74" s="13" t="s">
        <x:v>88</x:v>
      </x:c>
      <x:c r="C74" s="19" t="e">
        <x:f>项目分类明细汇总表1月!$D$5*研发人员工时统计合计!J56</x:f>
        <x:v>#NAME?</x:v>
      </x:c>
    </x:row>
    <x:row r="75">
      <x:c r="A75" s="13" t="s">
        <x:v>168</x:v>
      </x:c>
      <x:c r="B75" s="13" t="s">
        <x:v>89</x:v>
      </x:c>
      <x:c r="C75" s="19" t="e">
        <x:f>项目分类明细汇总表1月!$D$5*研发人员工时统计合计!J57</x:f>
        <x:v>#NAME?</x:v>
      </x:c>
    </x:row>
    <x:row r="76" ht="17">
      <x:c r="A76" s="13" t="s">
        <x:v>274</x:v>
      </x:c>
      <x:c r="B76" s="15" t="s">
        <x:v>90</x:v>
      </x:c>
      <x:c r="C76" s="19" t="e">
        <x:f>项目分类明细汇总表1月!$D$5*研发人员工时统计合计!J58</x:f>
        <x:v>#NAME?</x:v>
      </x:c>
    </x:row>
    <x:row r="77" ht="17">
      <x:c r="A77" s="13" t="s">
        <x:v>275</x:v>
      </x:c>
      <x:c r="B77" s="15" t="s">
        <x:v>19</x:v>
      </x:c>
      <x:c r="C77" s="19" t="e">
        <x:f>项目分类明细汇总表1月!$D$5*研发人员工时统计合计!J59</x:f>
        <x:v>#NAME?</x:v>
      </x:c>
    </x:row>
    <x:row r="78" ht="17">
      <x:c r="A78" s="13" t="s">
        <x:v>276</x:v>
      </x:c>
      <x:c r="B78" s="15" t="s">
        <x:v>34</x:v>
      </x:c>
      <x:c r="C78" s="19" t="e">
        <x:f>项目分类明细汇总表1月!$D$5*研发人员工时统计合计!J60</x:f>
        <x:v>#NAME?</x:v>
      </x:c>
    </x:row>
    <x:row r="79">
      <x:c r="A79" s="111" t="s">
        <x:v>49</x:v>
      </x:c>
      <x:c r="B79" s="111"/>
      <x:c r="C79" s="19" t="e">
        <x:f>SUM(C61:C78)</x:f>
        <x:v>#NAME?</x:v>
      </x:c>
    </x:row>
  </x:sheetData>
  <x:mergeCells>
    <x:mergeCell ref="A1:I1"/>
    <x:mergeCell ref="A2:C2"/>
    <x:mergeCell ref="D2:I2"/>
    <x:mergeCell ref="A57:F57"/>
    <x:mergeCell ref="A79:B79"/>
    <x:mergeCell ref="A59:A60"/>
    <x:mergeCell ref="B59:B60"/>
    <x:mergeCell ref="C59:C60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10" defaultColWidth="9" defaultRowHeight="14"/>
  <x:cols>
    <x:col min="1" max="1" width="16.33203125" customWidth="1"/>
    <x:col min="2" max="2" width="28.1640625" customWidth="1"/>
    <x:col min="3" max="3" width="19.5" customWidth="1"/>
    <x:col min="6" max="6" width="56" customWidth="1"/>
    <x:col min="7" max="7" width="17.83203125" customWidth="1"/>
    <x:col min="10" max="10" width="10.33203125" customWidth="0"/>
  </x:cols>
  <x:sheetData>
    <x:row r="1" s="1" customFormat="1" ht="34.75" customHeight="1">
      <x:c r="A1" s="133" t="s">
        <x:v>341</x:v>
      </x:c>
      <x:c r="B1" s="133"/>
      <x:c r="C1" s="133"/>
      <x:c r="D1" s="133"/>
      <x:c r="E1" s="133"/>
      <x:c r="F1" s="133"/>
      <x:c r="G1" s="133"/>
      <x:c r="H1" s="133"/>
      <x:c r="I1" s="133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</x:row>
    <x:row r="2" s="1" customFormat="1">
      <x:c r="A2" s="114" t="e">
        <x:v>#NAME?</x:v>
      </x:c>
      <x:c r="B2" s="134"/>
      <x:c r="C2" s="134"/>
      <x:c r="D2" s="135"/>
      <x:c r="E2" s="135"/>
      <x:c r="F2" s="135"/>
      <x:c r="G2" s="135"/>
      <x:c r="H2" s="135"/>
      <x:c r="I2" s="135"/>
      <x:c r="J2" s="16"/>
      <x:c r="K2" s="17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  <x:c r="W2" s="16"/>
    </x:row>
    <x:row r="3" s="1" customFormat="1" ht="29.25" customHeight="1">
      <x:c r="A3" s="1" t="s">
        <x:v>295</x:v>
      </x:c>
      <x:c r="B3" s="2"/>
      <x:c r="C3" s="3"/>
      <x:c r="D3" s="4" t="s">
        <x:v>296</x:v>
      </x:c>
      <x:c r="E3" s="5"/>
      <x:c r="F3" s="6" t="n">
        <x:f>G78</x:f>
        <x:v>0</x:v>
      </x:c>
      <x:c r="G3" s="5"/>
      <x:c r="I3" s="18"/>
      <x:c r="J3" s="16"/>
      <x:c r="K3" s="16"/>
      <x:c r="L3" s="17"/>
      <x:c r="M3" s="16"/>
      <x:c r="N3" s="16"/>
      <x:c r="O3" s="16"/>
      <x:c r="P3" s="16"/>
      <x:c r="Q3" s="16"/>
      <x:c r="R3" s="16"/>
      <x:c r="S3" s="16"/>
      <x:c r="T3" s="16"/>
      <x:c r="U3" s="16"/>
      <x:c r="V3" s="16"/>
      <x:c r="W3" s="16"/>
    </x:row>
    <x:row r="4" ht="20" customHeight="1">
      <x:c r="A4" s="7" t="s">
        <x:v>297</x:v>
      </x:c>
      <x:c r="B4" s="7" t="s">
        <x:v>298</x:v>
      </x:c>
      <x:c r="C4" s="7" t="s">
        <x:v>299</x:v>
      </x:c>
      <x:c r="D4" s="7" t="s">
        <x:v>300</x:v>
      </x:c>
      <x:c r="E4" s="7" t="s">
        <x:v>301</x:v>
      </x:c>
      <x:c r="F4" s="7" t="s">
        <x:v>302</x:v>
      </x:c>
      <x:c r="G4" s="7" t="s">
        <x:v>303</x:v>
      </x:c>
      <x:c r="H4" s="8" t="s">
        <x:v>93</x:v>
      </x:c>
      <x:c r="I4" s="8" t="s">
        <x:v>304</x:v>
      </x:c>
    </x:row>
    <x:row r="5" ht="20" customHeight="1">
      <x:c r="A5" s="7" t="s">
        <x:v>329</x:v>
      </x:c>
      <x:c r="B5" s="7" t="s">
        <x:v>306</x:v>
      </x:c>
      <x:c r="C5" s="7" t="s">
        <x:v>311</x:v>
      </x:c>
      <x:c r="D5" s="7" t="s">
        <x:v>308</x:v>
      </x:c>
      <x:c r="E5" s="9">
        <x:v>168</x:v>
      </x:c>
      <x:c r="F5" s="7" t="s">
        <x:v>330</x:v>
      </x:c>
      <x:c r="G5" s="10"/>
      <x:c r="H5" s="7"/>
      <x:c r="I5" s="7"/>
      <x:c r="J5" s="20"/>
    </x:row>
    <x:row r="6" ht="20" customHeight="1">
      <x:c r="A6" s="7" t="s">
        <x:v>329</x:v>
      </x:c>
      <x:c r="B6" s="7" t="s">
        <x:v>306</x:v>
      </x:c>
      <x:c r="C6" s="7" t="s">
        <x:v>311</x:v>
      </x:c>
      <x:c r="D6" s="7" t="s">
        <x:v>308</x:v>
      </x:c>
      <x:c r="E6" s="9">
        <x:v>168</x:v>
      </x:c>
      <x:c r="F6" s="7" t="s">
        <x:v>330</x:v>
      </x:c>
      <x:c r="G6" s="10"/>
      <x:c r="H6" s="7"/>
      <x:c r="I6" s="7"/>
      <x:c r="J6" s="20"/>
    </x:row>
    <x:row r="7" ht="20" customHeight="1">
      <x:c r="A7" s="7" t="s">
        <x:v>329</x:v>
      </x:c>
      <x:c r="B7" s="7" t="s">
        <x:v>306</x:v>
      </x:c>
      <x:c r="C7" s="7" t="s">
        <x:v>311</x:v>
      </x:c>
      <x:c r="D7" s="7" t="s">
        <x:v>308</x:v>
      </x:c>
      <x:c r="E7" s="9">
        <x:v>168</x:v>
      </x:c>
      <x:c r="F7" s="7" t="s">
        <x:v>330</x:v>
      </x:c>
      <x:c r="G7" s="10"/>
      <x:c r="H7" s="7"/>
      <x:c r="I7" s="7"/>
      <x:c r="J7" s="20"/>
    </x:row>
    <x:row r="8" ht="20" customHeight="1">
      <x:c r="A8" s="7" t="s">
        <x:v>331</x:v>
      </x:c>
      <x:c r="B8" s="7" t="s">
        <x:v>306</x:v>
      </x:c>
      <x:c r="C8" s="7" t="s">
        <x:v>307</x:v>
      </x:c>
      <x:c r="D8" s="7" t="s">
        <x:v>308</x:v>
      </x:c>
      <x:c r="E8" s="9">
        <x:v>145</x:v>
      </x:c>
      <x:c r="F8" s="7" t="s">
        <x:v>332</x:v>
      </x:c>
      <x:c r="G8" s="10"/>
      <x:c r="H8" s="7"/>
      <x:c r="I8" s="7"/>
      <x:c r="J8" s="20"/>
    </x:row>
    <x:row r="9" ht="20" customHeight="1">
      <x:c r="A9" s="7" t="s">
        <x:v>331</x:v>
      </x:c>
      <x:c r="B9" s="7" t="s">
        <x:v>306</x:v>
      </x:c>
      <x:c r="C9" s="7" t="s">
        <x:v>307</x:v>
      </x:c>
      <x:c r="D9" s="7" t="s">
        <x:v>308</x:v>
      </x:c>
      <x:c r="E9" s="9">
        <x:v>145</x:v>
      </x:c>
      <x:c r="F9" s="7" t="s">
        <x:v>332</x:v>
      </x:c>
      <x:c r="G9" s="10"/>
      <x:c r="H9" s="7"/>
      <x:c r="I9" s="7"/>
      <x:c r="J9" s="20"/>
    </x:row>
    <x:row r="10" ht="20" customHeight="1">
      <x:c r="A10" s="7" t="s">
        <x:v>331</x:v>
      </x:c>
      <x:c r="B10" s="7" t="s">
        <x:v>306</x:v>
      </x:c>
      <x:c r="C10" s="7" t="s">
        <x:v>307</x:v>
      </x:c>
      <x:c r="D10" s="7" t="s">
        <x:v>308</x:v>
      </x:c>
      <x:c r="E10" s="9">
        <x:v>145</x:v>
      </x:c>
      <x:c r="F10" s="7" t="s">
        <x:v>332</x:v>
      </x:c>
      <x:c r="G10" s="10"/>
      <x:c r="H10" s="7"/>
      <x:c r="I10" s="7"/>
      <x:c r="J10" s="20"/>
    </x:row>
    <x:row r="11" ht="20" customHeight="1">
      <x:c r="A11" s="7" t="s">
        <x:v>319</x:v>
      </x:c>
      <x:c r="B11" s="7" t="s">
        <x:v>306</x:v>
      </x:c>
      <x:c r="C11" s="7" t="s">
        <x:v>320</x:v>
      </x:c>
      <x:c r="D11" s="7" t="s">
        <x:v>308</x:v>
      </x:c>
      <x:c r="E11" s="9">
        <x:v>188</x:v>
      </x:c>
      <x:c r="F11" s="7" t="s">
        <x:v>333</x:v>
      </x:c>
      <x:c r="G11" s="10"/>
      <x:c r="H11" s="7"/>
      <x:c r="I11" s="7"/>
      <x:c r="J11" s="20"/>
    </x:row>
    <x:row r="12" ht="20" customHeight="1">
      <x:c r="A12" s="7" t="s">
        <x:v>319</x:v>
      </x:c>
      <x:c r="B12" s="7" t="s">
        <x:v>306</x:v>
      </x:c>
      <x:c r="C12" s="7" t="s">
        <x:v>320</x:v>
      </x:c>
      <x:c r="D12" s="7" t="s">
        <x:v>308</x:v>
      </x:c>
      <x:c r="E12" s="9">
        <x:v>188</x:v>
      </x:c>
      <x:c r="F12" s="7" t="s">
        <x:v>333</x:v>
      </x:c>
      <x:c r="G12" s="10"/>
      <x:c r="H12" s="7"/>
      <x:c r="I12" s="7"/>
      <x:c r="J12" s="20"/>
    </x:row>
    <x:row r="13" ht="20" customHeight="1">
      <x:c r="A13" s="7" t="s">
        <x:v>319</x:v>
      </x:c>
      <x:c r="B13" s="7" t="s">
        <x:v>306</x:v>
      </x:c>
      <x:c r="C13" s="7" t="s">
        <x:v>320</x:v>
      </x:c>
      <x:c r="D13" s="7" t="s">
        <x:v>308</x:v>
      </x:c>
      <x:c r="E13" s="9">
        <x:v>188</x:v>
      </x:c>
      <x:c r="F13" s="7" t="s">
        <x:v>333</x:v>
      </x:c>
      <x:c r="G13" s="10"/>
      <x:c r="H13" s="7"/>
      <x:c r="I13" s="7"/>
      <x:c r="J13" s="20"/>
    </x:row>
    <x:row r="14" ht="20" customHeight="1">
      <x:c r="A14" s="7"/>
      <x:c r="B14" s="7"/>
      <x:c r="C14" s="7"/>
      <x:c r="D14" s="7"/>
      <x:c r="E14" s="9"/>
      <x:c r="F14" s="7"/>
      <x:c r="G14" s="10"/>
      <x:c r="H14" s="7"/>
      <x:c r="I14" s="7"/>
    </x:row>
    <x:row r="15" ht="20" customHeight="1">
      <x:c r="A15" s="7"/>
      <x:c r="B15" s="7"/>
      <x:c r="C15" s="7"/>
      <x:c r="D15" s="7"/>
      <x:c r="E15" s="9"/>
      <x:c r="F15" s="7"/>
      <x:c r="G15" s="10"/>
      <x:c r="H15" s="7"/>
      <x:c r="I15" s="7"/>
    </x:row>
    <x:row r="16" ht="20" customHeight="1">
      <x:c r="A16" s="7"/>
      <x:c r="B16" s="7"/>
      <x:c r="C16" s="7"/>
      <x:c r="D16" s="7"/>
      <x:c r="E16" s="9"/>
      <x:c r="F16" s="7"/>
      <x:c r="G16" s="10"/>
      <x:c r="H16" s="7"/>
      <x:c r="I16" s="7"/>
    </x:row>
    <x:row r="17" ht="20" customHeight="1">
      <x:c r="A17" s="7"/>
      <x:c r="B17" s="7"/>
      <x:c r="C17" s="7"/>
      <x:c r="D17" s="7"/>
      <x:c r="E17" s="9"/>
      <x:c r="F17" s="7"/>
      <x:c r="G17" s="10"/>
      <x:c r="H17" s="7"/>
      <x:c r="I17" s="7"/>
    </x:row>
    <x:row r="18" ht="20" customHeight="1">
      <x:c r="A18" s="7"/>
      <x:c r="B18" s="7"/>
      <x:c r="C18" s="7"/>
      <x:c r="D18" s="7"/>
      <x:c r="E18" s="9"/>
      <x:c r="F18" s="7"/>
      <x:c r="G18" s="10"/>
      <x:c r="H18" s="7"/>
      <x:c r="I18" s="7"/>
    </x:row>
    <x:row r="19" ht="20" customHeight="1">
      <x:c r="A19" s="7"/>
      <x:c r="B19" s="7"/>
      <x:c r="C19" s="7"/>
      <x:c r="D19" s="7"/>
      <x:c r="E19" s="9"/>
      <x:c r="F19" s="7"/>
      <x:c r="G19" s="10"/>
      <x:c r="H19" s="7"/>
      <x:c r="I19" s="7"/>
    </x:row>
    <x:row r="20" ht="20" customHeight="1">
      <x:c r="A20" s="7"/>
      <x:c r="B20" s="7"/>
      <x:c r="C20" s="7"/>
      <x:c r="D20" s="7"/>
      <x:c r="E20" s="9"/>
      <x:c r="F20" s="7"/>
      <x:c r="G20" s="10"/>
      <x:c r="H20" s="7"/>
      <x:c r="I20" s="7"/>
    </x:row>
    <x:row r="21" ht="20" customHeight="1">
      <x:c r="A21" s="7"/>
      <x:c r="B21" s="7"/>
      <x:c r="C21" s="7"/>
      <x:c r="D21" s="7"/>
      <x:c r="E21" s="9"/>
      <x:c r="F21" s="7"/>
      <x:c r="G21" s="10"/>
      <x:c r="H21" s="7"/>
      <x:c r="I21" s="7"/>
    </x:row>
    <x:row r="22" ht="20" customHeight="1">
      <x:c r="A22" s="7"/>
      <x:c r="B22" s="7"/>
      <x:c r="C22" s="7"/>
      <x:c r="D22" s="7"/>
      <x:c r="E22" s="9"/>
      <x:c r="F22" s="7"/>
      <x:c r="G22" s="10"/>
      <x:c r="H22" s="7"/>
      <x:c r="I22" s="7"/>
    </x:row>
    <x:row r="23" ht="20" customHeight="1">
      <x:c r="A23" s="7"/>
      <x:c r="B23" s="7"/>
      <x:c r="C23" s="7"/>
      <x:c r="D23" s="7"/>
      <x:c r="E23" s="9"/>
      <x:c r="F23" s="7"/>
      <x:c r="G23" s="10"/>
      <x:c r="H23" s="7"/>
      <x:c r="I23" s="7"/>
    </x:row>
    <x:row r="24" ht="20" customHeight="1">
      <x:c r="A24" s="7"/>
      <x:c r="B24" s="7"/>
      <x:c r="C24" s="7"/>
      <x:c r="D24" s="7"/>
      <x:c r="E24" s="9"/>
      <x:c r="F24" s="7"/>
      <x:c r="G24" s="10"/>
      <x:c r="H24" s="7"/>
      <x:c r="I24" s="7"/>
    </x:row>
    <x:row r="25" ht="20" customHeight="1">
      <x:c r="A25" s="7"/>
      <x:c r="B25" s="7"/>
      <x:c r="C25" s="7"/>
      <x:c r="D25" s="7"/>
      <x:c r="E25" s="9"/>
      <x:c r="F25" s="7"/>
      <x:c r="G25" s="10"/>
      <x:c r="H25" s="7"/>
      <x:c r="I25" s="7"/>
    </x:row>
    <x:row r="26" ht="20" customHeight="1">
      <x:c r="A26" s="7"/>
      <x:c r="B26" s="7"/>
      <x:c r="C26" s="7"/>
      <x:c r="D26" s="7"/>
      <x:c r="E26" s="9"/>
      <x:c r="F26" s="7"/>
      <x:c r="G26" s="10"/>
      <x:c r="H26" s="7"/>
      <x:c r="I26" s="7"/>
    </x:row>
    <x:row r="27" ht="20" customHeight="1">
      <x:c r="A27" s="7"/>
      <x:c r="B27" s="7"/>
      <x:c r="C27" s="7"/>
      <x:c r="D27" s="7"/>
      <x:c r="E27" s="9"/>
      <x:c r="F27" s="7"/>
      <x:c r="G27" s="10"/>
      <x:c r="H27" s="7"/>
      <x:c r="I27" s="7"/>
    </x:row>
    <x:row r="28" ht="20" customHeight="1">
      <x:c r="A28" s="7"/>
      <x:c r="B28" s="7"/>
      <x:c r="C28" s="7"/>
      <x:c r="D28" s="7"/>
      <x:c r="E28" s="9"/>
      <x:c r="F28" s="7"/>
      <x:c r="G28" s="10"/>
      <x:c r="H28" s="7"/>
      <x:c r="I28" s="7"/>
    </x:row>
    <x:row r="29" ht="20" customHeight="1">
      <x:c r="A29" s="7"/>
      <x:c r="B29" s="7"/>
      <x:c r="C29" s="7"/>
      <x:c r="D29" s="7"/>
      <x:c r="E29" s="9"/>
      <x:c r="F29" s="7"/>
      <x:c r="G29" s="10"/>
      <x:c r="H29" s="7"/>
      <x:c r="I29" s="7"/>
    </x:row>
    <x:row r="30" ht="20" customHeight="1">
      <x:c r="A30" s="7"/>
      <x:c r="B30" s="7"/>
      <x:c r="C30" s="7"/>
      <x:c r="D30" s="7"/>
      <x:c r="E30" s="9"/>
      <x:c r="F30" s="7"/>
      <x:c r="G30" s="10"/>
      <x:c r="H30" s="7"/>
      <x:c r="I30" s="7"/>
    </x:row>
    <x:row r="31" ht="20" customHeight="1">
      <x:c r="A31" s="7"/>
      <x:c r="B31" s="7"/>
      <x:c r="C31" s="7"/>
      <x:c r="D31" s="7"/>
      <x:c r="E31" s="9"/>
      <x:c r="F31" s="7"/>
      <x:c r="G31" s="10"/>
      <x:c r="H31" s="7"/>
      <x:c r="I31" s="7"/>
    </x:row>
    <x:row r="32" ht="20" customHeight="1">
      <x:c r="A32" s="7"/>
      <x:c r="B32" s="7"/>
      <x:c r="C32" s="7"/>
      <x:c r="D32" s="7"/>
      <x:c r="E32" s="9"/>
      <x:c r="F32" s="7"/>
      <x:c r="G32" s="10"/>
      <x:c r="H32" s="7"/>
      <x:c r="I32" s="7"/>
    </x:row>
    <x:row r="33" ht="20" customHeight="1">
      <x:c r="A33" s="7"/>
      <x:c r="B33" s="7"/>
      <x:c r="C33" s="7"/>
      <x:c r="D33" s="7"/>
      <x:c r="E33" s="9"/>
      <x:c r="F33" s="7"/>
      <x:c r="G33" s="10"/>
      <x:c r="H33" s="7"/>
      <x:c r="I33" s="7"/>
    </x:row>
    <x:row r="34" ht="20" customHeight="1">
      <x:c r="A34" s="7"/>
      <x:c r="B34" s="7"/>
      <x:c r="C34" s="7"/>
      <x:c r="D34" s="7"/>
      <x:c r="E34" s="9"/>
      <x:c r="F34" s="7"/>
      <x:c r="G34" s="10"/>
      <x:c r="H34" s="7"/>
      <x:c r="I34" s="7"/>
    </x:row>
    <x:row r="35" ht="20" customHeight="1">
      <x:c r="A35" s="7"/>
      <x:c r="B35" s="7"/>
      <x:c r="C35" s="7"/>
      <x:c r="D35" s="7"/>
      <x:c r="E35" s="9"/>
      <x:c r="F35" s="7"/>
      <x:c r="G35" s="10"/>
      <x:c r="H35" s="7"/>
      <x:c r="I35" s="7"/>
    </x:row>
    <x:row r="36" ht="20" customHeight="1">
      <x:c r="A36" s="7"/>
      <x:c r="B36" s="7"/>
      <x:c r="C36" s="7"/>
      <x:c r="D36" s="7"/>
      <x:c r="E36" s="9"/>
      <x:c r="F36" s="7"/>
      <x:c r="G36" s="10"/>
      <x:c r="H36" s="7"/>
      <x:c r="I36" s="7"/>
    </x:row>
    <x:row r="37" ht="20" customHeight="1">
      <x:c r="A37" s="7"/>
      <x:c r="B37" s="7"/>
      <x:c r="C37" s="7"/>
      <x:c r="D37" s="7"/>
      <x:c r="E37" s="9"/>
      <x:c r="F37" s="7"/>
      <x:c r="G37" s="10"/>
      <x:c r="H37" s="7"/>
      <x:c r="I37" s="7"/>
    </x:row>
    <x:row r="38" ht="20" customHeight="1">
      <x:c r="A38" s="7"/>
      <x:c r="B38" s="7"/>
      <x:c r="C38" s="7"/>
      <x:c r="D38" s="7"/>
      <x:c r="E38" s="9"/>
      <x:c r="F38" s="7"/>
      <x:c r="G38" s="10"/>
      <x:c r="H38" s="7"/>
      <x:c r="I38" s="7"/>
    </x:row>
    <x:row r="39" ht="20" customHeight="1">
      <x:c r="A39" s="7"/>
      <x:c r="B39" s="7"/>
      <x:c r="C39" s="7"/>
      <x:c r="D39" s="7"/>
      <x:c r="E39" s="9"/>
      <x:c r="F39" s="7"/>
      <x:c r="G39" s="10"/>
      <x:c r="H39" s="7"/>
      <x:c r="I39" s="7"/>
    </x:row>
    <x:row r="40" ht="20" customHeight="1">
      <x:c r="A40" s="7"/>
      <x:c r="B40" s="7"/>
      <x:c r="C40" s="7"/>
      <x:c r="D40" s="7"/>
      <x:c r="E40" s="9"/>
      <x:c r="F40" s="7"/>
      <x:c r="G40" s="10"/>
      <x:c r="H40" s="7"/>
      <x:c r="I40" s="7"/>
    </x:row>
    <x:row r="41" ht="20" customHeight="1">
      <x:c r="A41" s="7"/>
      <x:c r="B41" s="7"/>
      <x:c r="C41" s="7"/>
      <x:c r="D41" s="7"/>
      <x:c r="E41" s="9"/>
      <x:c r="F41" s="7"/>
      <x:c r="G41" s="10"/>
      <x:c r="H41" s="7"/>
      <x:c r="I41" s="7"/>
    </x:row>
    <x:row r="42" ht="20" customHeight="1">
      <x:c r="A42" s="7"/>
      <x:c r="B42" s="7"/>
      <x:c r="C42" s="7"/>
      <x:c r="D42" s="7"/>
      <x:c r="E42" s="9"/>
      <x:c r="F42" s="7"/>
      <x:c r="G42" s="10"/>
      <x:c r="H42" s="7"/>
      <x:c r="I42" s="7"/>
    </x:row>
    <x:row r="43" ht="20" customHeight="1">
      <x:c r="A43" s="7"/>
      <x:c r="B43" s="7"/>
      <x:c r="C43" s="7"/>
      <x:c r="D43" s="7"/>
      <x:c r="E43" s="9"/>
      <x:c r="F43" s="7"/>
      <x:c r="G43" s="10"/>
      <x:c r="H43" s="7"/>
      <x:c r="I43" s="7"/>
    </x:row>
    <x:row r="44" ht="20" customHeight="1">
      <x:c r="A44" s="7"/>
      <x:c r="B44" s="7"/>
      <x:c r="C44" s="7"/>
      <x:c r="D44" s="7"/>
      <x:c r="E44" s="9"/>
      <x:c r="F44" s="7"/>
      <x:c r="G44" s="10"/>
      <x:c r="H44" s="7"/>
      <x:c r="I44" s="7"/>
    </x:row>
    <x:row r="45" ht="20" customHeight="1">
      <x:c r="A45" s="7"/>
      <x:c r="B45" s="7"/>
      <x:c r="C45" s="7"/>
      <x:c r="D45" s="7"/>
      <x:c r="E45" s="9"/>
      <x:c r="F45" s="7"/>
      <x:c r="G45" s="10"/>
      <x:c r="H45" s="7"/>
      <x:c r="I45" s="7"/>
    </x:row>
    <x:row r="46" ht="20" customHeight="1">
      <x:c r="A46" s="7"/>
      <x:c r="B46" s="7"/>
      <x:c r="C46" s="7"/>
      <x:c r="D46" s="7"/>
      <x:c r="E46" s="9"/>
      <x:c r="F46" s="7"/>
      <x:c r="G46" s="10"/>
      <x:c r="H46" s="7"/>
      <x:c r="I46" s="7"/>
    </x:row>
    <x:row r="47" ht="20" customHeight="1">
      <x:c r="A47" s="7"/>
      <x:c r="B47" s="7"/>
      <x:c r="C47" s="7"/>
      <x:c r="D47" s="7"/>
      <x:c r="E47" s="9"/>
      <x:c r="F47" s="7"/>
      <x:c r="G47" s="10"/>
      <x:c r="H47" s="7"/>
      <x:c r="I47" s="7"/>
    </x:row>
    <x:row r="48" ht="20" customHeight="1">
      <x:c r="A48" s="7"/>
      <x:c r="B48" s="7"/>
      <x:c r="C48" s="7"/>
      <x:c r="D48" s="7"/>
      <x:c r="E48" s="9"/>
      <x:c r="F48" s="7"/>
      <x:c r="G48" s="10"/>
      <x:c r="H48" s="7"/>
      <x:c r="I48" s="7"/>
    </x:row>
    <x:row r="49" ht="20" customHeight="1">
      <x:c r="A49" s="7"/>
      <x:c r="B49" s="7"/>
      <x:c r="C49" s="7"/>
      <x:c r="D49" s="7"/>
      <x:c r="E49" s="9"/>
      <x:c r="F49" s="7"/>
      <x:c r="G49" s="10"/>
      <x:c r="H49" s="7"/>
      <x:c r="I49" s="7"/>
    </x:row>
    <x:row r="50" ht="20" customHeight="1">
      <x:c r="A50" s="7"/>
      <x:c r="B50" s="7"/>
      <x:c r="C50" s="7"/>
      <x:c r="D50" s="7"/>
      <x:c r="E50" s="9"/>
      <x:c r="F50" s="7"/>
      <x:c r="G50" s="10"/>
      <x:c r="H50" s="7"/>
      <x:c r="I50" s="7"/>
    </x:row>
    <x:row r="51" ht="20" customHeight="1">
      <x:c r="A51" s="7"/>
      <x:c r="B51" s="7"/>
      <x:c r="C51" s="7"/>
      <x:c r="D51" s="7"/>
      <x:c r="E51" s="9"/>
      <x:c r="F51" s="7"/>
      <x:c r="G51" s="10"/>
      <x:c r="H51" s="7"/>
      <x:c r="I51" s="7"/>
    </x:row>
    <x:row r="52" ht="20" customHeight="1">
      <x:c r="A52" s="7"/>
      <x:c r="B52" s="7"/>
      <x:c r="C52" s="7"/>
      <x:c r="D52" s="7"/>
      <x:c r="E52" s="9"/>
      <x:c r="F52" s="7"/>
      <x:c r="G52" s="10"/>
      <x:c r="H52" s="7"/>
      <x:c r="I52" s="7"/>
    </x:row>
    <x:row r="53" ht="20" customHeight="1">
      <x:c r="A53" s="7"/>
      <x:c r="B53" s="7"/>
      <x:c r="C53" s="7"/>
      <x:c r="D53" s="7"/>
      <x:c r="E53" s="9"/>
      <x:c r="F53" s="7"/>
      <x:c r="G53" s="10"/>
      <x:c r="H53" s="7"/>
      <x:c r="I53" s="7"/>
    </x:row>
    <x:row r="54" ht="20" customHeight="1">
      <x:c r="A54" s="7"/>
      <x:c r="B54" s="7"/>
      <x:c r="C54" s="7"/>
      <x:c r="D54" s="7"/>
      <x:c r="E54" s="9"/>
      <x:c r="F54" s="7"/>
      <x:c r="G54" s="10"/>
      <x:c r="H54" s="7"/>
      <x:c r="I54" s="7"/>
    </x:row>
    <x:row r="55" ht="20" customHeight="1">
      <x:c r="A55" s="7"/>
      <x:c r="B55" s="7"/>
      <x:c r="C55" s="7"/>
      <x:c r="D55" s="7"/>
      <x:c r="E55" s="9"/>
      <x:c r="F55" s="7"/>
      <x:c r="G55" s="10"/>
      <x:c r="H55" s="7"/>
      <x:c r="I55" s="7"/>
    </x:row>
    <x:row r="56" ht="20" customHeight="1">
      <x:c r="A56" s="7"/>
      <x:c r="B56" s="7"/>
      <x:c r="C56" s="7"/>
      <x:c r="D56" s="7"/>
      <x:c r="E56" s="9"/>
      <x:c r="F56" s="7"/>
      <x:c r="G56" s="10"/>
      <x:c r="H56" s="7"/>
      <x:c r="I56" s="7"/>
    </x:row>
    <x:row r="57" ht="20" customHeight="1">
      <x:c r="A57" s="7"/>
      <x:c r="B57" s="7"/>
      <x:c r="C57" s="7"/>
      <x:c r="D57" s="7"/>
      <x:c r="E57" s="9"/>
      <x:c r="F57" s="7"/>
      <x:c r="G57" s="10"/>
      <x:c r="H57" s="7"/>
      <x:c r="I57" s="7"/>
    </x:row>
    <x:row r="58" ht="20" customHeight="1">
      <x:c r="A58" s="7"/>
      <x:c r="B58" s="7"/>
      <x:c r="C58" s="7"/>
      <x:c r="D58" s="7"/>
      <x:c r="E58" s="9"/>
      <x:c r="F58" s="7"/>
      <x:c r="G58" s="10"/>
      <x:c r="H58" s="7"/>
      <x:c r="I58" s="7"/>
    </x:row>
    <x:row r="59" ht="20" customHeight="1">
      <x:c r="A59" s="7"/>
      <x:c r="B59" s="7"/>
      <x:c r="C59" s="7"/>
      <x:c r="D59" s="7"/>
      <x:c r="E59" s="9"/>
      <x:c r="F59" s="7"/>
      <x:c r="G59" s="10"/>
      <x:c r="H59" s="7"/>
      <x:c r="I59" s="7"/>
    </x:row>
    <x:row r="60" ht="20" customHeight="1">
      <x:c r="A60" s="7"/>
      <x:c r="B60" s="7"/>
      <x:c r="C60" s="7"/>
      <x:c r="D60" s="7"/>
      <x:c r="E60" s="9"/>
      <x:c r="F60" s="7"/>
      <x:c r="G60" s="10"/>
      <x:c r="H60" s="7"/>
      <x:c r="I60" s="7"/>
    </x:row>
    <x:row r="61" ht="20" customHeight="1">
      <x:c r="A61" s="7"/>
      <x:c r="B61" s="7"/>
      <x:c r="C61" s="7"/>
      <x:c r="D61" s="7"/>
      <x:c r="E61" s="9"/>
      <x:c r="F61" s="7"/>
      <x:c r="G61" s="10"/>
      <x:c r="H61" s="7"/>
      <x:c r="I61" s="7"/>
    </x:row>
    <x:row r="62" ht="20" customHeight="1">
      <x:c r="A62" s="7"/>
      <x:c r="B62" s="7"/>
      <x:c r="C62" s="7"/>
      <x:c r="D62" s="7"/>
      <x:c r="E62" s="9"/>
      <x:c r="F62" s="7"/>
      <x:c r="G62" s="10"/>
      <x:c r="H62" s="7"/>
      <x:c r="I62" s="7"/>
    </x:row>
    <x:row r="63" ht="20" customHeight="1">
      <x:c r="A63" s="7"/>
      <x:c r="B63" s="7"/>
      <x:c r="C63" s="7"/>
      <x:c r="D63" s="7"/>
      <x:c r="E63" s="9"/>
      <x:c r="F63" s="7"/>
      <x:c r="G63" s="10"/>
      <x:c r="H63" s="7"/>
      <x:c r="I63" s="7"/>
    </x:row>
    <x:row r="64" ht="20" customHeight="1">
      <x:c r="A64" s="7"/>
      <x:c r="B64" s="7"/>
      <x:c r="C64" s="7"/>
      <x:c r="D64" s="7"/>
      <x:c r="E64" s="9"/>
      <x:c r="F64" s="7"/>
      <x:c r="G64" s="10"/>
      <x:c r="H64" s="7"/>
      <x:c r="I64" s="7"/>
    </x:row>
    <x:row r="65" ht="20" customHeight="1">
      <x:c r="A65" s="7"/>
      <x:c r="B65" s="7"/>
      <x:c r="C65" s="7"/>
      <x:c r="D65" s="7"/>
      <x:c r="E65" s="9"/>
      <x:c r="F65" s="7"/>
      <x:c r="G65" s="10"/>
      <x:c r="H65" s="7"/>
      <x:c r="I65" s="7"/>
    </x:row>
    <x:row r="66" ht="20" customHeight="1">
      <x:c r="A66" s="7"/>
      <x:c r="B66" s="7"/>
      <x:c r="C66" s="7"/>
      <x:c r="D66" s="7"/>
      <x:c r="E66" s="9"/>
      <x:c r="F66" s="7"/>
      <x:c r="G66" s="10"/>
      <x:c r="H66" s="7"/>
      <x:c r="I66" s="7"/>
    </x:row>
    <x:row r="67" ht="20" customHeight="1">
      <x:c r="A67" s="7"/>
      <x:c r="B67" s="7"/>
      <x:c r="C67" s="7"/>
      <x:c r="D67" s="7"/>
      <x:c r="E67" s="9"/>
      <x:c r="F67" s="7"/>
      <x:c r="G67" s="10"/>
      <x:c r="H67" s="7"/>
      <x:c r="I67" s="7"/>
    </x:row>
    <x:row r="68" ht="20" customHeight="1">
      <x:c r="A68" s="7"/>
      <x:c r="B68" s="7"/>
      <x:c r="C68" s="7"/>
      <x:c r="D68" s="7"/>
      <x:c r="E68" s="9"/>
      <x:c r="F68" s="7"/>
      <x:c r="G68" s="10"/>
      <x:c r="H68" s="7"/>
      <x:c r="I68" s="7"/>
    </x:row>
    <x:row r="69" ht="20" customHeight="1">
      <x:c r="A69" s="7"/>
      <x:c r="B69" s="7"/>
      <x:c r="C69" s="7"/>
      <x:c r="D69" s="7"/>
      <x:c r="E69" s="9"/>
      <x:c r="F69" s="7"/>
      <x:c r="G69" s="10"/>
      <x:c r="H69" s="7"/>
      <x:c r="I69" s="7"/>
    </x:row>
    <x:row r="70" ht="20" customHeight="1">
      <x:c r="A70" s="7"/>
      <x:c r="B70" s="7"/>
      <x:c r="C70" s="7"/>
      <x:c r="D70" s="7"/>
      <x:c r="E70" s="9"/>
      <x:c r="F70" s="7"/>
      <x:c r="G70" s="10"/>
      <x:c r="H70" s="7"/>
      <x:c r="I70" s="7"/>
    </x:row>
    <x:row r="71" ht="20" customHeight="1">
      <x:c r="A71" s="7"/>
      <x:c r="B71" s="7"/>
      <x:c r="C71" s="7"/>
      <x:c r="D71" s="7"/>
      <x:c r="E71" s="9"/>
      <x:c r="F71" s="7"/>
      <x:c r="G71" s="10"/>
      <x:c r="H71" s="7"/>
      <x:c r="I71" s="7"/>
    </x:row>
    <x:row r="72" ht="20" customHeight="1">
      <x:c r="A72" s="7"/>
      <x:c r="B72" s="7"/>
      <x:c r="C72" s="7"/>
      <x:c r="D72" s="7"/>
      <x:c r="E72" s="9"/>
      <x:c r="F72" s="7"/>
      <x:c r="G72" s="10"/>
      <x:c r="H72" s="7"/>
      <x:c r="I72" s="7"/>
    </x:row>
    <x:row r="73" ht="20" customHeight="1">
      <x:c r="A73" s="7"/>
      <x:c r="B73" s="7"/>
      <x:c r="C73" s="7"/>
      <x:c r="D73" s="7"/>
      <x:c r="E73" s="9"/>
      <x:c r="F73" s="7"/>
      <x:c r="G73" s="10"/>
      <x:c r="H73" s="7"/>
      <x:c r="I73" s="7"/>
    </x:row>
    <x:row r="74" ht="20" customHeight="1">
      <x:c r="A74" s="7"/>
      <x:c r="B74" s="7"/>
      <x:c r="C74" s="7"/>
      <x:c r="D74" s="7"/>
      <x:c r="E74" s="9"/>
      <x:c r="F74" s="7"/>
      <x:c r="G74" s="10"/>
      <x:c r="H74" s="7"/>
      <x:c r="I74" s="7"/>
    </x:row>
    <x:row r="75" ht="20" customHeight="1">
      <x:c r="A75" s="7"/>
      <x:c r="B75" s="7"/>
      <x:c r="C75" s="7"/>
      <x:c r="D75" s="7"/>
      <x:c r="E75" s="9"/>
      <x:c r="F75" s="7"/>
      <x:c r="G75" s="10"/>
      <x:c r="H75" s="7"/>
      <x:c r="I75" s="7"/>
    </x:row>
    <x:row r="76" ht="20" customHeight="1">
      <x:c r="A76" s="7"/>
      <x:c r="B76" s="7"/>
      <x:c r="C76" s="7"/>
      <x:c r="D76" s="7"/>
      <x:c r="E76" s="9"/>
      <x:c r="F76" s="7"/>
      <x:c r="G76" s="10"/>
      <x:c r="H76" s="7"/>
      <x:c r="I76" s="7"/>
    </x:row>
    <x:row r="77" ht="20" customHeight="1">
      <x:c r="A77" s="7"/>
      <x:c r="B77" s="7"/>
      <x:c r="C77" s="7"/>
      <x:c r="D77" s="7"/>
      <x:c r="E77" s="9"/>
      <x:c r="F77" s="7"/>
      <x:c r="G77" s="10"/>
      <x:c r="H77" s="7"/>
      <x:c r="I77" s="7"/>
    </x:row>
    <x:row r="78">
      <x:c r="A78" s="7"/>
      <x:c r="B78" s="7"/>
      <x:c r="C78" s="7"/>
      <x:c r="D78" s="7"/>
      <x:c r="E78" s="7"/>
      <x:c r="F78" s="7"/>
      <x:c r="G78" s="7" t="n">
        <x:f>SUM(G5:G7)</x:f>
        <x:v>0</x:v>
      </x:c>
      <x:c r="H78" s="7"/>
      <x:c r="I78" s="7"/>
    </x:row>
    <x:row r="80">
      <x:c r="A80" s="112" t="s">
        <x:v>50</x:v>
      </x:c>
      <x:c r="B80" s="112" t="s">
        <x:v>2</x:v>
      </x:c>
      <x:c r="C80" s="124" t="s">
        <x:v>327</x:v>
      </x:c>
    </x:row>
    <x:row r="81">
      <x:c r="A81" s="112"/>
      <x:c r="B81" s="112"/>
      <x:c r="C81" s="124"/>
    </x:row>
    <x:row r="82">
      <x:c r="A82" s="13" t="s">
        <x:v>164</x:v>
      </x:c>
      <x:c r="B82" s="13" t="s">
        <x:v>75</x:v>
      </x:c>
      <x:c r="C82" s="19" t="e">
        <x:f>项目分类明细汇总表1月!$D$6*研发人员工时统计合计!J43</x:f>
        <x:v>#NAME?</x:v>
      </x:c>
    </x:row>
    <x:row r="83">
      <x:c r="A83" s="13" t="s">
        <x:v>165</x:v>
      </x:c>
      <x:c r="B83" s="13" t="s">
        <x:v>76</x:v>
      </x:c>
      <x:c r="C83" s="19" t="e">
        <x:f>项目分类明细汇总表1月!$D$6*研发人员工时统计合计!J44</x:f>
        <x:v>#NAME?</x:v>
      </x:c>
    </x:row>
    <x:row r="84">
      <x:c r="A84" s="13" t="s">
        <x:v>166</x:v>
      </x:c>
      <x:c r="B84" s="13" t="s">
        <x:v>77</x:v>
      </x:c>
      <x:c r="C84" s="19" t="e">
        <x:f>项目分类明细汇总表1月!$D$6*研发人员工时统计合计!J45</x:f>
        <x:v>#NAME?</x:v>
      </x:c>
    </x:row>
    <x:row r="85">
      <x:c r="A85" s="13" t="s">
        <x:v>167</x:v>
      </x:c>
      <x:c r="B85" s="13" t="s">
        <x:v>78</x:v>
      </x:c>
      <x:c r="C85" s="19" t="e">
        <x:f>项目分类明细汇总表1月!$D$6*研发人员工时统计合计!J46</x:f>
        <x:v>#NAME?</x:v>
      </x:c>
    </x:row>
    <x:row r="86">
      <x:c r="A86" s="13" t="s">
        <x:v>168</x:v>
      </x:c>
      <x:c r="B86" s="13" t="s">
        <x:v>79</x:v>
      </x:c>
      <x:c r="C86" s="19" t="e">
        <x:f>项目分类明细汇总表1月!$D$6*研发人员工时统计合计!J47</x:f>
        <x:v>#NAME?</x:v>
      </x:c>
    </x:row>
    <x:row r="87">
      <x:c r="A87" s="13" t="s">
        <x:v>169</x:v>
      </x:c>
      <x:c r="B87" s="13" t="s">
        <x:v>80</x:v>
      </x:c>
      <x:c r="C87" s="19" t="e">
        <x:f>项目分类明细汇总表1月!$D$6*研发人员工时统计合计!J48</x:f>
        <x:v>#NAME?</x:v>
      </x:c>
    </x:row>
    <x:row r="88">
      <x:c r="A88" s="13" t="s">
        <x:v>170</x:v>
      </x:c>
      <x:c r="B88" s="13" t="s">
        <x:v>81</x:v>
      </x:c>
      <x:c r="C88" s="19" t="e">
        <x:f>项目分类明细汇总表1月!$D$6*研发人员工时统计合计!J49</x:f>
        <x:v>#NAME?</x:v>
      </x:c>
    </x:row>
    <x:row r="89">
      <x:c r="A89" s="13" t="s">
        <x:v>171</x:v>
      </x:c>
      <x:c r="B89" s="13" t="s">
        <x:v>82</x:v>
      </x:c>
      <x:c r="C89" s="19" t="e">
        <x:f>项目分类明细汇总表1月!$D$6*研发人员工时统计合计!J50</x:f>
        <x:v>#NAME?</x:v>
      </x:c>
    </x:row>
    <x:row r="90">
      <x:c r="A90" s="13" t="s">
        <x:v>172</x:v>
      </x:c>
      <x:c r="B90" s="13" t="s">
        <x:v>83</x:v>
      </x:c>
      <x:c r="C90" s="19" t="e">
        <x:f>项目分类明细汇总表1月!$D$6*研发人员工时统计合计!J51</x:f>
        <x:v>#NAME?</x:v>
      </x:c>
    </x:row>
    <x:row r="91">
      <x:c r="A91" s="13" t="s">
        <x:v>173</x:v>
      </x:c>
      <x:c r="B91" s="13" t="s">
        <x:v>84</x:v>
      </x:c>
      <x:c r="C91" s="19" t="e">
        <x:f>项目分类明细汇总表1月!$D$6*研发人员工时统计合计!J52</x:f>
        <x:v>#NAME?</x:v>
      </x:c>
    </x:row>
    <x:row r="92">
      <x:c r="A92" s="13" t="s">
        <x:v>174</x:v>
      </x:c>
      <x:c r="B92" s="13" t="s">
        <x:v>85</x:v>
      </x:c>
      <x:c r="C92" s="19" t="e">
        <x:f>项目分类明细汇总表1月!$D$6*研发人员工时统计合计!J53</x:f>
        <x:v>#NAME?</x:v>
      </x:c>
    </x:row>
    <x:row r="93">
      <x:c r="A93" s="13" t="s">
        <x:v>273</x:v>
      </x:c>
      <x:c r="B93" s="13" t="s">
        <x:v>86</x:v>
      </x:c>
      <x:c r="C93" s="19" t="e">
        <x:f>项目分类明细汇总表1月!$D$6*研发人员工时统计合计!J54</x:f>
        <x:v>#NAME?</x:v>
      </x:c>
    </x:row>
    <x:row r="94">
      <x:c r="A94" s="13" t="s">
        <x:v>176</x:v>
      </x:c>
      <x:c r="B94" s="13" t="s">
        <x:v>87</x:v>
      </x:c>
      <x:c r="C94" s="19" t="e">
        <x:f>项目分类明细汇总表1月!$D$6*研发人员工时统计合计!J55</x:f>
        <x:v>#NAME?</x:v>
      </x:c>
    </x:row>
    <x:row r="95">
      <x:c r="A95" s="13" t="s">
        <x:v>177</x:v>
      </x:c>
      <x:c r="B95" s="13" t="s">
        <x:v>88</x:v>
      </x:c>
      <x:c r="C95" s="19" t="e">
        <x:f>项目分类明细汇总表1月!$D$6*研发人员工时统计合计!J56</x:f>
        <x:v>#NAME?</x:v>
      </x:c>
    </x:row>
    <x:row r="96">
      <x:c r="A96" s="13" t="s">
        <x:v>168</x:v>
      </x:c>
      <x:c r="B96" s="13" t="s">
        <x:v>89</x:v>
      </x:c>
      <x:c r="C96" s="19" t="e">
        <x:f>项目分类明细汇总表1月!$D$6*研发人员工时统计合计!J57</x:f>
        <x:v>#NAME?</x:v>
      </x:c>
    </x:row>
    <x:row r="97" ht="17">
      <x:c r="A97" s="13" t="s">
        <x:v>274</x:v>
      </x:c>
      <x:c r="B97" s="15" t="s">
        <x:v>90</x:v>
      </x:c>
      <x:c r="C97" s="19" t="e">
        <x:f>项目分类明细汇总表1月!$D$6*研发人员工时统计合计!J58</x:f>
        <x:v>#NAME?</x:v>
      </x:c>
    </x:row>
    <x:row r="98" ht="17">
      <x:c r="A98" s="13" t="s">
        <x:v>275</x:v>
      </x:c>
      <x:c r="B98" s="15" t="s">
        <x:v>19</x:v>
      </x:c>
      <x:c r="C98" s="19" t="e">
        <x:f>项目分类明细汇总表1月!$D$6*研发人员工时统计合计!J59</x:f>
        <x:v>#NAME?</x:v>
      </x:c>
    </x:row>
    <x:row r="99" ht="17">
      <x:c r="A99" s="13" t="s">
        <x:v>276</x:v>
      </x:c>
      <x:c r="B99" s="15" t="s">
        <x:v>34</x:v>
      </x:c>
      <x:c r="C99" s="19" t="e">
        <x:f>项目分类明细汇总表1月!$D$6*研发人员工时统计合计!J60</x:f>
        <x:v>#NAME?</x:v>
      </x:c>
    </x:row>
    <x:row r="100">
      <x:c r="A100" s="111" t="s">
        <x:v>49</x:v>
      </x:c>
      <x:c r="B100" s="111"/>
      <x:c r="C100" s="19" t="e">
        <x:f>SUM(C82:C99)</x:f>
        <x:v>#NAME?</x:v>
      </x:c>
    </x:row>
  </x:sheetData>
  <x:mergeCells>
    <x:mergeCell ref="A1:I1"/>
    <x:mergeCell ref="A2:C2"/>
    <x:mergeCell ref="D2:I2"/>
    <x:mergeCell ref="A100:B100"/>
    <x:mergeCell ref="A80:A81"/>
    <x:mergeCell ref="B80:B81"/>
    <x:mergeCell ref="C80:C8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10" defaultColWidth="9" defaultRowHeight="14"/>
  <x:cols>
    <x:col min="1" max="1" width="15.33203125" customWidth="1"/>
    <x:col min="2" max="2" width="21.33203125" customWidth="1"/>
    <x:col min="3" max="3" width="24.83203125" customWidth="1"/>
    <x:col min="4" max="4" width="4.33203125" customWidth="1"/>
    <x:col min="5" max="5" width="6.83203125" customWidth="1"/>
    <x:col min="6" max="6" width="80.6640625" customWidth="1"/>
    <x:col min="7" max="7" width="12" customWidth="1"/>
  </x:cols>
  <x:sheetData>
    <x:row r="1" s="1" customFormat="1" ht="34.75" customHeight="1">
      <x:c r="A1" s="133" t="s">
        <x:v>342</x:v>
      </x:c>
      <x:c r="B1" s="133"/>
      <x:c r="C1" s="133"/>
      <x:c r="D1" s="133"/>
      <x:c r="E1" s="133"/>
      <x:c r="F1" s="133"/>
      <x:c r="G1" s="133"/>
      <x:c r="H1" s="133"/>
      <x:c r="I1" s="133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</x:row>
    <x:row r="2" s="1" customFormat="1">
      <x:c r="A2" s="114" t="e">
        <x:v>#NAME?</x:v>
      </x:c>
      <x:c r="B2" s="134"/>
      <x:c r="C2" s="134"/>
      <x:c r="D2" s="135"/>
      <x:c r="E2" s="135"/>
      <x:c r="F2" s="135"/>
      <x:c r="G2" s="135"/>
      <x:c r="H2" s="135"/>
      <x:c r="I2" s="135"/>
      <x:c r="J2" s="16"/>
      <x:c r="K2" s="17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  <x:c r="W2" s="16"/>
    </x:row>
    <x:row r="3" s="1" customFormat="1">
      <x:c r="A3" s="1" t="s">
        <x:v>295</x:v>
      </x:c>
      <x:c r="B3" s="2"/>
      <x:c r="C3" s="3"/>
      <x:c r="D3" s="4" t="s">
        <x:v>296</x:v>
      </x:c>
      <x:c r="E3" s="5"/>
      <x:c r="F3" s="6" t="e">
        <x:f>#REF!</x:f>
        <x:v>#REF!</x:v>
      </x:c>
      <x:c r="G3" s="5"/>
      <x:c r="I3" s="18"/>
      <x:c r="J3" s="16"/>
      <x:c r="K3" s="16"/>
      <x:c r="L3" s="17"/>
      <x:c r="M3" s="16"/>
      <x:c r="N3" s="16"/>
      <x:c r="O3" s="16"/>
      <x:c r="P3" s="16"/>
      <x:c r="Q3" s="16"/>
      <x:c r="R3" s="16"/>
      <x:c r="S3" s="16"/>
      <x:c r="T3" s="16"/>
      <x:c r="U3" s="16"/>
      <x:c r="V3" s="16"/>
      <x:c r="W3" s="16"/>
    </x:row>
    <x:row r="4" ht="20" customHeight="1">
      <x:c r="A4" s="7" t="s">
        <x:v>297</x:v>
      </x:c>
      <x:c r="B4" s="7" t="s">
        <x:v>298</x:v>
      </x:c>
      <x:c r="C4" s="7" t="s">
        <x:v>299</x:v>
      </x:c>
      <x:c r="D4" s="7" t="s">
        <x:v>300</x:v>
      </x:c>
      <x:c r="E4" s="7" t="s">
        <x:v>301</x:v>
      </x:c>
      <x:c r="F4" s="7" t="s">
        <x:v>302</x:v>
      </x:c>
      <x:c r="G4" s="7" t="s">
        <x:v>303</x:v>
      </x:c>
      <x:c r="H4" s="8" t="s">
        <x:v>93</x:v>
      </x:c>
      <x:c r="I4" s="8" t="s">
        <x:v>304</x:v>
      </x:c>
    </x:row>
    <x:row r="5" ht="20" customHeight="1">
      <x:c r="A5" t="s">
        <x:v>335</x:v>
      </x:c>
      <x:c r="B5" t="s">
        <x:v>306</x:v>
      </x:c>
      <x:c r="C5" t="s">
        <x:v>311</x:v>
      </x:c>
      <x:c r="D5" t="s">
        <x:v>308</x:v>
      </x:c>
      <x:c r="E5" s="21">
        <x:v>39</x:v>
      </x:c>
      <x:c r="F5" t="s">
        <x:v>343</x:v>
      </x:c>
      <x:c r="G5" s="20"/>
      <x:c r="J5" s="20"/>
    </x:row>
    <x:row r="6" ht="20" customHeight="1">
      <x:c r="A6" t="s">
        <x:v>335</x:v>
      </x:c>
      <x:c r="B6" t="s">
        <x:v>306</x:v>
      </x:c>
      <x:c r="C6" t="s">
        <x:v>311</x:v>
      </x:c>
      <x:c r="D6" t="s">
        <x:v>308</x:v>
      </x:c>
      <x:c r="E6" s="21">
        <x:v>39</x:v>
      </x:c>
      <x:c r="F6" t="s">
        <x:v>344</x:v>
      </x:c>
      <x:c r="G6" s="20"/>
      <x:c r="J6" s="20"/>
    </x:row>
    <x:row r="7" ht="20" customHeight="1">
      <x:c r="A7" t="s">
        <x:v>335</x:v>
      </x:c>
      <x:c r="B7" t="s">
        <x:v>306</x:v>
      </x:c>
      <x:c r="C7" t="s">
        <x:v>311</x:v>
      </x:c>
      <x:c r="D7" t="s">
        <x:v>308</x:v>
      </x:c>
      <x:c r="E7" s="21">
        <x:v>40</x:v>
      </x:c>
      <x:c r="F7" t="s">
        <x:v>343</x:v>
      </x:c>
      <x:c r="G7" s="20"/>
      <x:c r="J7" s="20"/>
    </x:row>
    <x:row r="8" ht="20" customHeight="1">
      <x:c r="A8" t="s">
        <x:v>335</x:v>
      </x:c>
      <x:c r="B8" t="s">
        <x:v>306</x:v>
      </x:c>
      <x:c r="C8" t="s">
        <x:v>311</x:v>
      </x:c>
      <x:c r="D8" t="s">
        <x:v>308</x:v>
      </x:c>
      <x:c r="E8" s="21">
        <x:v>40</x:v>
      </x:c>
      <x:c r="F8" t="s">
        <x:v>344</x:v>
      </x:c>
      <x:c r="G8" s="20"/>
      <x:c r="J8" s="20"/>
    </x:row>
    <x:row r="9" ht="20" customHeight="1">
      <x:c r="A9" t="s">
        <x:v>337</x:v>
      </x:c>
      <x:c r="B9" t="s">
        <x:v>306</x:v>
      </x:c>
      <x:c r="C9" t="s">
        <x:v>311</x:v>
      </x:c>
      <x:c r="D9" t="s">
        <x:v>308</x:v>
      </x:c>
      <x:c r="E9" s="21">
        <x:v>84</x:v>
      </x:c>
      <x:c r="F9" t="s">
        <x:v>345</x:v>
      </x:c>
      <x:c r="G9" s="20"/>
      <x:c r="J9" s="20"/>
    </x:row>
    <x:row r="10" ht="20" customHeight="1">
      <x:c r="A10" t="s">
        <x:v>337</x:v>
      </x:c>
      <x:c r="B10" t="s">
        <x:v>306</x:v>
      </x:c>
      <x:c r="C10" t="s">
        <x:v>311</x:v>
      </x:c>
      <x:c r="D10" t="s">
        <x:v>308</x:v>
      </x:c>
      <x:c r="E10" s="21">
        <x:v>85</x:v>
      </x:c>
      <x:c r="F10" t="s">
        <x:v>346</x:v>
      </x:c>
      <x:c r="G10" s="20"/>
      <x:c r="J10" s="20"/>
    </x:row>
    <x:row r="11" ht="20" customHeight="1">
      <x:c r="A11" t="s">
        <x:v>337</x:v>
      </x:c>
      <x:c r="B11" t="s">
        <x:v>306</x:v>
      </x:c>
      <x:c r="C11" t="s">
        <x:v>311</x:v>
      </x:c>
      <x:c r="D11" t="s">
        <x:v>308</x:v>
      </x:c>
      <x:c r="E11" s="21">
        <x:v>85</x:v>
      </x:c>
      <x:c r="F11" t="s">
        <x:v>347</x:v>
      </x:c>
      <x:c r="G11" s="20"/>
      <x:c r="J11" s="20"/>
    </x:row>
    <x:row r="12" ht="20" customHeight="1">
      <x:c r="A12" t="s">
        <x:v>337</x:v>
      </x:c>
      <x:c r="B12" t="s">
        <x:v>306</x:v>
      </x:c>
      <x:c r="C12" t="s">
        <x:v>311</x:v>
      </x:c>
      <x:c r="D12" t="s">
        <x:v>308</x:v>
      </x:c>
      <x:c r="E12" s="21">
        <x:v>87</x:v>
      </x:c>
      <x:c r="F12" t="s">
        <x:v>348</x:v>
      </x:c>
      <x:c r="G12" s="20"/>
      <x:c r="J12" s="20"/>
    </x:row>
    <x:row r="13" ht="20" customHeight="1">
      <x:c r="A13" t="s">
        <x:v>337</x:v>
      </x:c>
      <x:c r="B13" t="s">
        <x:v>306</x:v>
      </x:c>
      <x:c r="C13" t="s">
        <x:v>311</x:v>
      </x:c>
      <x:c r="D13" t="s">
        <x:v>308</x:v>
      </x:c>
      <x:c r="E13" s="21">
        <x:v>87</x:v>
      </x:c>
      <x:c r="F13" t="s">
        <x:v>348</x:v>
      </x:c>
      <x:c r="G13" s="20"/>
      <x:c r="J13" s="20"/>
    </x:row>
    <x:row r="14" ht="20" customHeight="1">
      <x:c r="A14" t="s">
        <x:v>305</x:v>
      </x:c>
      <x:c r="B14" t="s">
        <x:v>306</x:v>
      </x:c>
      <x:c r="C14" t="s">
        <x:v>307</x:v>
      </x:c>
      <x:c r="D14" t="s">
        <x:v>308</x:v>
      </x:c>
      <x:c r="E14" s="21">
        <x:v>119</x:v>
      </x:c>
      <x:c r="F14" t="s">
        <x:v>349</x:v>
      </x:c>
      <x:c r="G14" s="20"/>
      <x:c r="J14" s="20"/>
    </x:row>
    <x:row r="15" ht="20" customHeight="1">
      <x:c r="A15" t="s">
        <x:v>305</x:v>
      </x:c>
      <x:c r="B15" t="s">
        <x:v>306</x:v>
      </x:c>
      <x:c r="C15" t="s">
        <x:v>307</x:v>
      </x:c>
      <x:c r="D15" t="s">
        <x:v>308</x:v>
      </x:c>
      <x:c r="E15" s="21">
        <x:v>119</x:v>
      </x:c>
      <x:c r="F15" t="s">
        <x:v>350</x:v>
      </x:c>
      <x:c r="G15" s="20"/>
      <x:c r="J15" s="20"/>
    </x:row>
    <x:row r="16" ht="20" customHeight="1">
      <x:c r="A16" t="s">
        <x:v>305</x:v>
      </x:c>
      <x:c r="B16" t="s">
        <x:v>306</x:v>
      </x:c>
      <x:c r="C16" t="s">
        <x:v>307</x:v>
      </x:c>
      <x:c r="D16" t="s">
        <x:v>308</x:v>
      </x:c>
      <x:c r="E16" s="21">
        <x:v>119</x:v>
      </x:c>
      <x:c r="F16" t="s">
        <x:v>351</x:v>
      </x:c>
      <x:c r="G16" s="20"/>
      <x:c r="J16" s="20"/>
    </x:row>
    <x:row r="17" ht="20" customHeight="1">
      <x:c r="A17" t="s">
        <x:v>305</x:v>
      </x:c>
      <x:c r="B17" t="s">
        <x:v>306</x:v>
      </x:c>
      <x:c r="C17" t="s">
        <x:v>307</x:v>
      </x:c>
      <x:c r="D17" t="s">
        <x:v>308</x:v>
      </x:c>
      <x:c r="E17" s="21">
        <x:v>124</x:v>
      </x:c>
      <x:c r="F17" t="s">
        <x:v>343</x:v>
      </x:c>
      <x:c r="G17" s="20"/>
      <x:c r="J17" s="20"/>
    </x:row>
    <x:row r="18" ht="20" customHeight="1">
      <x:c r="A18" t="s">
        <x:v>305</x:v>
      </x:c>
      <x:c r="B18" t="s">
        <x:v>306</x:v>
      </x:c>
      <x:c r="C18" t="s">
        <x:v>307</x:v>
      </x:c>
      <x:c r="D18" t="s">
        <x:v>308</x:v>
      </x:c>
      <x:c r="E18" s="21">
        <x:v>124</x:v>
      </x:c>
      <x:c r="F18" t="s">
        <x:v>344</x:v>
      </x:c>
      <x:c r="G18" s="20"/>
      <x:c r="J18" s="20"/>
    </x:row>
    <x:row r="19" ht="20" customHeight="1">
      <x:c r="A19" t="s">
        <x:v>305</x:v>
      </x:c>
      <x:c r="B19" t="s">
        <x:v>306</x:v>
      </x:c>
      <x:c r="C19" t="s">
        <x:v>307</x:v>
      </x:c>
      <x:c r="D19" t="s">
        <x:v>308</x:v>
      </x:c>
      <x:c r="E19" s="21">
        <x:v>135</x:v>
      </x:c>
      <x:c r="F19" t="s">
        <x:v>352</x:v>
      </x:c>
      <x:c r="G19" s="20"/>
      <x:c r="J19" s="20"/>
    </x:row>
    <x:row r="20" ht="20" customHeight="1">
      <x:c r="A20" t="s">
        <x:v>305</x:v>
      </x:c>
      <x:c r="B20" t="s">
        <x:v>306</x:v>
      </x:c>
      <x:c r="C20" t="s">
        <x:v>307</x:v>
      </x:c>
      <x:c r="D20" t="s">
        <x:v>308</x:v>
      </x:c>
      <x:c r="E20" s="21">
        <x:v>136</x:v>
      </x:c>
      <x:c r="F20" t="s">
        <x:v>353</x:v>
      </x:c>
      <x:c r="G20" s="20"/>
      <x:c r="J20" s="20"/>
    </x:row>
    <x:row r="21" ht="20" customHeight="1">
      <x:c r="A21" t="s">
        <x:v>305</x:v>
      </x:c>
      <x:c r="B21" t="s">
        <x:v>306</x:v>
      </x:c>
      <x:c r="C21" t="s">
        <x:v>307</x:v>
      </x:c>
      <x:c r="D21" t="s">
        <x:v>308</x:v>
      </x:c>
      <x:c r="E21" s="21">
        <x:v>136</x:v>
      </x:c>
      <x:c r="F21" t="s">
        <x:v>354</x:v>
      </x:c>
      <x:c r="G21" s="20"/>
      <x:c r="J21" s="20"/>
    </x:row>
    <x:row r="22" ht="20" customHeight="1">
      <x:c r="A22" t="s">
        <x:v>305</x:v>
      </x:c>
      <x:c r="B22" t="s">
        <x:v>306</x:v>
      </x:c>
      <x:c r="C22" t="s">
        <x:v>307</x:v>
      </x:c>
      <x:c r="D22" t="s">
        <x:v>308</x:v>
      </x:c>
      <x:c r="E22" s="21">
        <x:v>137</x:v>
      </x:c>
      <x:c r="F22" t="s">
        <x:v>355</x:v>
      </x:c>
      <x:c r="G22" s="20"/>
      <x:c r="J22" s="20"/>
    </x:row>
    <x:row r="23" ht="20" customHeight="1">
      <x:c r="A23" t="s">
        <x:v>305</x:v>
      </x:c>
      <x:c r="B23" t="s">
        <x:v>306</x:v>
      </x:c>
      <x:c r="C23" t="s">
        <x:v>307</x:v>
      </x:c>
      <x:c r="D23" t="s">
        <x:v>308</x:v>
      </x:c>
      <x:c r="E23" s="21">
        <x:v>138</x:v>
      </x:c>
      <x:c r="F23" t="s">
        <x:v>343</x:v>
      </x:c>
      <x:c r="G23" s="20"/>
      <x:c r="J23" s="20"/>
    </x:row>
    <x:row r="24" ht="20" customHeight="1">
      <x:c r="A24" t="s">
        <x:v>305</x:v>
      </x:c>
      <x:c r="B24" t="s">
        <x:v>306</x:v>
      </x:c>
      <x:c r="C24" t="s">
        <x:v>307</x:v>
      </x:c>
      <x:c r="D24" t="s">
        <x:v>308</x:v>
      </x:c>
      <x:c r="E24" s="21">
        <x:v>138</x:v>
      </x:c>
      <x:c r="F24" t="s">
        <x:v>344</x:v>
      </x:c>
      <x:c r="G24" s="20"/>
      <x:c r="J24" s="20"/>
    </x:row>
    <x:row r="25" ht="20" customHeight="1">
      <x:c r="A25" t="s">
        <x:v>315</x:v>
      </x:c>
      <x:c r="B25" t="s">
        <x:v>306</x:v>
      </x:c>
      <x:c r="C25" t="s">
        <x:v>307</x:v>
      </x:c>
      <x:c r="D25" t="s">
        <x:v>308</x:v>
      </x:c>
      <x:c r="E25" s="21">
        <x:v>141</x:v>
      </x:c>
      <x:c r="F25" t="s">
        <x:v>356</x:v>
      </x:c>
      <x:c r="G25" s="20"/>
      <x:c r="J25" s="20"/>
    </x:row>
    <x:row r="26" ht="20" customHeight="1">
      <x:c r="A26" t="s">
        <x:v>357</x:v>
      </x:c>
      <x:c r="B26" t="s">
        <x:v>306</x:v>
      </x:c>
      <x:c r="C26" t="s">
        <x:v>307</x:v>
      </x:c>
      <x:c r="D26" t="s">
        <x:v>308</x:v>
      </x:c>
      <x:c r="E26" s="21">
        <x:v>144</x:v>
      </x:c>
      <x:c r="F26" t="s">
        <x:v>358</x:v>
      </x:c>
      <x:c r="G26" s="20"/>
      <x:c r="J26" s="20"/>
    </x:row>
    <x:row r="27" ht="20" customHeight="1">
      <x:c r="A27" t="s">
        <x:v>357</x:v>
      </x:c>
      <x:c r="B27" t="s">
        <x:v>306</x:v>
      </x:c>
      <x:c r="C27" t="s">
        <x:v>307</x:v>
      </x:c>
      <x:c r="D27" t="s">
        <x:v>308</x:v>
      </x:c>
      <x:c r="E27" s="21">
        <x:v>144</x:v>
      </x:c>
      <x:c r="F27" t="s">
        <x:v>359</x:v>
      </x:c>
      <x:c r="G27" s="20"/>
      <x:c r="J27" s="20"/>
    </x:row>
    <x:row r="28" ht="20" customHeight="1">
      <x:c r="A28" t="s">
        <x:v>360</x:v>
      </x:c>
      <x:c r="B28" t="s">
        <x:v>306</x:v>
      </x:c>
      <x:c r="C28" t="s">
        <x:v>307</x:v>
      </x:c>
      <x:c r="D28" t="s">
        <x:v>308</x:v>
      </x:c>
      <x:c r="E28" s="21">
        <x:v>150</x:v>
      </x:c>
      <x:c r="F28" t="s">
        <x:v>361</x:v>
      </x:c>
      <x:c r="G28" s="20"/>
      <x:c r="J28" s="20"/>
    </x:row>
    <x:row r="29" ht="20" customHeight="1">
      <x:c r="A29" t="s">
        <x:v>360</x:v>
      </x:c>
      <x:c r="B29" t="s">
        <x:v>306</x:v>
      </x:c>
      <x:c r="C29" t="s">
        <x:v>307</x:v>
      </x:c>
      <x:c r="D29" t="s">
        <x:v>308</x:v>
      </x:c>
      <x:c r="E29" s="21">
        <x:v>150</x:v>
      </x:c>
      <x:c r="F29" t="s">
        <x:v>362</x:v>
      </x:c>
      <x:c r="G29" s="20"/>
      <x:c r="J29" s="20"/>
    </x:row>
    <x:row r="30" ht="20" customHeight="1">
      <x:c r="A30" t="s">
        <x:v>360</x:v>
      </x:c>
      <x:c r="B30" t="s">
        <x:v>306</x:v>
      </x:c>
      <x:c r="C30" t="s">
        <x:v>307</x:v>
      </x:c>
      <x:c r="D30" t="s">
        <x:v>308</x:v>
      </x:c>
      <x:c r="E30" s="21">
        <x:v>152</x:v>
      </x:c>
      <x:c r="F30" t="s">
        <x:v>363</x:v>
      </x:c>
      <x:c r="G30" s="20"/>
      <x:c r="J30" s="20"/>
    </x:row>
    <x:row r="31" ht="20" customHeight="1">
      <x:c r="A31" t="s">
        <x:v>360</x:v>
      </x:c>
      <x:c r="B31" t="s">
        <x:v>306</x:v>
      </x:c>
      <x:c r="C31" t="s">
        <x:v>307</x:v>
      </x:c>
      <x:c r="D31" t="s">
        <x:v>308</x:v>
      </x:c>
      <x:c r="E31" s="21">
        <x:v>152</x:v>
      </x:c>
      <x:c r="F31" t="s">
        <x:v>364</x:v>
      </x:c>
      <x:c r="G31" s="20"/>
      <x:c r="J31" s="20"/>
    </x:row>
    <x:row r="32" ht="20" customHeight="1">
      <x:c r="A32" t="s">
        <x:v>365</x:v>
      </x:c>
      <x:c r="B32" t="s">
        <x:v>306</x:v>
      </x:c>
      <x:c r="C32" t="s">
        <x:v>320</x:v>
      </x:c>
      <x:c r="D32" t="s">
        <x:v>308</x:v>
      </x:c>
      <x:c r="E32" s="21">
        <x:v>127</x:v>
      </x:c>
      <x:c r="F32" t="s">
        <x:v>366</x:v>
      </x:c>
      <x:c r="G32" s="20"/>
      <x:c r="J32" s="20"/>
    </x:row>
    <x:row r="33" ht="20" customHeight="1">
      <x:c r="A33" t="s">
        <x:v>367</x:v>
      </x:c>
      <x:c r="B33" t="s">
        <x:v>306</x:v>
      </x:c>
      <x:c r="C33" t="s">
        <x:v>320</x:v>
      </x:c>
      <x:c r="D33" t="s">
        <x:v>308</x:v>
      </x:c>
      <x:c r="E33" s="21">
        <x:v>139</x:v>
      </x:c>
      <x:c r="F33" t="s">
        <x:v>368</x:v>
      </x:c>
      <x:c r="G33" s="20"/>
      <x:c r="J33" s="20"/>
    </x:row>
    <x:row r="34" ht="20" customHeight="1">
      <x:c r="A34" t="s">
        <x:v>367</x:v>
      </x:c>
      <x:c r="B34" t="s">
        <x:v>306</x:v>
      </x:c>
      <x:c r="C34" t="s">
        <x:v>320</x:v>
      </x:c>
      <x:c r="D34" t="s">
        <x:v>308</x:v>
      </x:c>
      <x:c r="E34" s="21">
        <x:v>140</x:v>
      </x:c>
      <x:c r="F34" t="s">
        <x:v>352</x:v>
      </x:c>
      <x:c r="G34" s="20"/>
      <x:c r="J34" s="20"/>
    </x:row>
    <x:row r="35" ht="20" customHeight="1">
      <x:c r="A35" t="s">
        <x:v>367</x:v>
      </x:c>
      <x:c r="B35" t="s">
        <x:v>306</x:v>
      </x:c>
      <x:c r="C35" t="s">
        <x:v>320</x:v>
      </x:c>
      <x:c r="D35" t="s">
        <x:v>308</x:v>
      </x:c>
      <x:c r="E35" s="21">
        <x:v>144</x:v>
      </x:c>
      <x:c r="F35" t="s">
        <x:v>352</x:v>
      </x:c>
      <x:c r="G35" s="20"/>
      <x:c r="J35" s="20"/>
    </x:row>
    <x:row r="36" ht="20" customHeight="1">
      <x:c r="E36" s="21"/>
      <x:c r="G36" s="20"/>
    </x:row>
    <x:row r="37" ht="20" customHeight="1">
      <x:c r="E37" s="21"/>
      <x:c r="G37" s="20"/>
    </x:row>
    <x:row r="38" ht="20" customHeight="1">
      <x:c r="E38" s="21"/>
      <x:c r="G38" s="20"/>
    </x:row>
    <x:row r="39" ht="20" customHeight="1">
      <x:c r="E39" s="21"/>
      <x:c r="G39" s="20"/>
    </x:row>
    <x:row r="40" ht="20" customHeight="1">
      <x:c r="E40" s="21"/>
      <x:c r="G40" s="20"/>
    </x:row>
    <x:row r="41" ht="20" customHeight="1">
      <x:c r="A41" s="112" t="s">
        <x:v>50</x:v>
      </x:c>
      <x:c r="B41" s="112" t="s">
        <x:v>2</x:v>
      </x:c>
      <x:c r="C41" s="124" t="s">
        <x:v>327</x:v>
      </x:c>
      <x:c r="E41" s="21"/>
      <x:c r="G41" s="20"/>
    </x:row>
    <x:row r="42">
      <x:c r="A42" s="112"/>
      <x:c r="B42" s="112"/>
      <x:c r="C42" s="124"/>
    </x:row>
    <x:row r="43">
      <x:c r="A43" s="13" t="s">
        <x:v>164</x:v>
      </x:c>
      <x:c r="B43" s="13" t="s">
        <x:v>75</x:v>
      </x:c>
      <x:c r="C43" s="19" t="e">
        <x:f>项目分类明细汇总表1月!$D$8*研发人员工时统计合计!J43</x:f>
        <x:v>#NAME?</x:v>
      </x:c>
    </x:row>
    <x:row r="44">
      <x:c r="A44" s="13" t="s">
        <x:v>165</x:v>
      </x:c>
      <x:c r="B44" s="13" t="s">
        <x:v>76</x:v>
      </x:c>
      <x:c r="C44" s="19" t="e">
        <x:f>项目分类明细汇总表1月!$D$8*研发人员工时统计合计!J44</x:f>
        <x:v>#NAME?</x:v>
      </x:c>
    </x:row>
    <x:row r="45">
      <x:c r="A45" s="13" t="s">
        <x:v>166</x:v>
      </x:c>
      <x:c r="B45" s="13" t="s">
        <x:v>77</x:v>
      </x:c>
      <x:c r="C45" s="19" t="e">
        <x:f>项目分类明细汇总表1月!$D$8*研发人员工时统计合计!J45</x:f>
        <x:v>#NAME?</x:v>
      </x:c>
    </x:row>
    <x:row r="46">
      <x:c r="A46" s="13" t="s">
        <x:v>167</x:v>
      </x:c>
      <x:c r="B46" s="13" t="s">
        <x:v>78</x:v>
      </x:c>
      <x:c r="C46" s="19" t="e">
        <x:f>项目分类明细汇总表1月!$D$8*研发人员工时统计合计!J46</x:f>
        <x:v>#NAME?</x:v>
      </x:c>
    </x:row>
    <x:row r="47">
      <x:c r="A47" s="13" t="s">
        <x:v>168</x:v>
      </x:c>
      <x:c r="B47" s="13" t="s">
        <x:v>79</x:v>
      </x:c>
      <x:c r="C47" s="19" t="e">
        <x:f>项目分类明细汇总表1月!$D$8*研发人员工时统计合计!J47</x:f>
        <x:v>#NAME?</x:v>
      </x:c>
    </x:row>
    <x:row r="48">
      <x:c r="A48" s="13" t="s">
        <x:v>169</x:v>
      </x:c>
      <x:c r="B48" s="13" t="s">
        <x:v>80</x:v>
      </x:c>
      <x:c r="C48" s="19" t="e">
        <x:f>项目分类明细汇总表1月!$D$8*研发人员工时统计合计!J48</x:f>
        <x:v>#NAME?</x:v>
      </x:c>
    </x:row>
    <x:row r="49">
      <x:c r="A49" s="13" t="s">
        <x:v>170</x:v>
      </x:c>
      <x:c r="B49" s="13" t="s">
        <x:v>81</x:v>
      </x:c>
      <x:c r="C49" s="19" t="e">
        <x:f>项目分类明细汇总表1月!$D$8*研发人员工时统计合计!J49</x:f>
        <x:v>#NAME?</x:v>
      </x:c>
    </x:row>
    <x:row r="50">
      <x:c r="A50" s="13" t="s">
        <x:v>171</x:v>
      </x:c>
      <x:c r="B50" s="13" t="s">
        <x:v>82</x:v>
      </x:c>
      <x:c r="C50" s="19" t="e">
        <x:f>项目分类明细汇总表1月!$D$8*研发人员工时统计合计!J50</x:f>
        <x:v>#NAME?</x:v>
      </x:c>
    </x:row>
    <x:row r="51">
      <x:c r="A51" s="13" t="s">
        <x:v>172</x:v>
      </x:c>
      <x:c r="B51" s="13" t="s">
        <x:v>83</x:v>
      </x:c>
      <x:c r="C51" s="19" t="e">
        <x:f>项目分类明细汇总表1月!$D$8*研发人员工时统计合计!J51</x:f>
        <x:v>#NAME?</x:v>
      </x:c>
    </x:row>
    <x:row r="52">
      <x:c r="A52" s="13" t="s">
        <x:v>173</x:v>
      </x:c>
      <x:c r="B52" s="13" t="s">
        <x:v>84</x:v>
      </x:c>
      <x:c r="C52" s="19" t="e">
        <x:f>项目分类明细汇总表1月!$D$8*研发人员工时统计合计!J52</x:f>
        <x:v>#NAME?</x:v>
      </x:c>
    </x:row>
    <x:row r="53">
      <x:c r="A53" s="13" t="s">
        <x:v>174</x:v>
      </x:c>
      <x:c r="B53" s="13" t="s">
        <x:v>85</x:v>
      </x:c>
      <x:c r="C53" s="19" t="e">
        <x:f>项目分类明细汇总表1月!$D$8*研发人员工时统计合计!J53</x:f>
        <x:v>#NAME?</x:v>
      </x:c>
    </x:row>
    <x:row r="54">
      <x:c r="A54" s="13" t="s">
        <x:v>273</x:v>
      </x:c>
      <x:c r="B54" s="13" t="s">
        <x:v>86</x:v>
      </x:c>
      <x:c r="C54" s="19" t="e">
        <x:f>项目分类明细汇总表1月!$D$8*研发人员工时统计合计!J54</x:f>
        <x:v>#NAME?</x:v>
      </x:c>
    </x:row>
    <x:row r="55">
      <x:c r="A55" s="13" t="s">
        <x:v>176</x:v>
      </x:c>
      <x:c r="B55" s="13" t="s">
        <x:v>87</x:v>
      </x:c>
      <x:c r="C55" s="19" t="e">
        <x:f>项目分类明细汇总表1月!$D$8*研发人员工时统计合计!J55</x:f>
        <x:v>#NAME?</x:v>
      </x:c>
    </x:row>
    <x:row r="56">
      <x:c r="A56" s="13" t="s">
        <x:v>177</x:v>
      </x:c>
      <x:c r="B56" s="13" t="s">
        <x:v>88</x:v>
      </x:c>
      <x:c r="C56" s="19" t="e">
        <x:f>项目分类明细汇总表1月!$D$8*研发人员工时统计合计!J56</x:f>
        <x:v>#NAME?</x:v>
      </x:c>
    </x:row>
    <x:row r="57">
      <x:c r="A57" s="13" t="s">
        <x:v>168</x:v>
      </x:c>
      <x:c r="B57" s="13" t="s">
        <x:v>89</x:v>
      </x:c>
      <x:c r="C57" s="19" t="e">
        <x:f>项目分类明细汇总表1月!$D$8*研发人员工时统计合计!J57</x:f>
        <x:v>#NAME?</x:v>
      </x:c>
    </x:row>
    <x:row r="58" ht="17">
      <x:c r="A58" s="13" t="s">
        <x:v>274</x:v>
      </x:c>
      <x:c r="B58" s="15" t="s">
        <x:v>90</x:v>
      </x:c>
      <x:c r="C58" s="19" t="e">
        <x:f>项目分类明细汇总表1月!$D$8*研发人员工时统计合计!J58</x:f>
        <x:v>#NAME?</x:v>
      </x:c>
    </x:row>
    <x:row r="59" ht="17">
      <x:c r="A59" s="13" t="s">
        <x:v>275</x:v>
      </x:c>
      <x:c r="B59" s="15" t="s">
        <x:v>19</x:v>
      </x:c>
      <x:c r="C59" s="19" t="e">
        <x:f>项目分类明细汇总表1月!$D$8*研发人员工时统计合计!J59</x:f>
        <x:v>#NAME?</x:v>
      </x:c>
    </x:row>
    <x:row r="60" ht="17">
      <x:c r="A60" s="13" t="s">
        <x:v>276</x:v>
      </x:c>
      <x:c r="B60" s="15" t="s">
        <x:v>34</x:v>
      </x:c>
      <x:c r="C60" s="19" t="e">
        <x:f>项目分类明细汇总表1月!$D$8*研发人员工时统计合计!J60</x:f>
        <x:v>#NAME?</x:v>
      </x:c>
    </x:row>
    <x:row r="61">
      <x:c r="A61" s="111" t="s">
        <x:v>49</x:v>
      </x:c>
      <x:c r="B61" s="111"/>
      <x:c r="C61" s="19" t="e">
        <x:f>SUM(C43:C60)</x:f>
        <x:v>#NAME?</x:v>
      </x:c>
    </x:row>
  </x:sheetData>
  <x:mergeCells>
    <x:mergeCell ref="A1:I1"/>
    <x:mergeCell ref="A2:C2"/>
    <x:mergeCell ref="D2:I2"/>
    <x:mergeCell ref="A61:B61"/>
    <x:mergeCell ref="A41:A42"/>
    <x:mergeCell ref="B41:B42"/>
    <x:mergeCell ref="C41:C4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10" defaultColWidth="9" defaultRowHeight="14"/>
  <x:cols>
    <x:col min="1" max="1" width="31" customWidth="1"/>
    <x:col min="2" max="2" width="55.6640625" customWidth="1"/>
    <x:col min="3" max="3" width="17" customWidth="1"/>
    <x:col min="6" max="6" width="49.83203125" customWidth="1"/>
    <x:col min="7" max="7" width="9.33203125" customWidth="0"/>
    <x:col min="10" max="10" width="10.33203125" customWidth="0"/>
  </x:cols>
  <x:sheetData>
    <x:row r="1" s="1" customFormat="1" ht="34.75" customHeight="1">
      <x:c r="A1" s="133" t="s">
        <x:v>369</x:v>
      </x:c>
      <x:c r="B1" s="133"/>
      <x:c r="C1" s="133"/>
      <x:c r="D1" s="133"/>
      <x:c r="E1" s="133"/>
      <x:c r="F1" s="133"/>
      <x:c r="G1" s="133"/>
      <x:c r="H1" s="133"/>
      <x:c r="I1" s="133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</x:row>
    <x:row r="2" s="1" customFormat="1">
      <x:c r="A2" s="114" t="e">
        <x:v>#NAME?</x:v>
      </x:c>
      <x:c r="B2" s="134"/>
      <x:c r="C2" s="134"/>
      <x:c r="D2" s="135"/>
      <x:c r="E2" s="135"/>
      <x:c r="F2" s="135"/>
      <x:c r="G2" s="135"/>
      <x:c r="H2" s="135"/>
      <x:c r="I2" s="135"/>
      <x:c r="J2" s="16"/>
      <x:c r="K2" s="17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  <x:c r="W2" s="16"/>
    </x:row>
    <x:row r="3" s="1" customFormat="1">
      <x:c r="A3" s="1" t="s">
        <x:v>295</x:v>
      </x:c>
      <x:c r="B3" s="2"/>
      <x:c r="C3" s="3"/>
      <x:c r="D3" s="4" t="s">
        <x:v>296</x:v>
      </x:c>
      <x:c r="E3" s="5"/>
      <x:c r="F3" s="6" t="e">
        <x:f>G46</x:f>
        <x:v>#REF!</x:v>
      </x:c>
      <x:c r="G3" s="5"/>
      <x:c r="I3" s="18"/>
      <x:c r="J3" s="16"/>
      <x:c r="K3" s="16"/>
      <x:c r="L3" s="17"/>
      <x:c r="M3" s="16"/>
      <x:c r="N3" s="16"/>
      <x:c r="O3" s="16"/>
      <x:c r="P3" s="16"/>
      <x:c r="Q3" s="16"/>
      <x:c r="R3" s="16"/>
      <x:c r="S3" s="16"/>
      <x:c r="T3" s="16"/>
      <x:c r="U3" s="16"/>
      <x:c r="V3" s="16"/>
      <x:c r="W3" s="16"/>
    </x:row>
    <x:row r="4" ht="20" customHeight="1">
      <x:c r="A4" s="7" t="s">
        <x:v>297</x:v>
      </x:c>
      <x:c r="B4" s="7" t="s">
        <x:v>298</x:v>
      </x:c>
      <x:c r="C4" s="7" t="s">
        <x:v>299</x:v>
      </x:c>
      <x:c r="D4" s="7" t="s">
        <x:v>300</x:v>
      </x:c>
      <x:c r="E4" s="7" t="s">
        <x:v>301</x:v>
      </x:c>
      <x:c r="F4" s="7" t="s">
        <x:v>302</x:v>
      </x:c>
      <x:c r="G4" s="7" t="s">
        <x:v>303</x:v>
      </x:c>
      <x:c r="H4" s="8" t="s">
        <x:v>93</x:v>
      </x:c>
      <x:c r="I4" s="8" t="s">
        <x:v>304</x:v>
      </x:c>
    </x:row>
    <x:row r="5" ht="20" customHeight="1">
      <x:c r="A5" s="7"/>
      <x:c r="B5" s="7"/>
      <x:c r="C5" s="7"/>
      <x:c r="D5" s="7"/>
      <x:c r="E5" s="9"/>
      <x:c r="F5" s="7"/>
      <x:c r="G5" s="10"/>
      <x:c r="H5" s="7"/>
      <x:c r="I5" s="7"/>
    </x:row>
    <x:row r="6" ht="20" customHeight="1">
      <x:c r="A6" s="7"/>
      <x:c r="B6" s="7"/>
      <x:c r="C6" s="7"/>
      <x:c r="D6" s="7"/>
      <x:c r="E6" s="9"/>
      <x:c r="F6" s="7"/>
      <x:c r="G6" s="10"/>
      <x:c r="H6" s="7"/>
      <x:c r="I6" s="7"/>
    </x:row>
    <x:row r="7" ht="20" customHeight="1">
      <x:c r="A7" s="7"/>
      <x:c r="B7" s="7"/>
      <x:c r="C7" s="7"/>
      <x:c r="D7" s="7"/>
      <x:c r="E7" s="9"/>
      <x:c r="F7" s="7"/>
      <x:c r="G7" s="10"/>
      <x:c r="H7" s="7"/>
      <x:c r="I7" s="7"/>
    </x:row>
    <x:row r="8" ht="20" customHeight="1">
      <x:c r="A8" s="7"/>
      <x:c r="B8" s="7"/>
      <x:c r="C8" s="7"/>
      <x:c r="D8" s="7"/>
      <x:c r="E8" s="9"/>
      <x:c r="F8" s="7"/>
      <x:c r="G8" s="10"/>
      <x:c r="H8" s="7"/>
      <x:c r="I8" s="7"/>
    </x:row>
    <x:row r="9" ht="20" customHeight="1">
      <x:c r="A9" s="7"/>
      <x:c r="B9" s="7"/>
      <x:c r="C9" s="7"/>
      <x:c r="D9" s="7"/>
      <x:c r="E9" s="9"/>
      <x:c r="F9" s="7"/>
      <x:c r="G9" s="10"/>
      <x:c r="H9" s="7"/>
      <x:c r="I9" s="7"/>
    </x:row>
    <x:row r="10" ht="20" customHeight="1">
      <x:c r="A10" s="7"/>
      <x:c r="B10" s="7"/>
      <x:c r="C10" s="7"/>
      <x:c r="D10" s="7"/>
      <x:c r="E10" s="9"/>
      <x:c r="F10" s="7"/>
      <x:c r="G10" s="10"/>
      <x:c r="H10" s="7"/>
      <x:c r="I10" s="7"/>
    </x:row>
    <x:row r="11" ht="20" customHeight="1">
      <x:c r="A11" s="7"/>
      <x:c r="B11" s="7"/>
      <x:c r="C11" s="7"/>
      <x:c r="D11" s="7"/>
      <x:c r="E11" s="9"/>
      <x:c r="F11" s="7"/>
      <x:c r="G11" s="10"/>
      <x:c r="H11" s="7"/>
      <x:c r="I11" s="7"/>
    </x:row>
    <x:row r="12" ht="20" customHeight="1">
      <x:c r="A12" s="7"/>
      <x:c r="B12" s="7"/>
      <x:c r="C12" s="7"/>
      <x:c r="D12" s="7"/>
      <x:c r="E12" s="9"/>
      <x:c r="F12" s="7"/>
      <x:c r="G12" s="10"/>
      <x:c r="H12" s="7"/>
      <x:c r="I12" s="7"/>
    </x:row>
    <x:row r="13" ht="20" customHeight="1">
      <x:c r="A13" s="7"/>
      <x:c r="B13" s="7"/>
      <x:c r="C13" s="7"/>
      <x:c r="D13" s="7"/>
      <x:c r="E13" s="9"/>
      <x:c r="F13" s="7"/>
      <x:c r="G13" s="10"/>
      <x:c r="H13" s="7"/>
      <x:c r="I13" s="7"/>
    </x:row>
    <x:row r="14" ht="20" customHeight="1">
      <x:c r="A14" s="7"/>
      <x:c r="B14" s="7"/>
      <x:c r="C14" s="7"/>
      <x:c r="D14" s="7"/>
      <x:c r="E14" s="9"/>
      <x:c r="F14" s="7"/>
      <x:c r="G14" s="10"/>
      <x:c r="H14" s="7"/>
      <x:c r="I14" s="7"/>
    </x:row>
    <x:row r="15" ht="20" customHeight="1">
      <x:c r="A15" s="7"/>
      <x:c r="B15" s="7"/>
      <x:c r="C15" s="7"/>
      <x:c r="D15" s="7"/>
      <x:c r="E15" s="9"/>
      <x:c r="F15" s="7"/>
      <x:c r="G15" s="10"/>
      <x:c r="H15" s="7"/>
      <x:c r="I15" s="7"/>
    </x:row>
    <x:row r="16" ht="20" customHeight="1">
      <x:c r="A16" s="7"/>
      <x:c r="B16" s="7"/>
      <x:c r="C16" s="7"/>
      <x:c r="D16" s="7"/>
      <x:c r="E16" s="9"/>
      <x:c r="F16" s="7"/>
      <x:c r="G16" s="10"/>
      <x:c r="H16" s="7"/>
      <x:c r="I16" s="7"/>
    </x:row>
    <x:row r="17" ht="20" customHeight="1">
      <x:c r="A17" s="7"/>
      <x:c r="B17" s="7"/>
      <x:c r="C17" s="7"/>
      <x:c r="D17" s="7"/>
      <x:c r="E17" s="9"/>
      <x:c r="F17" s="7"/>
      <x:c r="G17" s="10"/>
      <x:c r="H17" s="7"/>
      <x:c r="I17" s="7"/>
    </x:row>
    <x:row r="18" ht="20" customHeight="1">
      <x:c r="A18" s="7"/>
      <x:c r="B18" s="7"/>
      <x:c r="C18" s="7"/>
      <x:c r="D18" s="7"/>
      <x:c r="E18" s="9"/>
      <x:c r="F18" s="7"/>
      <x:c r="G18" s="10"/>
      <x:c r="H18" s="7"/>
      <x:c r="I18" s="7"/>
    </x:row>
    <x:row r="19" ht="20" customHeight="1">
      <x:c r="A19" s="7"/>
      <x:c r="B19" s="7"/>
      <x:c r="C19" s="7"/>
      <x:c r="D19" s="7"/>
      <x:c r="E19" s="9"/>
      <x:c r="F19" s="7"/>
      <x:c r="G19" s="10"/>
      <x:c r="H19" s="7"/>
      <x:c r="I19" s="7"/>
    </x:row>
    <x:row r="20" ht="20" customHeight="1">
      <x:c r="A20" s="7"/>
      <x:c r="B20" s="7"/>
      <x:c r="C20" s="7"/>
      <x:c r="D20" s="7"/>
      <x:c r="E20" s="9"/>
      <x:c r="F20" s="7"/>
      <x:c r="G20" s="10"/>
      <x:c r="H20" s="7"/>
      <x:c r="I20" s="7"/>
    </x:row>
    <x:row r="21" ht="20" customHeight="1">
      <x:c r="A21" s="7"/>
      <x:c r="B21" s="7"/>
      <x:c r="C21" s="7"/>
      <x:c r="D21" s="7"/>
      <x:c r="E21" s="9"/>
      <x:c r="F21" s="7"/>
      <x:c r="G21" s="10"/>
      <x:c r="H21" s="7"/>
      <x:c r="I21" s="7"/>
    </x:row>
    <x:row r="22" ht="20" customHeight="1">
      <x:c r="A22" s="7"/>
      <x:c r="B22" s="7"/>
      <x:c r="C22" s="7"/>
      <x:c r="D22" s="7"/>
      <x:c r="E22" s="9"/>
      <x:c r="F22" s="7"/>
      <x:c r="G22" s="10"/>
      <x:c r="H22" s="7"/>
      <x:c r="I22" s="7"/>
    </x:row>
    <x:row r="23" ht="20" customHeight="1">
      <x:c r="A23" s="7"/>
      <x:c r="B23" s="7"/>
      <x:c r="C23" s="7"/>
      <x:c r="D23" s="7"/>
      <x:c r="E23" s="9"/>
      <x:c r="F23" s="7"/>
      <x:c r="G23" s="10"/>
      <x:c r="H23" s="7"/>
      <x:c r="I23" s="7"/>
    </x:row>
    <x:row r="24" ht="20" customHeight="1">
      <x:c r="A24" s="7"/>
      <x:c r="B24" s="7"/>
      <x:c r="C24" s="7"/>
      <x:c r="D24" s="7"/>
      <x:c r="E24" s="9"/>
      <x:c r="F24" s="7"/>
      <x:c r="G24" s="10"/>
      <x:c r="H24" s="7"/>
      <x:c r="I24" s="7"/>
    </x:row>
    <x:row r="25" ht="20" customHeight="1">
      <x:c r="A25" s="7"/>
      <x:c r="B25" s="7"/>
      <x:c r="C25" s="7"/>
      <x:c r="D25" s="7"/>
      <x:c r="E25" s="9"/>
      <x:c r="F25" s="7"/>
      <x:c r="G25" s="10"/>
      <x:c r="H25" s="7"/>
      <x:c r="I25" s="7"/>
    </x:row>
    <x:row r="26" ht="20" customHeight="1">
      <x:c r="A26" s="7"/>
      <x:c r="B26" s="7"/>
      <x:c r="C26" s="7"/>
      <x:c r="D26" s="7"/>
      <x:c r="E26" s="9"/>
      <x:c r="F26" s="7"/>
      <x:c r="G26" s="10"/>
      <x:c r="H26" s="7"/>
      <x:c r="I26" s="7"/>
    </x:row>
    <x:row r="27" ht="20" customHeight="1">
      <x:c r="A27" s="7"/>
      <x:c r="B27" s="7"/>
      <x:c r="C27" s="7"/>
      <x:c r="D27" s="7"/>
      <x:c r="E27" s="9"/>
      <x:c r="F27" s="7"/>
      <x:c r="G27" s="10"/>
      <x:c r="H27" s="7"/>
      <x:c r="I27" s="7"/>
    </x:row>
    <x:row r="28" ht="20" customHeight="1">
      <x:c r="A28" s="7"/>
      <x:c r="B28" s="7"/>
      <x:c r="C28" s="7"/>
      <x:c r="D28" s="7"/>
      <x:c r="E28" s="9"/>
      <x:c r="F28" s="7"/>
      <x:c r="G28" s="10"/>
      <x:c r="H28" s="7"/>
      <x:c r="I28" s="7"/>
    </x:row>
    <x:row r="29" ht="20" customHeight="1">
      <x:c r="A29" s="7"/>
      <x:c r="B29" s="7"/>
      <x:c r="C29" s="7"/>
      <x:c r="D29" s="7"/>
      <x:c r="E29" s="9"/>
      <x:c r="F29" s="7"/>
      <x:c r="G29" s="10"/>
      <x:c r="H29" s="7"/>
      <x:c r="I29" s="7"/>
    </x:row>
    <x:row r="30" ht="20" customHeight="1">
      <x:c r="A30" s="7"/>
      <x:c r="B30" s="7"/>
      <x:c r="C30" s="7"/>
      <x:c r="D30" s="7"/>
      <x:c r="E30" s="9"/>
      <x:c r="F30" s="7"/>
      <x:c r="G30" s="10"/>
      <x:c r="H30" s="7"/>
      <x:c r="I30" s="7"/>
    </x:row>
    <x:row r="31" ht="20" customHeight="1">
      <x:c r="A31" s="7"/>
      <x:c r="B31" s="7"/>
      <x:c r="C31" s="7"/>
      <x:c r="D31" s="7"/>
      <x:c r="E31" s="9"/>
      <x:c r="F31" s="7"/>
      <x:c r="G31" s="10"/>
      <x:c r="H31" s="7"/>
      <x:c r="I31" s="7"/>
    </x:row>
    <x:row r="32" ht="20" customHeight="1">
      <x:c r="A32" s="7"/>
      <x:c r="B32" s="7"/>
      <x:c r="C32" s="7"/>
      <x:c r="D32" s="7"/>
      <x:c r="E32" s="9"/>
      <x:c r="F32" s="7"/>
      <x:c r="G32" s="10"/>
      <x:c r="H32" s="7"/>
      <x:c r="I32" s="7"/>
    </x:row>
    <x:row r="33" ht="20" customHeight="1">
      <x:c r="A33" s="7"/>
      <x:c r="B33" s="7"/>
      <x:c r="C33" s="7"/>
      <x:c r="D33" s="7"/>
      <x:c r="E33" s="9"/>
      <x:c r="F33" s="7"/>
      <x:c r="G33" s="10"/>
      <x:c r="H33" s="7"/>
      <x:c r="I33" s="7"/>
    </x:row>
    <x:row r="34" ht="20" customHeight="1">
      <x:c r="A34" s="7"/>
      <x:c r="B34" s="7"/>
      <x:c r="C34" s="7"/>
      <x:c r="D34" s="7"/>
      <x:c r="E34" s="9"/>
      <x:c r="F34" s="7"/>
      <x:c r="G34" s="10"/>
      <x:c r="H34" s="7"/>
      <x:c r="I34" s="7"/>
    </x:row>
    <x:row r="35" ht="20" customHeight="1">
      <x:c r="A35" s="7"/>
      <x:c r="B35" s="7"/>
      <x:c r="C35" s="7"/>
      <x:c r="D35" s="7"/>
      <x:c r="E35" s="9"/>
      <x:c r="F35" s="7"/>
      <x:c r="G35" s="10"/>
      <x:c r="H35" s="7"/>
      <x:c r="I35" s="7"/>
    </x:row>
    <x:row r="36" ht="20" customHeight="1">
      <x:c r="A36" s="7"/>
      <x:c r="B36" s="7"/>
      <x:c r="C36" s="7"/>
      <x:c r="D36" s="7"/>
      <x:c r="E36" s="9"/>
      <x:c r="F36" s="7"/>
      <x:c r="G36" s="10"/>
      <x:c r="H36" s="7"/>
      <x:c r="I36" s="7"/>
    </x:row>
    <x:row r="37" ht="20" customHeight="1">
      <x:c r="A37" s="7"/>
      <x:c r="B37" s="7"/>
      <x:c r="C37" s="7"/>
      <x:c r="D37" s="7"/>
      <x:c r="E37" s="9"/>
      <x:c r="F37" s="7"/>
      <x:c r="G37" s="10"/>
      <x:c r="H37" s="7"/>
      <x:c r="I37" s="7"/>
    </x:row>
    <x:row r="38" ht="20" customHeight="1">
      <x:c r="A38" s="7"/>
      <x:c r="B38" s="7"/>
      <x:c r="C38" s="7"/>
      <x:c r="D38" s="7"/>
      <x:c r="E38" s="9"/>
      <x:c r="F38" s="7"/>
      <x:c r="G38" s="10"/>
      <x:c r="H38" s="7"/>
      <x:c r="I38" s="7"/>
    </x:row>
    <x:row r="39" ht="20" customHeight="1">
      <x:c r="A39" s="7"/>
      <x:c r="B39" s="7"/>
      <x:c r="C39" s="7"/>
      <x:c r="D39" s="7"/>
      <x:c r="E39" s="9"/>
      <x:c r="F39" s="7"/>
      <x:c r="G39" s="10"/>
      <x:c r="H39" s="7"/>
      <x:c r="I39" s="7"/>
    </x:row>
    <x:row r="40" ht="20" customHeight="1">
      <x:c r="A40" s="7"/>
      <x:c r="B40" s="7"/>
      <x:c r="C40" s="7"/>
      <x:c r="D40" s="7"/>
      <x:c r="E40" s="9"/>
      <x:c r="F40" s="7"/>
      <x:c r="G40" s="10"/>
      <x:c r="H40" s="7"/>
      <x:c r="I40" s="7"/>
    </x:row>
    <x:row r="41" ht="20" customHeight="1">
      <x:c r="A41" s="7"/>
      <x:c r="B41" s="7"/>
      <x:c r="C41" s="7"/>
      <x:c r="D41" s="7"/>
      <x:c r="E41" s="9"/>
      <x:c r="F41" s="7"/>
      <x:c r="G41" s="10"/>
      <x:c r="H41" s="7"/>
      <x:c r="I41" s="7"/>
    </x:row>
    <x:row r="42" ht="20" customHeight="1">
      <x:c r="A42" s="7"/>
      <x:c r="B42" s="7"/>
      <x:c r="C42" s="7"/>
      <x:c r="D42" s="7"/>
      <x:c r="E42" s="9"/>
      <x:c r="F42" s="7"/>
      <x:c r="G42" s="10"/>
      <x:c r="H42" s="7"/>
      <x:c r="I42" s="7"/>
    </x:row>
    <x:row r="43" ht="20" customHeight="1">
      <x:c r="A43" s="7"/>
      <x:c r="B43" s="7"/>
      <x:c r="C43" s="7"/>
      <x:c r="D43" s="7"/>
      <x:c r="E43" s="9"/>
      <x:c r="F43" s="7"/>
      <x:c r="G43" s="10"/>
      <x:c r="H43" s="7"/>
      <x:c r="I43" s="7"/>
    </x:row>
    <x:row r="44" ht="20" customHeight="1">
      <x:c r="A44" s="7"/>
      <x:c r="B44" s="7"/>
      <x:c r="C44" s="7"/>
      <x:c r="D44" s="7"/>
      <x:c r="E44" s="9"/>
      <x:c r="F44" s="7"/>
      <x:c r="G44" s="10"/>
      <x:c r="H44" s="7"/>
      <x:c r="I44" s="7"/>
    </x:row>
    <x:row r="45" ht="20" customHeight="1">
      <x:c r="A45" s="7"/>
      <x:c r="B45" s="7"/>
      <x:c r="C45" s="7"/>
      <x:c r="D45" s="7"/>
      <x:c r="E45" s="9"/>
      <x:c r="F45" s="7"/>
      <x:c r="G45" s="10"/>
      <x:c r="H45" s="7"/>
      <x:c r="I45" s="7"/>
    </x:row>
    <x:row r="46">
      <x:c r="A46" s="111" t="s">
        <x:v>49</x:v>
      </x:c>
      <x:c r="B46" s="111"/>
      <x:c r="C46" s="111"/>
      <x:c r="D46" s="111"/>
      <x:c r="E46" s="111"/>
      <x:c r="F46" s="111"/>
      <x:c r="G46" s="7" t="e">
        <x:f>SUM(#REF!)</x:f>
        <x:v>#REF!</x:v>
      </x:c>
      <x:c r="H46" s="7"/>
      <x:c r="I46" s="7"/>
    </x:row>
    <x:row r="49">
      <x:c r="A49" s="112" t="s">
        <x:v>50</x:v>
      </x:c>
      <x:c r="B49" s="112" t="s">
        <x:v>2</x:v>
      </x:c>
      <x:c r="C49" s="124" t="s">
        <x:v>327</x:v>
      </x:c>
    </x:row>
    <x:row r="50">
      <x:c r="A50" s="112"/>
      <x:c r="B50" s="112"/>
      <x:c r="C50" s="124"/>
    </x:row>
    <x:row r="51">
      <x:c r="A51" s="13" t="s">
        <x:v>164</x:v>
      </x:c>
      <x:c r="B51" s="13" t="s">
        <x:v>75</x:v>
      </x:c>
      <x:c r="C51" s="14"/>
    </x:row>
    <x:row r="52">
      <x:c r="A52" s="13" t="s">
        <x:v>165</x:v>
      </x:c>
      <x:c r="B52" s="13" t="s">
        <x:v>76</x:v>
      </x:c>
      <x:c r="C52" s="14"/>
    </x:row>
    <x:row r="53">
      <x:c r="A53" s="13" t="s">
        <x:v>166</x:v>
      </x:c>
      <x:c r="B53" s="13" t="s">
        <x:v>77</x:v>
      </x:c>
      <x:c r="C53" s="14"/>
    </x:row>
    <x:row r="54">
      <x:c r="A54" s="13" t="s">
        <x:v>167</x:v>
      </x:c>
      <x:c r="B54" s="13" t="s">
        <x:v>78</x:v>
      </x:c>
      <x:c r="C54" s="14"/>
    </x:row>
    <x:row r="55">
      <x:c r="A55" s="13" t="s">
        <x:v>168</x:v>
      </x:c>
      <x:c r="B55" s="13" t="s">
        <x:v>79</x:v>
      </x:c>
      <x:c r="C55" s="14"/>
    </x:row>
    <x:row r="56">
      <x:c r="A56" s="13" t="s">
        <x:v>169</x:v>
      </x:c>
      <x:c r="B56" s="13" t="s">
        <x:v>80</x:v>
      </x:c>
      <x:c r="C56" s="14"/>
    </x:row>
    <x:row r="57">
      <x:c r="A57" s="13" t="s">
        <x:v>170</x:v>
      </x:c>
      <x:c r="B57" s="13" t="s">
        <x:v>81</x:v>
      </x:c>
      <x:c r="C57" s="14"/>
    </x:row>
    <x:row r="58">
      <x:c r="A58" s="13" t="s">
        <x:v>171</x:v>
      </x:c>
      <x:c r="B58" s="13" t="s">
        <x:v>82</x:v>
      </x:c>
      <x:c r="C58" s="14"/>
    </x:row>
    <x:row r="59">
      <x:c r="A59" s="13" t="s">
        <x:v>172</x:v>
      </x:c>
      <x:c r="B59" s="13" t="s">
        <x:v>83</x:v>
      </x:c>
      <x:c r="C59" s="14"/>
    </x:row>
    <x:row r="60">
      <x:c r="A60" s="13" t="s">
        <x:v>173</x:v>
      </x:c>
      <x:c r="B60" s="13" t="s">
        <x:v>84</x:v>
      </x:c>
      <x:c r="C60" s="14"/>
    </x:row>
    <x:row r="61">
      <x:c r="A61" s="13" t="s">
        <x:v>174</x:v>
      </x:c>
      <x:c r="B61" s="13" t="s">
        <x:v>85</x:v>
      </x:c>
      <x:c r="C61" s="14"/>
    </x:row>
    <x:row r="62">
      <x:c r="A62" s="13" t="s">
        <x:v>273</x:v>
      </x:c>
      <x:c r="B62" s="13" t="s">
        <x:v>86</x:v>
      </x:c>
      <x:c r="C62" s="14"/>
    </x:row>
    <x:row r="63">
      <x:c r="A63" s="13" t="s">
        <x:v>176</x:v>
      </x:c>
      <x:c r="B63" s="13" t="s">
        <x:v>87</x:v>
      </x:c>
      <x:c r="C63" s="14"/>
    </x:row>
    <x:row r="64">
      <x:c r="A64" s="13" t="s">
        <x:v>177</x:v>
      </x:c>
      <x:c r="B64" s="13" t="s">
        <x:v>88</x:v>
      </x:c>
      <x:c r="C64" s="14"/>
    </x:row>
    <x:row r="65">
      <x:c r="A65" s="13" t="s">
        <x:v>168</x:v>
      </x:c>
      <x:c r="B65" s="13" t="s">
        <x:v>89</x:v>
      </x:c>
      <x:c r="C65" s="14"/>
    </x:row>
    <x:row r="66" ht="17">
      <x:c r="A66" s="13" t="s">
        <x:v>274</x:v>
      </x:c>
      <x:c r="B66" s="15" t="s">
        <x:v>90</x:v>
      </x:c>
      <x:c r="C66" s="14"/>
    </x:row>
    <x:row r="67" ht="17">
      <x:c r="A67" s="13" t="s">
        <x:v>275</x:v>
      </x:c>
      <x:c r="B67" s="15" t="s">
        <x:v>19</x:v>
      </x:c>
      <x:c r="C67" s="14"/>
    </x:row>
    <x:row r="68" ht="17">
      <x:c r="A68" s="13" t="s">
        <x:v>276</x:v>
      </x:c>
      <x:c r="B68" s="15" t="s">
        <x:v>34</x:v>
      </x:c>
      <x:c r="C68" s="14"/>
    </x:row>
    <x:row r="69">
      <x:c r="A69" s="111" t="s">
        <x:v>49</x:v>
      </x:c>
      <x:c r="B69" s="111"/>
      <x:c r="C69" s="14" t="n">
        <x:f>SUM(C51:C68)</x:f>
        <x:v>0</x:v>
      </x:c>
    </x:row>
  </x:sheetData>
  <x:mergeCells>
    <x:mergeCell ref="A1:I1"/>
    <x:mergeCell ref="A2:C2"/>
    <x:mergeCell ref="D2:I2"/>
    <x:mergeCell ref="A46:F46"/>
    <x:mergeCell ref="A69:B69"/>
    <x:mergeCell ref="A49:A50"/>
    <x:mergeCell ref="B49:B50"/>
    <x:mergeCell ref="C49:C50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10" defaultColWidth="9" defaultRowHeight="14"/>
  <x:cols>
    <x:col min="1" max="1" width="24.83203125" customWidth="1"/>
    <x:col min="2" max="2" width="24.1640625" customWidth="1"/>
    <x:col min="3" max="3" width="17.83203125" customWidth="1"/>
    <x:col min="4" max="4" width="22" customWidth="1"/>
    <x:col min="5" max="5" width="7.33203125" customWidth="1"/>
    <x:col min="6" max="6" width="40.33203125" customWidth="1"/>
  </x:cols>
  <x:sheetData>
    <x:row r="1" s="1" customFormat="1" ht="34.75" customHeight="1">
      <x:c r="A1" s="133" t="s">
        <x:v>370</x:v>
      </x:c>
      <x:c r="B1" s="133"/>
      <x:c r="C1" s="133"/>
      <x:c r="D1" s="133"/>
      <x:c r="E1" s="133"/>
      <x:c r="F1" s="133"/>
      <x:c r="G1" s="133"/>
      <x:c r="H1" s="133"/>
      <x:c r="I1" s="133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</x:row>
    <x:row r="2" s="1" customFormat="1">
      <x:c r="A2" s="114" t="e">
        <x:v>#NAME?</x:v>
      </x:c>
      <x:c r="B2" s="134"/>
      <x:c r="C2" s="134"/>
      <x:c r="D2" s="135"/>
      <x:c r="E2" s="135"/>
      <x:c r="F2" s="135"/>
      <x:c r="G2" s="135"/>
      <x:c r="H2" s="135"/>
      <x:c r="I2" s="135"/>
      <x:c r="J2" s="16"/>
      <x:c r="K2" s="17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  <x:c r="W2" s="16"/>
    </x:row>
    <x:row r="3" s="1" customFormat="1">
      <x:c r="A3" s="1" t="s">
        <x:v>295</x:v>
      </x:c>
      <x:c r="B3" s="2"/>
      <x:c r="C3" s="3"/>
      <x:c r="D3" s="4" t="s">
        <x:v>296</x:v>
      </x:c>
      <x:c r="E3" s="5"/>
      <x:c r="F3" s="6" t="n">
        <x:f>G5</x:f>
        <x:v>0</x:v>
      </x:c>
      <x:c r="G3" s="5"/>
      <x:c r="I3" s="18"/>
      <x:c r="J3" s="16"/>
      <x:c r="K3" s="16"/>
      <x:c r="L3" s="17"/>
      <x:c r="M3" s="16"/>
      <x:c r="N3" s="16"/>
      <x:c r="O3" s="16"/>
      <x:c r="P3" s="16"/>
      <x:c r="Q3" s="16"/>
      <x:c r="R3" s="16"/>
      <x:c r="S3" s="16"/>
      <x:c r="T3" s="16"/>
      <x:c r="U3" s="16"/>
      <x:c r="V3" s="16"/>
      <x:c r="W3" s="16"/>
    </x:row>
    <x:row r="4" ht="20" customHeight="1">
      <x:c r="A4" s="7" t="s">
        <x:v>297</x:v>
      </x:c>
      <x:c r="B4" s="7" t="s">
        <x:v>298</x:v>
      </x:c>
      <x:c r="C4" s="7" t="s">
        <x:v>299</x:v>
      </x:c>
      <x:c r="D4" s="7" t="s">
        <x:v>300</x:v>
      </x:c>
      <x:c r="E4" s="7" t="s">
        <x:v>301</x:v>
      </x:c>
      <x:c r="F4" s="7" t="s">
        <x:v>302</x:v>
      </x:c>
      <x:c r="G4" s="7" t="s">
        <x:v>303</x:v>
      </x:c>
      <x:c r="H4" s="8" t="s">
        <x:v>93</x:v>
      </x:c>
      <x:c r="I4" s="8" t="s">
        <x:v>304</x:v>
      </x:c>
    </x:row>
    <x:row r="5" ht="20" customHeight="1">
      <x:c r="A5" s="7"/>
      <x:c r="B5" s="7"/>
      <x:c r="C5" s="7"/>
      <x:c r="D5" s="7"/>
      <x:c r="E5" s="9"/>
      <x:c r="F5" s="7"/>
      <x:c r="G5" s="10">
        <x:v>0</x:v>
      </x:c>
      <x:c r="H5" s="7"/>
      <x:c r="I5" s="7"/>
    </x:row>
    <x:row r="6" ht="20" customHeight="1">
      <x:c r="A6" s="7"/>
      <x:c r="B6" s="7"/>
      <x:c r="C6" s="7"/>
      <x:c r="D6" s="7"/>
      <x:c r="E6" s="9"/>
      <x:c r="F6" s="7"/>
      <x:c r="G6" s="10"/>
      <x:c r="H6" s="7"/>
      <x:c r="I6" s="7"/>
    </x:row>
    <x:row r="7" ht="20" customHeight="1">
      <x:c r="A7" s="7"/>
      <x:c r="B7" s="7"/>
      <x:c r="C7" s="7"/>
      <x:c r="D7" s="7"/>
      <x:c r="E7" s="9"/>
      <x:c r="F7" s="7"/>
      <x:c r="G7" s="10"/>
      <x:c r="H7" s="7"/>
      <x:c r="I7" s="7"/>
    </x:row>
    <x:row r="8" ht="20" customHeight="1">
      <x:c r="A8" s="7"/>
      <x:c r="B8" s="7"/>
      <x:c r="C8" s="7"/>
      <x:c r="D8" s="7"/>
      <x:c r="E8" s="9"/>
      <x:c r="F8" s="7"/>
      <x:c r="G8" s="10"/>
      <x:c r="H8" s="7"/>
      <x:c r="I8" s="7"/>
    </x:row>
    <x:row r="9" ht="20" customHeight="1">
      <x:c r="A9" s="7"/>
      <x:c r="B9" s="7"/>
      <x:c r="C9" s="7"/>
      <x:c r="D9" s="7"/>
      <x:c r="E9" s="9"/>
      <x:c r="F9" s="7"/>
      <x:c r="G9" s="10"/>
      <x:c r="H9" s="7"/>
      <x:c r="I9" s="7"/>
    </x:row>
    <x:row r="10" ht="20" customHeight="1">
      <x:c r="A10" s="7"/>
      <x:c r="B10" s="7"/>
      <x:c r="C10" s="7"/>
      <x:c r="D10" s="7"/>
      <x:c r="E10" s="9"/>
      <x:c r="F10" s="7"/>
      <x:c r="G10" s="10"/>
      <x:c r="H10" s="7"/>
      <x:c r="I10" s="7"/>
    </x:row>
    <x:row r="11" ht="20" customHeight="1">
      <x:c r="A11" s="7"/>
      <x:c r="B11" s="7"/>
      <x:c r="C11" s="7"/>
      <x:c r="D11" s="7"/>
      <x:c r="E11" s="9"/>
      <x:c r="F11" s="7"/>
      <x:c r="G11" s="10"/>
      <x:c r="H11" s="7"/>
      <x:c r="I11" s="7"/>
    </x:row>
    <x:row r="12" ht="20" customHeight="1">
      <x:c r="A12" s="7"/>
      <x:c r="B12" s="7"/>
      <x:c r="C12" s="7"/>
      <x:c r="D12" s="7"/>
      <x:c r="E12" s="9"/>
      <x:c r="F12" s="7"/>
      <x:c r="G12" s="10"/>
      <x:c r="H12" s="7"/>
      <x:c r="I12" s="7"/>
    </x:row>
    <x:row r="13" ht="20" customHeight="1">
      <x:c r="A13" s="7"/>
      <x:c r="B13" s="7"/>
      <x:c r="C13" s="7"/>
      <x:c r="D13" s="7"/>
      <x:c r="E13" s="9"/>
      <x:c r="F13" s="7"/>
      <x:c r="G13" s="10"/>
      <x:c r="H13" s="7"/>
      <x:c r="I13" s="7"/>
    </x:row>
    <x:row r="14" ht="20" customHeight="1">
      <x:c r="A14" s="7"/>
      <x:c r="B14" s="7"/>
      <x:c r="C14" s="7"/>
      <x:c r="D14" s="7"/>
      <x:c r="E14" s="9"/>
      <x:c r="F14" s="7"/>
      <x:c r="G14" s="10"/>
      <x:c r="H14" s="7"/>
      <x:c r="I14" s="7"/>
    </x:row>
    <x:row r="15" ht="20" customHeight="1">
      <x:c r="A15" s="7"/>
      <x:c r="B15" s="7"/>
      <x:c r="C15" s="7"/>
      <x:c r="D15" s="7"/>
      <x:c r="E15" s="9"/>
      <x:c r="F15" s="7"/>
      <x:c r="G15" s="10"/>
      <x:c r="H15" s="7"/>
      <x:c r="I15" s="7"/>
    </x:row>
    <x:row r="16" ht="20" customHeight="1">
      <x:c r="A16" s="7"/>
      <x:c r="B16" s="7"/>
      <x:c r="C16" s="7"/>
      <x:c r="D16" s="7"/>
      <x:c r="E16" s="9"/>
      <x:c r="F16" s="7"/>
      <x:c r="G16" s="10"/>
      <x:c r="H16" s="7"/>
      <x:c r="I16" s="7"/>
    </x:row>
    <x:row r="17" ht="20" customHeight="1">
      <x:c r="A17" s="7"/>
      <x:c r="B17" s="7"/>
      <x:c r="C17" s="7"/>
      <x:c r="D17" s="7"/>
      <x:c r="E17" s="9"/>
      <x:c r="F17" s="7"/>
      <x:c r="G17" s="10"/>
      <x:c r="H17" s="7"/>
      <x:c r="I17" s="7"/>
    </x:row>
    <x:row r="18" ht="20" customHeight="1">
      <x:c r="A18" s="7"/>
      <x:c r="B18" s="7"/>
      <x:c r="C18" s="7"/>
      <x:c r="D18" s="7"/>
      <x:c r="E18" s="9"/>
      <x:c r="F18" s="7"/>
      <x:c r="G18" s="10"/>
      <x:c r="H18" s="7"/>
      <x:c r="I18" s="7"/>
    </x:row>
    <x:row r="19" ht="20" customHeight="1">
      <x:c r="A19" s="7"/>
      <x:c r="B19" s="7"/>
      <x:c r="C19" s="7"/>
      <x:c r="D19" s="7"/>
      <x:c r="E19" s="9"/>
      <x:c r="F19" s="7"/>
      <x:c r="G19" s="10"/>
      <x:c r="H19" s="7"/>
      <x:c r="I19" s="7"/>
    </x:row>
    <x:row r="20" ht="20" customHeight="1">
      <x:c r="A20" s="7"/>
      <x:c r="B20" s="7"/>
      <x:c r="C20" s="7"/>
      <x:c r="D20" s="7"/>
      <x:c r="E20" s="9"/>
      <x:c r="F20" s="7"/>
      <x:c r="G20" s="10"/>
      <x:c r="H20" s="7"/>
      <x:c r="I20" s="7"/>
    </x:row>
    <x:row r="21" ht="20" customHeight="1">
      <x:c r="A21" s="7"/>
      <x:c r="B21" s="7"/>
      <x:c r="C21" s="7"/>
      <x:c r="D21" s="7"/>
      <x:c r="E21" s="9"/>
      <x:c r="F21" s="7"/>
      <x:c r="G21" s="10"/>
      <x:c r="H21" s="7"/>
      <x:c r="I21" s="7"/>
    </x:row>
    <x:row r="22" ht="20" customHeight="1">
      <x:c r="A22" s="7"/>
      <x:c r="B22" s="7"/>
      <x:c r="C22" s="7"/>
      <x:c r="D22" s="7"/>
      <x:c r="E22" s="9"/>
      <x:c r="F22" s="7"/>
      <x:c r="G22" s="10"/>
      <x:c r="H22" s="7"/>
      <x:c r="I22" s="7"/>
    </x:row>
    <x:row r="23" ht="20" customHeight="1">
      <x:c r="A23" s="7"/>
      <x:c r="B23" s="7"/>
      <x:c r="C23" s="7"/>
      <x:c r="D23" s="7"/>
      <x:c r="E23" s="9"/>
      <x:c r="F23" s="7"/>
      <x:c r="G23" s="10"/>
      <x:c r="H23" s="7"/>
      <x:c r="I23" s="7"/>
    </x:row>
    <x:row r="24" ht="20" customHeight="1">
      <x:c r="A24" s="7"/>
      <x:c r="B24" s="7"/>
      <x:c r="C24" s="7"/>
      <x:c r="D24" s="7"/>
      <x:c r="E24" s="9"/>
      <x:c r="F24" s="7"/>
      <x:c r="G24" s="10"/>
      <x:c r="H24" s="7"/>
      <x:c r="I24" s="7"/>
    </x:row>
    <x:row r="25" ht="20" customHeight="1">
      <x:c r="A25" s="7"/>
      <x:c r="B25" s="7"/>
      <x:c r="C25" s="7"/>
      <x:c r="D25" s="7"/>
      <x:c r="E25" s="9"/>
      <x:c r="F25" s="7"/>
      <x:c r="G25" s="10"/>
      <x:c r="H25" s="7"/>
      <x:c r="I25" s="7"/>
    </x:row>
    <x:row r="26" ht="20" customHeight="1">
      <x:c r="A26" s="7"/>
      <x:c r="B26" s="7"/>
      <x:c r="C26" s="7"/>
      <x:c r="D26" s="7"/>
      <x:c r="E26" s="9"/>
      <x:c r="F26" s="7"/>
      <x:c r="G26" s="10"/>
      <x:c r="H26" s="7"/>
      <x:c r="I26" s="7"/>
    </x:row>
    <x:row r="27" ht="20" customHeight="1">
      <x:c r="A27" s="7"/>
      <x:c r="B27" s="7"/>
      <x:c r="C27" s="7"/>
      <x:c r="D27" s="7"/>
      <x:c r="E27" s="9"/>
      <x:c r="F27" s="7"/>
      <x:c r="G27" s="10"/>
      <x:c r="H27" s="7"/>
      <x:c r="I27" s="7"/>
    </x:row>
    <x:row r="28" ht="20" customHeight="1">
      <x:c r="A28" s="7"/>
      <x:c r="B28" s="7"/>
      <x:c r="C28" s="7"/>
      <x:c r="D28" s="7"/>
      <x:c r="E28" s="9"/>
      <x:c r="F28" s="7"/>
      <x:c r="G28" s="10"/>
      <x:c r="H28" s="7"/>
      <x:c r="I28" s="7"/>
    </x:row>
    <x:row r="29" ht="20" customHeight="1">
      <x:c r="A29" s="7"/>
      <x:c r="B29" s="7"/>
      <x:c r="C29" s="7"/>
      <x:c r="D29" s="7"/>
      <x:c r="E29" s="9"/>
      <x:c r="F29" s="7"/>
      <x:c r="G29" s="10"/>
      <x:c r="H29" s="7"/>
      <x:c r="I29" s="7"/>
    </x:row>
    <x:row r="30" ht="20" customHeight="1">
      <x:c r="A30" s="7"/>
      <x:c r="B30" s="7"/>
      <x:c r="C30" s="7"/>
      <x:c r="D30" s="7"/>
      <x:c r="E30" s="9"/>
      <x:c r="F30" s="7"/>
      <x:c r="G30" s="10"/>
      <x:c r="H30" s="7"/>
      <x:c r="I30" s="7"/>
    </x:row>
    <x:row r="31" ht="20" customHeight="1">
      <x:c r="A31" s="7"/>
      <x:c r="B31" s="7"/>
      <x:c r="C31" s="7"/>
      <x:c r="D31" s="7"/>
      <x:c r="E31" s="9"/>
      <x:c r="F31" s="7"/>
      <x:c r="G31" s="10"/>
      <x:c r="H31" s="7"/>
      <x:c r="I31" s="7"/>
    </x:row>
    <x:row r="32" ht="20" customHeight="1">
      <x:c r="A32" s="7"/>
      <x:c r="B32" s="7"/>
      <x:c r="C32" s="7"/>
      <x:c r="D32" s="7"/>
      <x:c r="E32" s="9"/>
      <x:c r="F32" s="7"/>
      <x:c r="G32" s="10"/>
      <x:c r="H32" s="7"/>
      <x:c r="I32" s="7"/>
    </x:row>
    <x:row r="33" ht="20" customHeight="1">
      <x:c r="A33" s="7"/>
      <x:c r="B33" s="7"/>
      <x:c r="C33" s="7"/>
      <x:c r="D33" s="7"/>
      <x:c r="E33" s="9"/>
      <x:c r="F33" s="7"/>
      <x:c r="G33" s="10"/>
      <x:c r="H33" s="7"/>
      <x:c r="I33" s="7"/>
    </x:row>
    <x:row r="34" ht="20" customHeight="1">
      <x:c r="A34" s="7"/>
      <x:c r="B34" s="7"/>
      <x:c r="C34" s="7"/>
      <x:c r="D34" s="7"/>
      <x:c r="E34" s="9"/>
      <x:c r="F34" s="7"/>
      <x:c r="G34" s="10"/>
      <x:c r="H34" s="7"/>
      <x:c r="I34" s="7"/>
    </x:row>
    <x:row r="35" ht="20" customHeight="1">
      <x:c r="A35" s="7"/>
      <x:c r="B35" s="7"/>
      <x:c r="C35" s="7"/>
      <x:c r="D35" s="7"/>
      <x:c r="E35" s="9"/>
      <x:c r="F35" s="7"/>
      <x:c r="G35" s="10"/>
      <x:c r="H35" s="7"/>
      <x:c r="I35" s="7"/>
    </x:row>
    <x:row r="36" ht="20" customHeight="1">
      <x:c r="A36" s="7"/>
      <x:c r="B36" s="7"/>
      <x:c r="C36" s="7"/>
      <x:c r="D36" s="7"/>
      <x:c r="E36" s="9"/>
      <x:c r="F36" s="7"/>
      <x:c r="G36" s="10"/>
      <x:c r="H36" s="7"/>
      <x:c r="I36" s="7"/>
    </x:row>
    <x:row r="37" ht="20" customHeight="1">
      <x:c r="A37" s="7"/>
      <x:c r="B37" s="7"/>
      <x:c r="C37" s="7"/>
      <x:c r="D37" s="7"/>
      <x:c r="E37" s="9"/>
      <x:c r="F37" s="7"/>
      <x:c r="G37" s="10"/>
      <x:c r="H37" s="7"/>
      <x:c r="I37" s="7"/>
    </x:row>
    <x:row r="38" ht="20" customHeight="1">
      <x:c r="A38" s="7"/>
      <x:c r="B38" s="7"/>
      <x:c r="C38" s="7"/>
      <x:c r="D38" s="7"/>
      <x:c r="E38" s="9"/>
      <x:c r="F38" s="7"/>
      <x:c r="G38" s="10"/>
      <x:c r="H38" s="7"/>
      <x:c r="I38" s="7"/>
    </x:row>
    <x:row r="39" ht="20" customHeight="1">
      <x:c r="A39" s="7"/>
      <x:c r="B39" s="7"/>
      <x:c r="C39" s="7"/>
      <x:c r="D39" s="7"/>
      <x:c r="E39" s="9"/>
      <x:c r="F39" s="7"/>
      <x:c r="G39" s="10"/>
      <x:c r="H39" s="7"/>
      <x:c r="I39" s="7"/>
    </x:row>
    <x:row r="40" ht="20" customHeight="1">
      <x:c r="A40" s="7"/>
      <x:c r="B40" s="7"/>
      <x:c r="C40" s="7"/>
      <x:c r="D40" s="7"/>
      <x:c r="E40" s="9"/>
      <x:c r="F40" s="7"/>
      <x:c r="G40" s="10"/>
      <x:c r="H40" s="7"/>
      <x:c r="I40" s="7"/>
    </x:row>
    <x:row r="41" ht="20" customHeight="1">
      <x:c r="A41" s="7"/>
      <x:c r="B41" s="7"/>
      <x:c r="C41" s="7"/>
      <x:c r="D41" s="7"/>
      <x:c r="E41" s="9"/>
      <x:c r="F41" s="7"/>
      <x:c r="G41" s="10"/>
      <x:c r="H41" s="7"/>
      <x:c r="I41" s="7"/>
    </x:row>
    <x:row r="42" ht="20" customHeight="1">
      <x:c r="A42" s="7"/>
      <x:c r="B42" s="7"/>
      <x:c r="C42" s="7"/>
      <x:c r="D42" s="7"/>
      <x:c r="E42" s="9"/>
      <x:c r="F42" s="7"/>
      <x:c r="G42" s="10"/>
      <x:c r="H42" s="7"/>
      <x:c r="I42" s="7"/>
    </x:row>
    <x:row r="43" ht="20" customHeight="1">
      <x:c r="A43" s="7"/>
      <x:c r="B43" s="7"/>
      <x:c r="C43" s="7"/>
      <x:c r="D43" s="7"/>
      <x:c r="E43" s="9"/>
      <x:c r="F43" s="7"/>
      <x:c r="G43" s="10"/>
      <x:c r="H43" s="7"/>
      <x:c r="I43" s="7"/>
    </x:row>
    <x:row r="44" ht="20" customHeight="1">
      <x:c r="A44" s="7"/>
      <x:c r="B44" s="7"/>
      <x:c r="C44" s="7"/>
      <x:c r="D44" s="7"/>
      <x:c r="E44" s="9"/>
      <x:c r="F44" s="7"/>
      <x:c r="G44" s="10"/>
      <x:c r="H44" s="7"/>
      <x:c r="I44" s="7"/>
    </x:row>
    <x:row r="45" ht="20" customHeight="1">
      <x:c r="A45" s="7"/>
      <x:c r="B45" s="7"/>
      <x:c r="C45" s="7"/>
      <x:c r="D45" s="7"/>
      <x:c r="E45" s="9"/>
      <x:c r="F45" s="7"/>
      <x:c r="G45" s="10"/>
      <x:c r="H45" s="7"/>
      <x:c r="I45" s="7"/>
    </x:row>
    <x:row r="46" ht="20" customHeight="1">
      <x:c r="A46" s="7"/>
      <x:c r="B46" s="7"/>
      <x:c r="C46" s="7"/>
      <x:c r="D46" s="7"/>
      <x:c r="E46" s="9"/>
      <x:c r="F46" s="7"/>
      <x:c r="G46" s="10"/>
      <x:c r="H46" s="7"/>
      <x:c r="I46" s="7"/>
    </x:row>
    <x:row r="47" ht="20" customHeight="1">
      <x:c r="A47" s="7"/>
      <x:c r="B47" s="7"/>
      <x:c r="C47" s="7"/>
      <x:c r="D47" s="7"/>
      <x:c r="E47" s="9"/>
      <x:c r="F47" s="7"/>
      <x:c r="G47" s="10"/>
      <x:c r="H47" s="7"/>
      <x:c r="I47" s="7"/>
    </x:row>
    <x:row r="48" ht="20" customHeight="1">
      <x:c r="A48" s="7"/>
      <x:c r="B48" s="7"/>
      <x:c r="C48" s="7"/>
      <x:c r="D48" s="7"/>
      <x:c r="E48" s="9"/>
      <x:c r="F48" s="7"/>
      <x:c r="G48" s="10"/>
      <x:c r="H48" s="7"/>
      <x:c r="I48" s="7"/>
    </x:row>
    <x:row r="49" ht="20" customHeight="1">
      <x:c r="A49" s="7"/>
      <x:c r="B49" s="7"/>
      <x:c r="C49" s="7"/>
      <x:c r="D49" s="7"/>
      <x:c r="E49" s="9"/>
      <x:c r="F49" s="7"/>
      <x:c r="G49" s="10"/>
      <x:c r="H49" s="7"/>
      <x:c r="I49" s="7"/>
    </x:row>
    <x:row r="50" ht="20" customHeight="1">
      <x:c r="A50" s="7"/>
      <x:c r="B50" s="7"/>
      <x:c r="C50" s="7"/>
      <x:c r="D50" s="7"/>
      <x:c r="E50" s="9"/>
      <x:c r="F50" s="7"/>
      <x:c r="G50" s="10"/>
      <x:c r="H50" s="7"/>
      <x:c r="I50" s="7"/>
    </x:row>
    <x:row r="51" ht="20" customHeight="1">
      <x:c r="A51" s="7"/>
      <x:c r="B51" s="7"/>
      <x:c r="C51" s="7"/>
      <x:c r="D51" s="7"/>
      <x:c r="E51" s="9"/>
      <x:c r="F51" s="7"/>
      <x:c r="G51" s="10"/>
      <x:c r="H51" s="7"/>
      <x:c r="I51" s="7"/>
    </x:row>
    <x:row r="52" ht="20" customHeight="1">
      <x:c r="A52" s="7"/>
      <x:c r="B52" s="7"/>
      <x:c r="C52" s="7"/>
      <x:c r="D52" s="7"/>
      <x:c r="E52" s="9"/>
      <x:c r="F52" s="7"/>
      <x:c r="G52" s="10"/>
      <x:c r="H52" s="7"/>
      <x:c r="I52" s="7"/>
    </x:row>
    <x:row r="53" ht="20" customHeight="1">
      <x:c r="A53" s="7"/>
      <x:c r="B53" s="7"/>
      <x:c r="C53" s="7"/>
      <x:c r="D53" s="7"/>
      <x:c r="E53" s="9"/>
      <x:c r="F53" s="7"/>
      <x:c r="G53" s="10"/>
      <x:c r="H53" s="7"/>
      <x:c r="I53" s="7"/>
    </x:row>
    <x:row r="54" ht="20" customHeight="1">
      <x:c r="A54" s="7"/>
      <x:c r="B54" s="7"/>
      <x:c r="C54" s="7"/>
      <x:c r="D54" s="7"/>
      <x:c r="E54" s="9"/>
      <x:c r="F54" s="7"/>
      <x:c r="G54" s="10"/>
      <x:c r="H54" s="7"/>
      <x:c r="I54" s="7"/>
    </x:row>
    <x:row r="55" ht="20" customHeight="1">
      <x:c r="A55" s="7"/>
      <x:c r="B55" s="7"/>
      <x:c r="C55" s="7"/>
      <x:c r="D55" s="7"/>
      <x:c r="E55" s="9"/>
      <x:c r="F55" s="7"/>
      <x:c r="G55" s="10"/>
      <x:c r="H55" s="7"/>
      <x:c r="I55" s="7"/>
    </x:row>
    <x:row r="56" ht="20" customHeight="1">
      <x:c r="A56" s="7"/>
      <x:c r="B56" s="7"/>
      <x:c r="C56" s="7"/>
      <x:c r="D56" s="7"/>
      <x:c r="E56" s="9"/>
      <x:c r="F56" s="7"/>
      <x:c r="G56" s="10"/>
      <x:c r="H56" s="7"/>
      <x:c r="I56" s="7"/>
    </x:row>
    <x:row r="57" ht="20" customHeight="1">
      <x:c r="A57" s="7"/>
      <x:c r="B57" s="7"/>
      <x:c r="C57" s="7"/>
      <x:c r="D57" s="7"/>
      <x:c r="E57" s="9"/>
      <x:c r="F57" s="7"/>
      <x:c r="G57" s="10"/>
      <x:c r="H57" s="7"/>
      <x:c r="I57" s="7"/>
    </x:row>
    <x:row r="58" ht="20" customHeight="1">
      <x:c r="A58" s="7"/>
      <x:c r="B58" s="7"/>
      <x:c r="C58" s="7"/>
      <x:c r="D58" s="7"/>
      <x:c r="E58" s="9"/>
      <x:c r="F58" s="7"/>
      <x:c r="G58" s="10"/>
      <x:c r="H58" s="7"/>
      <x:c r="I58" s="7"/>
    </x:row>
    <x:row r="59" ht="20" customHeight="1">
      <x:c r="A59" s="7"/>
      <x:c r="B59" s="7"/>
      <x:c r="C59" s="7"/>
      <x:c r="D59" s="7"/>
      <x:c r="E59" s="9"/>
      <x:c r="F59" s="7"/>
      <x:c r="G59" s="10"/>
      <x:c r="H59" s="7"/>
      <x:c r="I59" s="7"/>
    </x:row>
    <x:row r="60" ht="20" customHeight="1">
      <x:c r="A60" s="7"/>
      <x:c r="B60" s="7"/>
      <x:c r="C60" s="7"/>
      <x:c r="D60" s="7"/>
      <x:c r="E60" s="9"/>
      <x:c r="F60" s="7"/>
      <x:c r="G60" s="10"/>
      <x:c r="H60" s="7"/>
      <x:c r="I60" s="7"/>
    </x:row>
    <x:row r="61" ht="20" customHeight="1">
      <x:c r="A61" s="7"/>
      <x:c r="B61" s="7"/>
      <x:c r="C61" s="7"/>
      <x:c r="D61" s="7"/>
      <x:c r="E61" s="9"/>
      <x:c r="F61" s="7"/>
      <x:c r="G61" s="10"/>
      <x:c r="H61" s="7"/>
      <x:c r="I61" s="7"/>
    </x:row>
    <x:row r="62" ht="20" customHeight="1">
      <x:c r="A62" s="7"/>
      <x:c r="B62" s="7"/>
      <x:c r="C62" s="7"/>
      <x:c r="D62" s="7"/>
      <x:c r="E62" s="9"/>
      <x:c r="F62" s="7"/>
      <x:c r="G62" s="10"/>
      <x:c r="H62" s="7"/>
      <x:c r="I62" s="7"/>
    </x:row>
    <x:row r="63" ht="20" customHeight="1">
      <x:c r="A63" s="7"/>
      <x:c r="B63" s="7"/>
      <x:c r="C63" s="7"/>
      <x:c r="D63" s="7"/>
      <x:c r="E63" s="9"/>
      <x:c r="F63" s="7"/>
      <x:c r="G63" s="10"/>
      <x:c r="H63" s="7"/>
      <x:c r="I63" s="7"/>
    </x:row>
    <x:row r="64" ht="20" customHeight="1">
      <x:c r="A64" s="7"/>
      <x:c r="B64" s="7"/>
      <x:c r="C64" s="7"/>
      <x:c r="D64" s="7"/>
      <x:c r="E64" s="9"/>
      <x:c r="F64" s="7"/>
      <x:c r="G64" s="10"/>
      <x:c r="H64" s="7"/>
      <x:c r="I64" s="7"/>
    </x:row>
    <x:row r="65" ht="20" customHeight="1">
      <x:c r="A65" s="7"/>
      <x:c r="B65" s="7"/>
      <x:c r="C65" s="7"/>
      <x:c r="D65" s="7"/>
      <x:c r="E65" s="9"/>
      <x:c r="F65" s="7"/>
      <x:c r="G65" s="10"/>
      <x:c r="H65" s="7"/>
      <x:c r="I65" s="7"/>
    </x:row>
    <x:row r="66">
      <x:c r="A66" s="111" t="s">
        <x:v>49</x:v>
      </x:c>
      <x:c r="B66" s="111"/>
      <x:c r="C66" s="111"/>
      <x:c r="D66" s="111"/>
      <x:c r="E66" s="111"/>
      <x:c r="F66" s="111"/>
      <x:c r="G66" s="7" t="n">
        <x:f>G5</x:f>
        <x:v>0</x:v>
      </x:c>
      <x:c r="H66" s="7"/>
      <x:c r="I66" s="7"/>
    </x:row>
    <x:row r="68">
      <x:c r="A68" s="112" t="s">
        <x:v>50</x:v>
      </x:c>
      <x:c r="B68" s="112" t="s">
        <x:v>2</x:v>
      </x:c>
      <x:c r="C68" s="124" t="s">
        <x:v>327</x:v>
      </x:c>
    </x:row>
    <x:row r="69">
      <x:c r="A69" s="112"/>
      <x:c r="B69" s="112"/>
      <x:c r="C69" s="124"/>
    </x:row>
    <x:row r="70">
      <x:c r="A70" s="13" t="s">
        <x:v>164</x:v>
      </x:c>
      <x:c r="B70" s="13" t="s">
        <x:v>75</x:v>
      </x:c>
      <x:c r="C70" s="14"/>
    </x:row>
    <x:row r="71">
      <x:c r="A71" s="13" t="s">
        <x:v>165</x:v>
      </x:c>
      <x:c r="B71" s="13" t="s">
        <x:v>76</x:v>
      </x:c>
      <x:c r="C71" s="14"/>
    </x:row>
    <x:row r="72">
      <x:c r="A72" s="13" t="s">
        <x:v>166</x:v>
      </x:c>
      <x:c r="B72" s="13" t="s">
        <x:v>77</x:v>
      </x:c>
      <x:c r="C72" s="14"/>
    </x:row>
    <x:row r="73">
      <x:c r="A73" s="13" t="s">
        <x:v>167</x:v>
      </x:c>
      <x:c r="B73" s="13" t="s">
        <x:v>78</x:v>
      </x:c>
      <x:c r="C73" s="14"/>
    </x:row>
    <x:row r="74">
      <x:c r="A74" s="13" t="s">
        <x:v>168</x:v>
      </x:c>
      <x:c r="B74" s="13" t="s">
        <x:v>79</x:v>
      </x:c>
      <x:c r="C74" s="14"/>
    </x:row>
    <x:row r="75">
      <x:c r="A75" s="13" t="s">
        <x:v>169</x:v>
      </x:c>
      <x:c r="B75" s="13" t="s">
        <x:v>80</x:v>
      </x:c>
      <x:c r="C75" s="14"/>
    </x:row>
    <x:row r="76">
      <x:c r="A76" s="13" t="s">
        <x:v>170</x:v>
      </x:c>
      <x:c r="B76" s="13" t="s">
        <x:v>81</x:v>
      </x:c>
      <x:c r="C76" s="14"/>
    </x:row>
    <x:row r="77">
      <x:c r="A77" s="13" t="s">
        <x:v>171</x:v>
      </x:c>
      <x:c r="B77" s="13" t="s">
        <x:v>82</x:v>
      </x:c>
      <x:c r="C77" s="14"/>
    </x:row>
    <x:row r="78">
      <x:c r="A78" s="13" t="s">
        <x:v>172</x:v>
      </x:c>
      <x:c r="B78" s="13" t="s">
        <x:v>83</x:v>
      </x:c>
      <x:c r="C78" s="14"/>
    </x:row>
    <x:row r="79">
      <x:c r="A79" s="13" t="s">
        <x:v>173</x:v>
      </x:c>
      <x:c r="B79" s="13" t="s">
        <x:v>84</x:v>
      </x:c>
      <x:c r="C79" s="14"/>
    </x:row>
    <x:row r="80">
      <x:c r="A80" s="13" t="s">
        <x:v>174</x:v>
      </x:c>
      <x:c r="B80" s="13" t="s">
        <x:v>85</x:v>
      </x:c>
      <x:c r="C80" s="14"/>
    </x:row>
    <x:row r="81">
      <x:c r="A81" s="13" t="s">
        <x:v>273</x:v>
      </x:c>
      <x:c r="B81" s="13" t="s">
        <x:v>86</x:v>
      </x:c>
      <x:c r="C81" s="14"/>
    </x:row>
    <x:row r="82">
      <x:c r="A82" s="13" t="s">
        <x:v>176</x:v>
      </x:c>
      <x:c r="B82" s="13" t="s">
        <x:v>87</x:v>
      </x:c>
      <x:c r="C82" s="14"/>
    </x:row>
    <x:row r="83">
      <x:c r="A83" s="13" t="s">
        <x:v>177</x:v>
      </x:c>
      <x:c r="B83" s="13" t="s">
        <x:v>88</x:v>
      </x:c>
      <x:c r="C83" s="14"/>
    </x:row>
    <x:row r="84">
      <x:c r="A84" s="13" t="s">
        <x:v>168</x:v>
      </x:c>
      <x:c r="B84" s="13" t="s">
        <x:v>89</x:v>
      </x:c>
      <x:c r="C84" s="14"/>
    </x:row>
    <x:row r="85" ht="17">
      <x:c r="A85" s="13" t="s">
        <x:v>274</x:v>
      </x:c>
      <x:c r="B85" s="15" t="s">
        <x:v>90</x:v>
      </x:c>
      <x:c r="C85" s="14"/>
    </x:row>
    <x:row r="86" ht="17">
      <x:c r="A86" s="13" t="s">
        <x:v>275</x:v>
      </x:c>
      <x:c r="B86" s="15" t="s">
        <x:v>19</x:v>
      </x:c>
      <x:c r="C86" s="14"/>
    </x:row>
    <x:row r="87" ht="17">
      <x:c r="A87" s="13" t="s">
        <x:v>276</x:v>
      </x:c>
      <x:c r="B87" s="15" t="s">
        <x:v>34</x:v>
      </x:c>
      <x:c r="C87" s="14"/>
    </x:row>
    <x:row r="88">
      <x:c r="A88" s="111" t="s">
        <x:v>49</x:v>
      </x:c>
      <x:c r="B88" s="111"/>
      <x:c r="C88" s="14" t="n">
        <x:f>SUM(C70:C87)</x:f>
        <x:v>0</x:v>
      </x:c>
    </x:row>
  </x:sheetData>
  <x:mergeCells>
    <x:mergeCell ref="A1:I1"/>
    <x:mergeCell ref="A2:C2"/>
    <x:mergeCell ref="D2:I2"/>
    <x:mergeCell ref="A66:F66"/>
    <x:mergeCell ref="A88:B88"/>
    <x:mergeCell ref="A68:A69"/>
    <x:mergeCell ref="B68:B69"/>
    <x:mergeCell ref="C68:C69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baseColWidth="10" defaultColWidth="9" defaultRowHeight="14"/>
  <x:cols>
    <x:col min="1" max="1" width="19.1640625" customWidth="1"/>
    <x:col min="2" max="2" width="31.5" customWidth="1"/>
    <x:col min="3" max="3" width="33" customWidth="1"/>
    <x:col min="4" max="4" width="10.6640625" customWidth="1"/>
    <x:col min="5" max="5" width="7.83203125" customWidth="1"/>
    <x:col min="6" max="6" width="48.6640625" customWidth="1"/>
    <x:col min="7" max="7" width="19.1640625" customWidth="1"/>
  </x:cols>
  <x:sheetData>
    <x:row r="1" s="1" customFormat="1" ht="34.75" customHeight="1">
      <x:c r="A1" s="133" t="s">
        <x:v>371</x:v>
      </x:c>
      <x:c r="B1" s="133"/>
      <x:c r="C1" s="133"/>
      <x:c r="D1" s="133"/>
      <x:c r="E1" s="133"/>
      <x:c r="F1" s="133"/>
      <x:c r="G1" s="133"/>
      <x:c r="H1" s="133"/>
      <x:c r="I1" s="133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</x:row>
    <x:row r="2" s="1" customFormat="1">
      <x:c r="A2" s="114" t="e">
        <x:v>#NAME?</x:v>
      </x:c>
      <x:c r="B2" s="134"/>
      <x:c r="C2" s="134"/>
      <x:c r="D2" s="135"/>
      <x:c r="E2" s="135"/>
      <x:c r="F2" s="135"/>
      <x:c r="G2" s="135"/>
      <x:c r="H2" s="135"/>
      <x:c r="I2" s="135"/>
      <x:c r="J2" s="16"/>
      <x:c r="K2" s="17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  <x:c r="W2" s="16"/>
    </x:row>
    <x:row r="3" s="1" customFormat="1">
      <x:c r="A3" s="1" t="s">
        <x:v>295</x:v>
      </x:c>
      <x:c r="B3" s="2"/>
      <x:c r="C3" s="3"/>
      <x:c r="D3" s="4" t="s">
        <x:v>296</x:v>
      </x:c>
      <x:c r="E3" s="5"/>
      <x:c r="F3" s="6" t="n">
        <x:f>G26</x:f>
        <x:v>0</x:v>
      </x:c>
      <x:c r="G3" s="5"/>
      <x:c r="I3" s="18"/>
      <x:c r="J3" s="16"/>
      <x:c r="K3" s="16"/>
      <x:c r="L3" s="17"/>
      <x:c r="M3" s="16"/>
      <x:c r="N3" s="16"/>
      <x:c r="O3" s="16"/>
      <x:c r="P3" s="16"/>
      <x:c r="Q3" s="16"/>
      <x:c r="R3" s="16"/>
      <x:c r="S3" s="16"/>
      <x:c r="T3" s="16"/>
      <x:c r="U3" s="16"/>
      <x:c r="V3" s="16"/>
      <x:c r="W3" s="16"/>
    </x:row>
    <x:row r="4" ht="20" customHeight="1">
      <x:c r="A4" s="7" t="s">
        <x:v>297</x:v>
      </x:c>
      <x:c r="B4" s="7" t="s">
        <x:v>298</x:v>
      </x:c>
      <x:c r="C4" s="7" t="s">
        <x:v>299</x:v>
      </x:c>
      <x:c r="D4" s="7" t="s">
        <x:v>300</x:v>
      </x:c>
      <x:c r="E4" s="7" t="s">
        <x:v>301</x:v>
      </x:c>
      <x:c r="F4" s="7" t="s">
        <x:v>302</x:v>
      </x:c>
      <x:c r="G4" s="7" t="s">
        <x:v>303</x:v>
      </x:c>
      <x:c r="H4" s="8" t="s">
        <x:v>93</x:v>
      </x:c>
      <x:c r="I4" s="8" t="s">
        <x:v>304</x:v>
      </x:c>
    </x:row>
    <x:row r="5" ht="20" customHeight="1">
      <x:c r="A5" t="s">
        <x:v>372</x:v>
      </x:c>
      <x:c r="B5" t="s">
        <x:v>306</x:v>
      </x:c>
      <x:c r="C5" t="s">
        <x:v>311</x:v>
      </x:c>
      <x:c r="F5" t="s">
        <x:v>373</x:v>
      </x:c>
      <x:c r="I5" t="s">
        <x:v>374</x:v>
      </x:c>
    </x:row>
    <x:row r="6" ht="20" customHeight="1">
      <x:c r="A6" t="s">
        <x:v>329</x:v>
      </x:c>
      <x:c r="B6" t="s">
        <x:v>306</x:v>
      </x:c>
      <x:c r="C6" t="s">
        <x:v>311</x:v>
      </x:c>
      <x:c r="D6" t="s">
        <x:v>308</x:v>
      </x:c>
      <x:c r="E6" s="21">
        <x:v>181</x:v>
      </x:c>
      <x:c r="F6" t="s">
        <x:v>375</x:v>
      </x:c>
      <x:c r="G6" s="20"/>
      <x:c r="J6" s="20"/>
    </x:row>
    <x:row r="7" ht="20" customHeight="1">
      <x:c r="A7" t="s">
        <x:v>329</x:v>
      </x:c>
      <x:c r="B7" t="s">
        <x:v>306</x:v>
      </x:c>
      <x:c r="C7" t="s">
        <x:v>311</x:v>
      </x:c>
      <x:c r="D7" t="s">
        <x:v>308</x:v>
      </x:c>
      <x:c r="E7" s="21">
        <x:v>211</x:v>
      </x:c>
      <x:c r="F7" t="s">
        <x:v>322</x:v>
      </x:c>
      <x:c r="H7" s="20"/>
    </x:row>
    <x:row r="8" ht="20" customHeight="1">
      <x:c r="B8" t="s">
        <x:v>306</x:v>
      </x:c>
      <x:c r="C8" t="s">
        <x:v>311</x:v>
      </x:c>
      <x:c r="F8" t="s">
        <x:v>376</x:v>
      </x:c>
      <x:c r="G8" s="20"/>
      <x:c r="H8" s="20"/>
    </x:row>
    <x:row r="9" ht="20" customHeight="1">
      <x:c r="B9" t="s">
        <x:v>306</x:v>
      </x:c>
      <x:c r="C9" t="s">
        <x:v>311</x:v>
      </x:c>
      <x:c r="F9" t="s">
        <x:v>377</x:v>
      </x:c>
      <x:c r="G9" s="20"/>
      <x:c r="H9" s="20"/>
    </x:row>
    <x:row r="10" ht="20" customHeight="1">
      <x:c r="A10" t="s">
        <x:v>331</x:v>
      </x:c>
      <x:c r="B10" t="s">
        <x:v>306</x:v>
      </x:c>
      <x:c r="C10" t="s">
        <x:v>307</x:v>
      </x:c>
      <x:c r="D10" t="s">
        <x:v>308</x:v>
      </x:c>
      <x:c r="E10" s="21">
        <x:v>156</x:v>
      </x:c>
      <x:c r="F10" t="s">
        <x:v>378</x:v>
      </x:c>
      <x:c r="G10" s="20"/>
      <x:c r="J10" s="20"/>
    </x:row>
    <x:row r="11" ht="20" customHeight="1">
      <x:c r="A11" t="s">
        <x:v>331</x:v>
      </x:c>
      <x:c r="B11" t="s">
        <x:v>306</x:v>
      </x:c>
      <x:c r="C11" t="s">
        <x:v>307</x:v>
      </x:c>
      <x:c r="D11" t="s">
        <x:v>308</x:v>
      </x:c>
      <x:c r="E11" s="21">
        <x:v>190</x:v>
      </x:c>
      <x:c r="F11" t="s">
        <x:v>322</x:v>
      </x:c>
      <x:c r="H11" s="20"/>
    </x:row>
    <x:row r="12" ht="20" customHeight="1">
      <x:c r="B12" t="s">
        <x:v>306</x:v>
      </x:c>
      <x:c r="C12" t="s">
        <x:v>307</x:v>
      </x:c>
      <x:c r="F12" t="s">
        <x:v>376</x:v>
      </x:c>
      <x:c r="G12" s="20"/>
      <x:c r="H12" s="20"/>
    </x:row>
    <x:row r="13" ht="20" customHeight="1">
      <x:c r="B13" t="s">
        <x:v>306</x:v>
      </x:c>
      <x:c r="C13" t="s">
        <x:v>307</x:v>
      </x:c>
      <x:c r="F13" t="s">
        <x:v>377</x:v>
      </x:c>
      <x:c r="G13" s="20"/>
      <x:c r="H13" s="20"/>
    </x:row>
    <x:row r="14" ht="20" customHeight="1">
      <x:c r="A14" t="s">
        <x:v>319</x:v>
      </x:c>
      <x:c r="B14" t="s">
        <x:v>306</x:v>
      </x:c>
      <x:c r="C14" t="s">
        <x:v>320</x:v>
      </x:c>
      <x:c r="D14" t="s">
        <x:v>308</x:v>
      </x:c>
      <x:c r="E14" s="21">
        <x:v>174</x:v>
      </x:c>
      <x:c r="F14" t="s">
        <x:v>379</x:v>
      </x:c>
      <x:c r="G14" s="20"/>
      <x:c r="J14" s="20"/>
    </x:row>
    <x:row r="15" ht="20" customHeight="1">
      <x:c r="A15" t="s">
        <x:v>319</x:v>
      </x:c>
      <x:c r="B15" t="s">
        <x:v>306</x:v>
      </x:c>
      <x:c r="C15" t="s">
        <x:v>320</x:v>
      </x:c>
      <x:c r="D15" t="s">
        <x:v>308</x:v>
      </x:c>
      <x:c r="E15" s="21">
        <x:v>175</x:v>
      </x:c>
      <x:c r="F15" t="s">
        <x:v>380</x:v>
      </x:c>
      <x:c r="G15" s="20"/>
      <x:c r="J15" s="20"/>
    </x:row>
    <x:row r="16" ht="20" customHeight="1">
      <x:c r="A16" t="s">
        <x:v>319</x:v>
      </x:c>
      <x:c r="B16" t="s">
        <x:v>306</x:v>
      </x:c>
      <x:c r="C16" t="s">
        <x:v>320</x:v>
      </x:c>
      <x:c r="D16" t="s">
        <x:v>308</x:v>
      </x:c>
      <x:c r="E16" s="21">
        <x:v>192</x:v>
      </x:c>
      <x:c r="F16" t="s">
        <x:v>381</x:v>
      </x:c>
      <x:c r="G16" s="20"/>
      <x:c r="J16" s="20"/>
    </x:row>
    <x:row r="17" ht="20" customHeight="1">
      <x:c r="A17" t="s">
        <x:v>319</x:v>
      </x:c>
      <x:c r="B17" t="s">
        <x:v>306</x:v>
      </x:c>
      <x:c r="C17" t="s">
        <x:v>320</x:v>
      </x:c>
      <x:c r="D17" t="s">
        <x:v>308</x:v>
      </x:c>
      <x:c r="E17" s="21">
        <x:v>192</x:v>
      </x:c>
      <x:c r="F17" t="s">
        <x:v>382</x:v>
      </x:c>
      <x:c r="G17" s="20"/>
    </x:row>
    <x:row r="18" ht="20" customHeight="1">
      <x:c r="A18" t="s">
        <x:v>319</x:v>
      </x:c>
      <x:c r="B18" t="s">
        <x:v>306</x:v>
      </x:c>
      <x:c r="C18" t="s">
        <x:v>320</x:v>
      </x:c>
      <x:c r="D18" t="s">
        <x:v>308</x:v>
      </x:c>
      <x:c r="E18" s="21">
        <x:v>193</x:v>
      </x:c>
      <x:c r="F18" t="s">
        <x:v>383</x:v>
      </x:c>
      <x:c r="G18" s="20"/>
      <x:c r="J18" s="20"/>
    </x:row>
    <x:row r="19" ht="20" customHeight="1">
      <x:c r="A19" t="s">
        <x:v>319</x:v>
      </x:c>
      <x:c r="B19" t="s">
        <x:v>306</x:v>
      </x:c>
      <x:c r="C19" t="s">
        <x:v>320</x:v>
      </x:c>
      <x:c r="D19" t="s">
        <x:v>308</x:v>
      </x:c>
      <x:c r="E19" s="21">
        <x:v>225</x:v>
      </x:c>
      <x:c r="F19" t="s">
        <x:v>322</x:v>
      </x:c>
      <x:c r="H19" s="20"/>
    </x:row>
    <x:row r="20" ht="20" customHeight="1">
      <x:c r="B20" t="s">
        <x:v>306</x:v>
      </x:c>
      <x:c r="C20" t="s">
        <x:v>320</x:v>
      </x:c>
      <x:c r="F20" t="s">
        <x:v>376</x:v>
      </x:c>
      <x:c r="G20" s="20"/>
      <x:c r="H20" s="20"/>
    </x:row>
    <x:row r="21" ht="20" customHeight="1">
      <x:c r="B21" t="s">
        <x:v>306</x:v>
      </x:c>
      <x:c r="C21" t="s">
        <x:v>320</x:v>
      </x:c>
      <x:c r="F21" t="s">
        <x:v>377</x:v>
      </x:c>
      <x:c r="G21" s="20"/>
      <x:c r="H21" s="20"/>
    </x:row>
    <x:row r="22" ht="20" customHeight="1">
      <x:c r="A22" s="41"/>
      <x:c r="B22" s="41"/>
      <x:c r="C22" s="41"/>
      <x:c r="D22" s="41"/>
      <x:c r="E22" s="42"/>
      <x:c r="F22" s="43"/>
      <x:c r="G22" s="10"/>
      <x:c r="H22" s="7"/>
      <x:c r="I22" s="7"/>
    </x:row>
    <x:row r="23" ht="20" customHeight="1">
      <x:c r="A23" s="41"/>
      <x:c r="B23" s="41"/>
      <x:c r="C23" s="41"/>
      <x:c r="D23" s="41"/>
      <x:c r="E23" s="42"/>
      <x:c r="F23" s="43"/>
      <x:c r="G23" s="10"/>
      <x:c r="H23" s="7"/>
      <x:c r="I23" s="7"/>
    </x:row>
    <x:row r="24" ht="20" customHeight="1">
      <x:c r="A24" s="41"/>
      <x:c r="B24" s="41"/>
      <x:c r="C24" s="41"/>
      <x:c r="D24" s="41"/>
      <x:c r="E24" s="42"/>
      <x:c r="F24" s="43"/>
      <x:c r="G24" s="10"/>
      <x:c r="H24" s="7"/>
      <x:c r="I24" s="7"/>
    </x:row>
    <x:row r="25" ht="20" customHeight="1">
      <x:c r="A25" s="41"/>
      <x:c r="B25" s="41"/>
      <x:c r="C25" s="41"/>
      <x:c r="D25" s="41"/>
      <x:c r="E25" s="42"/>
      <x:c r="F25" s="43"/>
      <x:c r="G25" s="10"/>
      <x:c r="H25" s="7"/>
      <x:c r="I25" s="7"/>
    </x:row>
    <x:row r="26">
      <x:c r="A26" s="136"/>
      <x:c r="B26" s="136"/>
      <x:c r="C26" s="136"/>
      <x:c r="D26" s="136"/>
      <x:c r="E26" s="136"/>
      <x:c r="F26" s="137"/>
      <x:c r="G26" s="7" t="n">
        <x:f>SUM(G5:G5)</x:f>
        <x:v>0</x:v>
      </x:c>
      <x:c r="H26" s="7"/>
      <x:c r="I26" s="7"/>
    </x:row>
    <x:row r="28">
      <x:c r="A28" s="112" t="s">
        <x:v>50</x:v>
      </x:c>
      <x:c r="B28" s="112" t="s">
        <x:v>2</x:v>
      </x:c>
      <x:c r="C28" s="124" t="s">
        <x:v>327</x:v>
      </x:c>
    </x:row>
    <x:row r="29">
      <x:c r="A29" s="112"/>
      <x:c r="B29" s="112"/>
      <x:c r="C29" s="124"/>
    </x:row>
    <x:row r="30">
      <x:c r="A30" s="13" t="s">
        <x:v>164</x:v>
      </x:c>
      <x:c r="B30" s="13" t="s">
        <x:v>75</x:v>
      </x:c>
      <x:c r="C30" s="19" t="e">
        <x:f>项目分类明细汇总表1月!$D$10*研发人员工时统计合计!J43</x:f>
        <x:v>#NAME?</x:v>
      </x:c>
    </x:row>
    <x:row r="31">
      <x:c r="A31" s="13" t="s">
        <x:v>165</x:v>
      </x:c>
      <x:c r="B31" s="13" t="s">
        <x:v>76</x:v>
      </x:c>
      <x:c r="C31" s="19" t="e">
        <x:f>项目分类明细汇总表1月!$D$10*研发人员工时统计合计!J44</x:f>
        <x:v>#NAME?</x:v>
      </x:c>
    </x:row>
    <x:row r="32">
      <x:c r="A32" s="13" t="s">
        <x:v>166</x:v>
      </x:c>
      <x:c r="B32" s="13" t="s">
        <x:v>77</x:v>
      </x:c>
      <x:c r="C32" s="19" t="e">
        <x:f>项目分类明细汇总表1月!$D$10*研发人员工时统计合计!J45</x:f>
        <x:v>#NAME?</x:v>
      </x:c>
    </x:row>
    <x:row r="33">
      <x:c r="A33" s="13" t="s">
        <x:v>167</x:v>
      </x:c>
      <x:c r="B33" s="13" t="s">
        <x:v>78</x:v>
      </x:c>
      <x:c r="C33" s="19" t="e">
        <x:f>项目分类明细汇总表1月!$D$10*研发人员工时统计合计!J46</x:f>
        <x:v>#NAME?</x:v>
      </x:c>
    </x:row>
    <x:row r="34">
      <x:c r="A34" s="13" t="s">
        <x:v>168</x:v>
      </x:c>
      <x:c r="B34" s="13" t="s">
        <x:v>79</x:v>
      </x:c>
      <x:c r="C34" s="19" t="e">
        <x:f>项目分类明细汇总表1月!$D$10*研发人员工时统计合计!J47</x:f>
        <x:v>#NAME?</x:v>
      </x:c>
    </x:row>
    <x:row r="35">
      <x:c r="A35" s="13" t="s">
        <x:v>169</x:v>
      </x:c>
      <x:c r="B35" s="13" t="s">
        <x:v>80</x:v>
      </x:c>
      <x:c r="C35" s="19" t="e">
        <x:f>项目分类明细汇总表1月!$D$10*研发人员工时统计合计!J48</x:f>
        <x:v>#NAME?</x:v>
      </x:c>
    </x:row>
    <x:row r="36">
      <x:c r="A36" s="13" t="s">
        <x:v>170</x:v>
      </x:c>
      <x:c r="B36" s="13" t="s">
        <x:v>81</x:v>
      </x:c>
      <x:c r="C36" s="19" t="e">
        <x:f>项目分类明细汇总表1月!$D$10*研发人员工时统计合计!J49</x:f>
        <x:v>#NAME?</x:v>
      </x:c>
    </x:row>
    <x:row r="37">
      <x:c r="A37" s="13" t="s">
        <x:v>171</x:v>
      </x:c>
      <x:c r="B37" s="13" t="s">
        <x:v>82</x:v>
      </x:c>
      <x:c r="C37" s="19" t="e">
        <x:f>项目分类明细汇总表1月!$D$10*研发人员工时统计合计!J50</x:f>
        <x:v>#NAME?</x:v>
      </x:c>
    </x:row>
    <x:row r="38">
      <x:c r="A38" s="13" t="s">
        <x:v>172</x:v>
      </x:c>
      <x:c r="B38" s="13" t="s">
        <x:v>83</x:v>
      </x:c>
      <x:c r="C38" s="19" t="e">
        <x:f>项目分类明细汇总表1月!$D$10*研发人员工时统计合计!J51</x:f>
        <x:v>#NAME?</x:v>
      </x:c>
    </x:row>
    <x:row r="39">
      <x:c r="A39" s="13" t="s">
        <x:v>173</x:v>
      </x:c>
      <x:c r="B39" s="13" t="s">
        <x:v>84</x:v>
      </x:c>
      <x:c r="C39" s="19" t="e">
        <x:f>项目分类明细汇总表1月!$D$10*研发人员工时统计合计!J52</x:f>
        <x:v>#NAME?</x:v>
      </x:c>
    </x:row>
    <x:row r="40">
      <x:c r="A40" s="13" t="s">
        <x:v>174</x:v>
      </x:c>
      <x:c r="B40" s="13" t="s">
        <x:v>85</x:v>
      </x:c>
      <x:c r="C40" s="19" t="e">
        <x:f>项目分类明细汇总表1月!$D$10*研发人员工时统计合计!J53</x:f>
        <x:v>#NAME?</x:v>
      </x:c>
    </x:row>
    <x:row r="41">
      <x:c r="A41" s="13" t="s">
        <x:v>273</x:v>
      </x:c>
      <x:c r="B41" s="13" t="s">
        <x:v>86</x:v>
      </x:c>
      <x:c r="C41" s="19" t="e">
        <x:f>项目分类明细汇总表1月!$D$10*研发人员工时统计合计!J54</x:f>
        <x:v>#NAME?</x:v>
      </x:c>
    </x:row>
    <x:row r="42">
      <x:c r="A42" s="13" t="s">
        <x:v>176</x:v>
      </x:c>
      <x:c r="B42" s="13" t="s">
        <x:v>87</x:v>
      </x:c>
      <x:c r="C42" s="19" t="e">
        <x:f>项目分类明细汇总表1月!$D$10*研发人员工时统计合计!J55</x:f>
        <x:v>#NAME?</x:v>
      </x:c>
    </x:row>
    <x:row r="43">
      <x:c r="A43" s="13" t="s">
        <x:v>177</x:v>
      </x:c>
      <x:c r="B43" s="13" t="s">
        <x:v>88</x:v>
      </x:c>
      <x:c r="C43" s="19" t="e">
        <x:f>项目分类明细汇总表1月!$D$10*研发人员工时统计合计!J56</x:f>
        <x:v>#NAME?</x:v>
      </x:c>
    </x:row>
    <x:row r="44">
      <x:c r="A44" s="13" t="s">
        <x:v>168</x:v>
      </x:c>
      <x:c r="B44" s="13" t="s">
        <x:v>89</x:v>
      </x:c>
      <x:c r="C44" s="19" t="e">
        <x:f>项目分类明细汇总表1月!$D$10*研发人员工时统计合计!J57</x:f>
        <x:v>#NAME?</x:v>
      </x:c>
    </x:row>
    <x:row r="45" ht="17">
      <x:c r="A45" s="13" t="s">
        <x:v>274</x:v>
      </x:c>
      <x:c r="B45" s="15" t="s">
        <x:v>90</x:v>
      </x:c>
      <x:c r="C45" s="19" t="e">
        <x:f>项目分类明细汇总表1月!$D$10*研发人员工时统计合计!J58</x:f>
        <x:v>#NAME?</x:v>
      </x:c>
    </x:row>
    <x:row r="46" ht="17">
      <x:c r="A46" s="13" t="s">
        <x:v>275</x:v>
      </x:c>
      <x:c r="B46" s="15" t="s">
        <x:v>19</x:v>
      </x:c>
      <x:c r="C46" s="19" t="e">
        <x:f>项目分类明细汇总表1月!$D$10*研发人员工时统计合计!J59</x:f>
        <x:v>#NAME?</x:v>
      </x:c>
    </x:row>
    <x:row r="47" ht="17">
      <x:c r="A47" s="13" t="s">
        <x:v>276</x:v>
      </x:c>
      <x:c r="B47" s="15" t="s">
        <x:v>34</x:v>
      </x:c>
      <x:c r="C47" s="19" t="e">
        <x:f>项目分类明细汇总表1月!$D$10*研发人员工时统计合计!J60</x:f>
        <x:v>#NAME?</x:v>
      </x:c>
    </x:row>
    <x:row r="48">
      <x:c r="A48" s="111" t="s">
        <x:v>49</x:v>
      </x:c>
      <x:c r="B48" s="111"/>
      <x:c r="C48" s="19" t="e">
        <x:f>SUM(C30:C47)</x:f>
        <x:v>#NAME?</x:v>
      </x:c>
    </x:row>
  </x:sheetData>
  <x:mergeCells>
    <x:mergeCell ref="A1:I1"/>
    <x:mergeCell ref="A2:C2"/>
    <x:mergeCell ref="D2:I2"/>
    <x:mergeCell ref="A26:F26"/>
    <x:mergeCell ref="A48:B48"/>
    <x:mergeCell ref="A28:A29"/>
    <x:mergeCell ref="B28:B29"/>
    <x:mergeCell ref="C28:C29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baseColWidth="10" defaultColWidth="9" defaultRowHeight="14"/>
  <x:cols>
    <x:col min="1" max="1" width="14.83203125" customWidth="1"/>
    <x:col min="2" max="2" width="29.1640625" customWidth="1"/>
    <x:col min="3" max="3" width="39.33203125" customWidth="1"/>
    <x:col min="6" max="6" width="70.33203125" customWidth="1"/>
    <x:col min="7" max="7" width="25.6640625" customWidth="1"/>
    <x:col min="8" max="8" width="18.83203125" customWidth="1"/>
    <x:col min="9" max="9" width="29.33203125" customWidth="1"/>
  </x:cols>
  <x:sheetData>
    <x:row r="1" s="1" customFormat="1" ht="34.75" customHeight="1">
      <x:c r="A1" s="133" t="s">
        <x:v>384</x:v>
      </x:c>
      <x:c r="B1" s="133"/>
      <x:c r="C1" s="133"/>
      <x:c r="D1" s="133"/>
      <x:c r="E1" s="133"/>
      <x:c r="F1" s="133"/>
      <x:c r="G1" s="133"/>
      <x:c r="H1" s="133"/>
      <x:c r="I1" s="133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</x:row>
    <x:row r="2" s="1" customFormat="1">
      <x:c r="A2" s="114" t="e">
        <x:v>#NAME?</x:v>
      </x:c>
      <x:c r="B2" s="134"/>
      <x:c r="C2" s="134"/>
      <x:c r="D2" s="135"/>
      <x:c r="E2" s="135"/>
      <x:c r="F2" s="135"/>
      <x:c r="G2" s="135"/>
      <x:c r="H2" s="135"/>
      <x:c r="I2" s="135"/>
      <x:c r="J2" s="16"/>
      <x:c r="K2" s="17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  <x:c r="W2" s="16"/>
    </x:row>
    <x:row r="3" s="1" customFormat="1">
      <x:c r="A3" s="1" t="s">
        <x:v>295</x:v>
      </x:c>
      <x:c r="B3" s="2"/>
      <x:c r="C3" s="3"/>
      <x:c r="D3" s="4" t="s">
        <x:v>296</x:v>
      </x:c>
      <x:c r="E3" s="5"/>
      <x:c r="F3" s="6" t="n">
        <x:f>G82</x:f>
        <x:v>0</x:v>
      </x:c>
      <x:c r="G3" s="5"/>
      <x:c r="I3" s="18"/>
      <x:c r="J3" s="16"/>
      <x:c r="K3" s="16"/>
      <x:c r="L3" s="17"/>
      <x:c r="M3" s="16"/>
      <x:c r="N3" s="16"/>
      <x:c r="O3" s="16"/>
      <x:c r="P3" s="16"/>
      <x:c r="Q3" s="16"/>
      <x:c r="R3" s="16"/>
      <x:c r="S3" s="16"/>
      <x:c r="T3" s="16"/>
      <x:c r="U3" s="16"/>
      <x:c r="V3" s="16"/>
      <x:c r="W3" s="16"/>
    </x:row>
    <x:row r="4" ht="20" customHeight="1">
      <x:c r="A4" s="7" t="s">
        <x:v>297</x:v>
      </x:c>
      <x:c r="B4" s="7" t="s">
        <x:v>298</x:v>
      </x:c>
      <x:c r="C4" s="7" t="s">
        <x:v>299</x:v>
      </x:c>
      <x:c r="D4" s="7" t="s">
        <x:v>300</x:v>
      </x:c>
      <x:c r="E4" s="7" t="s">
        <x:v>301</x:v>
      </x:c>
      <x:c r="F4" s="7" t="s">
        <x:v>302</x:v>
      </x:c>
      <x:c r="G4" s="7" t="s">
        <x:v>303</x:v>
      </x:c>
      <x:c r="H4" s="8" t="s">
        <x:v>93</x:v>
      </x:c>
      <x:c r="I4" s="8" t="s">
        <x:v>304</x:v>
      </x:c>
    </x:row>
    <x:row r="5" ht="20" customHeight="1">
      <x:c r="A5" t="s">
        <x:v>372</x:v>
      </x:c>
      <x:c r="B5" t="s">
        <x:v>306</x:v>
      </x:c>
      <x:c r="C5" t="s">
        <x:v>311</x:v>
      </x:c>
      <x:c r="F5" t="s">
        <x:v>373</x:v>
      </x:c>
    </x:row>
    <x:row r="6">
      <x:c r="A6" t="s">
        <x:v>335</x:v>
      </x:c>
      <x:c r="B6" t="s">
        <x:v>306</x:v>
      </x:c>
      <x:c r="C6" t="s">
        <x:v>311</x:v>
      </x:c>
      <x:c r="D6" t="s">
        <x:v>308</x:v>
      </x:c>
      <x:c r="E6" s="21">
        <x:v>10</x:v>
      </x:c>
      <x:c r="F6" t="s">
        <x:v>385</x:v>
      </x:c>
      <x:c r="G6" s="20"/>
      <x:c r="J6" s="20"/>
    </x:row>
    <x:row r="7">
      <x:c r="A7" t="s">
        <x:v>386</x:v>
      </x:c>
      <x:c r="B7" t="s">
        <x:v>306</x:v>
      </x:c>
      <x:c r="C7" t="s">
        <x:v>311</x:v>
      </x:c>
      <x:c r="D7" t="s">
        <x:v>308</x:v>
      </x:c>
      <x:c r="E7" s="21">
        <x:v>16</x:v>
      </x:c>
      <x:c r="F7" t="s">
        <x:v>387</x:v>
      </x:c>
      <x:c r="G7" s="20"/>
      <x:c r="J7" s="20"/>
    </x:row>
    <x:row r="8">
      <x:c r="A8" t="s">
        <x:v>386</x:v>
      </x:c>
      <x:c r="B8" t="s">
        <x:v>306</x:v>
      </x:c>
      <x:c r="C8" t="s">
        <x:v>311</x:v>
      </x:c>
      <x:c r="D8" t="s">
        <x:v>308</x:v>
      </x:c>
      <x:c r="E8" s="21">
        <x:v>17</x:v>
      </x:c>
      <x:c r="F8" t="s">
        <x:v>388</x:v>
      </x:c>
      <x:c r="G8" s="20"/>
      <x:c r="J8" s="20"/>
    </x:row>
    <x:row r="9">
      <x:c r="A9" t="s">
        <x:v>337</x:v>
      </x:c>
      <x:c r="B9" t="s">
        <x:v>306</x:v>
      </x:c>
      <x:c r="C9" t="s">
        <x:v>311</x:v>
      </x:c>
      <x:c r="D9" t="s">
        <x:v>308</x:v>
      </x:c>
      <x:c r="E9" s="21">
        <x:v>83</x:v>
      </x:c>
      <x:c r="F9" t="s">
        <x:v>389</x:v>
      </x:c>
      <x:c r="G9" s="20"/>
      <x:c r="J9" s="20"/>
    </x:row>
    <x:row r="10">
      <x:c r="A10" t="s">
        <x:v>337</x:v>
      </x:c>
      <x:c r="B10" t="s">
        <x:v>306</x:v>
      </x:c>
      <x:c r="C10" t="s">
        <x:v>311</x:v>
      </x:c>
      <x:c r="D10" t="s">
        <x:v>308</x:v>
      </x:c>
      <x:c r="E10" s="21">
        <x:v>86</x:v>
      </x:c>
      <x:c r="F10" t="s">
        <x:v>390</x:v>
      </x:c>
      <x:c r="G10" s="20"/>
      <x:c r="J10" s="20"/>
    </x:row>
    <x:row r="11">
      <x:c r="A11" t="s">
        <x:v>337</x:v>
      </x:c>
      <x:c r="B11" t="s">
        <x:v>306</x:v>
      </x:c>
      <x:c r="C11" t="s">
        <x:v>311</x:v>
      </x:c>
      <x:c r="D11" t="s">
        <x:v>308</x:v>
      </x:c>
      <x:c r="E11" s="21">
        <x:v>92</x:v>
      </x:c>
      <x:c r="F11" t="s">
        <x:v>391</x:v>
      </x:c>
      <x:c r="G11" s="20"/>
      <x:c r="J11" s="20"/>
    </x:row>
    <x:row r="12">
      <x:c r="A12" t="s">
        <x:v>329</x:v>
      </x:c>
      <x:c r="B12" t="s">
        <x:v>306</x:v>
      </x:c>
      <x:c r="C12" t="s">
        <x:v>311</x:v>
      </x:c>
      <x:c r="D12" t="s">
        <x:v>308</x:v>
      </x:c>
      <x:c r="E12" s="21">
        <x:v>169</x:v>
      </x:c>
      <x:c r="F12" t="s">
        <x:v>392</x:v>
      </x:c>
      <x:c r="G12" s="20"/>
      <x:c r="J12" s="20"/>
    </x:row>
    <x:row r="13">
      <x:c r="A13" t="s">
        <x:v>329</x:v>
      </x:c>
      <x:c r="B13" t="s">
        <x:v>306</x:v>
      </x:c>
      <x:c r="C13" t="s">
        <x:v>311</x:v>
      </x:c>
      <x:c r="D13" t="s">
        <x:v>308</x:v>
      </x:c>
      <x:c r="E13" s="21">
        <x:v>169</x:v>
      </x:c>
      <x:c r="F13" t="s">
        <x:v>393</x:v>
      </x:c>
      <x:c r="G13" s="20"/>
      <x:c r="J13" s="20"/>
    </x:row>
    <x:row r="14">
      <x:c r="A14" t="s">
        <x:v>329</x:v>
      </x:c>
      <x:c r="B14" t="s">
        <x:v>306</x:v>
      </x:c>
      <x:c r="C14" t="s">
        <x:v>311</x:v>
      </x:c>
      <x:c r="D14" t="s">
        <x:v>308</x:v>
      </x:c>
      <x:c r="E14" s="21">
        <x:v>172</x:v>
      </x:c>
      <x:c r="F14" t="s">
        <x:v>394</x:v>
      </x:c>
      <x:c r="G14" s="20"/>
      <x:c r="J14" s="20"/>
    </x:row>
    <x:row r="15">
      <x:c r="A15" t="s">
        <x:v>329</x:v>
      </x:c>
      <x:c r="B15" t="s">
        <x:v>306</x:v>
      </x:c>
      <x:c r="C15" t="s">
        <x:v>311</x:v>
      </x:c>
      <x:c r="D15" t="s">
        <x:v>308</x:v>
      </x:c>
      <x:c r="E15" s="21">
        <x:v>172</x:v>
      </x:c>
      <x:c r="F15" t="s">
        <x:v>395</x:v>
      </x:c>
      <x:c r="G15" s="20"/>
      <x:c r="J15" s="20"/>
    </x:row>
    <x:row r="16">
      <x:c r="A16" t="s">
        <x:v>329</x:v>
      </x:c>
      <x:c r="B16" t="s">
        <x:v>306</x:v>
      </x:c>
      <x:c r="C16" t="s">
        <x:v>311</x:v>
      </x:c>
      <x:c r="D16" t="s">
        <x:v>308</x:v>
      </x:c>
      <x:c r="E16" s="21">
        <x:v>180</x:v>
      </x:c>
      <x:c r="F16" t="s">
        <x:v>396</x:v>
      </x:c>
      <x:c r="G16" s="20"/>
      <x:c r="J16" s="20"/>
    </x:row>
    <x:row r="17">
      <x:c r="A17" t="s">
        <x:v>329</x:v>
      </x:c>
      <x:c r="B17" t="s">
        <x:v>306</x:v>
      </x:c>
      <x:c r="C17" t="s">
        <x:v>311</x:v>
      </x:c>
      <x:c r="D17" t="s">
        <x:v>308</x:v>
      </x:c>
      <x:c r="E17" s="21">
        <x:v>182</x:v>
      </x:c>
      <x:c r="F17" t="s">
        <x:v>397</x:v>
      </x:c>
      <x:c r="G17" s="20"/>
      <x:c r="J17" s="20"/>
    </x:row>
    <x:row r="18">
      <x:c r="A18" t="s">
        <x:v>329</x:v>
      </x:c>
      <x:c r="B18" t="s">
        <x:v>306</x:v>
      </x:c>
      <x:c r="C18" t="s">
        <x:v>311</x:v>
      </x:c>
      <x:c r="D18" t="s">
        <x:v>308</x:v>
      </x:c>
      <x:c r="E18" s="21">
        <x:v>182</x:v>
      </x:c>
      <x:c r="F18" t="s">
        <x:v>398</x:v>
      </x:c>
      <x:c r="G18" s="20"/>
      <x:c r="J18" s="20"/>
    </x:row>
    <x:row r="19">
      <x:c r="A19" t="s">
        <x:v>329</x:v>
      </x:c>
      <x:c r="B19" t="s">
        <x:v>306</x:v>
      </x:c>
      <x:c r="C19" t="s">
        <x:v>311</x:v>
      </x:c>
      <x:c r="D19" t="s">
        <x:v>308</x:v>
      </x:c>
      <x:c r="E19" s="21">
        <x:v>182</x:v>
      </x:c>
      <x:c r="F19" t="s">
        <x:v>399</x:v>
      </x:c>
      <x:c r="G19" s="20"/>
      <x:c r="J19" s="20"/>
    </x:row>
    <x:row r="20">
      <x:c r="A20" t="s">
        <x:v>329</x:v>
      </x:c>
      <x:c r="B20" t="s">
        <x:v>306</x:v>
      </x:c>
      <x:c r="C20" t="s">
        <x:v>311</x:v>
      </x:c>
      <x:c r="D20" t="s">
        <x:v>308</x:v>
      </x:c>
      <x:c r="E20" s="21">
        <x:v>183</x:v>
      </x:c>
      <x:c r="F20" t="s">
        <x:v>400</x:v>
      </x:c>
      <x:c r="G20" s="20"/>
      <x:c r="J20" s="20"/>
    </x:row>
    <x:row r="21">
      <x:c r="A21" t="s">
        <x:v>329</x:v>
      </x:c>
      <x:c r="B21" t="s">
        <x:v>306</x:v>
      </x:c>
      <x:c r="C21" t="s">
        <x:v>311</x:v>
      </x:c>
      <x:c r="D21" t="s">
        <x:v>308</x:v>
      </x:c>
      <x:c r="E21" s="21">
        <x:v>183</x:v>
      </x:c>
      <x:c r="F21" t="s">
        <x:v>401</x:v>
      </x:c>
      <x:c r="G21" s="20"/>
      <x:c r="J21" s="20"/>
    </x:row>
    <x:row r="22">
      <x:c r="A22" t="s">
        <x:v>329</x:v>
      </x:c>
      <x:c r="B22" t="s">
        <x:v>306</x:v>
      </x:c>
      <x:c r="C22" t="s">
        <x:v>311</x:v>
      </x:c>
      <x:c r="D22" t="s">
        <x:v>308</x:v>
      </x:c>
      <x:c r="E22" s="21">
        <x:v>183</x:v>
      </x:c>
      <x:c r="F22" t="s">
        <x:v>402</x:v>
      </x:c>
      <x:c r="G22" s="20"/>
      <x:c r="J22" s="20"/>
    </x:row>
    <x:row r="23">
      <x:c r="A23" t="s">
        <x:v>329</x:v>
      </x:c>
      <x:c r="B23" t="s">
        <x:v>306</x:v>
      </x:c>
      <x:c r="C23" t="s">
        <x:v>311</x:v>
      </x:c>
      <x:c r="D23" t="s">
        <x:v>308</x:v>
      </x:c>
      <x:c r="E23" s="21">
        <x:v>211</x:v>
      </x:c>
      <x:c r="F23" t="s">
        <x:v>322</x:v>
      </x:c>
      <x:c r="H23" s="20"/>
      <x:c r="J23" s="20"/>
    </x:row>
    <x:row r="24">
      <x:c r="A24" t="s">
        <x:v>329</x:v>
      </x:c>
      <x:c r="B24" t="s">
        <x:v>306</x:v>
      </x:c>
      <x:c r="C24" t="s">
        <x:v>311</x:v>
      </x:c>
      <x:c r="D24" t="s">
        <x:v>308</x:v>
      </x:c>
      <x:c r="E24" s="21">
        <x:v>211</x:v>
      </x:c>
      <x:c r="F24" t="s">
        <x:v>322</x:v>
      </x:c>
      <x:c r="H24" s="20"/>
      <x:c r="J24" s="20"/>
    </x:row>
    <x:row r="25">
      <x:c r="A25" t="s">
        <x:v>329</x:v>
      </x:c>
      <x:c r="B25" t="s">
        <x:v>306</x:v>
      </x:c>
      <x:c r="C25" t="s">
        <x:v>311</x:v>
      </x:c>
      <x:c r="D25" t="s">
        <x:v>308</x:v>
      </x:c>
      <x:c r="E25" s="21">
        <x:v>211</x:v>
      </x:c>
      <x:c r="F25" t="s">
        <x:v>322</x:v>
      </x:c>
      <x:c r="H25" s="20"/>
    </x:row>
    <x:row r="26">
      <x:c r="B26" t="s">
        <x:v>306</x:v>
      </x:c>
      <x:c r="C26" t="s">
        <x:v>311</x:v>
      </x:c>
      <x:c r="F26" t="s">
        <x:v>376</x:v>
      </x:c>
      <x:c r="G26" s="20"/>
      <x:c r="H26" s="20"/>
    </x:row>
    <x:row r="27">
      <x:c r="B27" t="s">
        <x:v>306</x:v>
      </x:c>
      <x:c r="C27" t="s">
        <x:v>311</x:v>
      </x:c>
      <x:c r="F27" t="s">
        <x:v>377</x:v>
      </x:c>
      <x:c r="G27" s="20"/>
      <x:c r="H27" s="20"/>
    </x:row>
    <x:row r="28">
      <x:c r="A28" t="s">
        <x:v>305</x:v>
      </x:c>
      <x:c r="B28" t="s">
        <x:v>306</x:v>
      </x:c>
      <x:c r="C28" t="s">
        <x:v>307</x:v>
      </x:c>
      <x:c r="D28" t="s">
        <x:v>308</x:v>
      </x:c>
      <x:c r="E28" s="21">
        <x:v>64</x:v>
      </x:c>
      <x:c r="F28" t="s">
        <x:v>403</x:v>
      </x:c>
      <x:c r="G28" s="20"/>
      <x:c r="J28" s="20"/>
    </x:row>
    <x:row r="29">
      <x:c r="A29" t="s">
        <x:v>305</x:v>
      </x:c>
      <x:c r="B29" t="s">
        <x:v>306</x:v>
      </x:c>
      <x:c r="C29" t="s">
        <x:v>307</x:v>
      </x:c>
      <x:c r="D29" t="s">
        <x:v>308</x:v>
      </x:c>
      <x:c r="E29" s="21">
        <x:v>120</x:v>
      </x:c>
      <x:c r="F29" t="s">
        <x:v>404</x:v>
      </x:c>
      <x:c r="G29" s="20"/>
      <x:c r="J29" s="20"/>
    </x:row>
    <x:row r="30">
      <x:c r="A30" t="s">
        <x:v>305</x:v>
      </x:c>
      <x:c r="B30" t="s">
        <x:v>306</x:v>
      </x:c>
      <x:c r="C30" t="s">
        <x:v>307</x:v>
      </x:c>
      <x:c r="D30" t="s">
        <x:v>308</x:v>
      </x:c>
      <x:c r="E30" s="21">
        <x:v>121</x:v>
      </x:c>
      <x:c r="F30" t="s">
        <x:v>405</x:v>
      </x:c>
      <x:c r="G30" s="20"/>
      <x:c r="J30" s="20"/>
    </x:row>
    <x:row r="31">
      <x:c r="A31" t="s">
        <x:v>315</x:v>
      </x:c>
      <x:c r="B31" t="s">
        <x:v>306</x:v>
      </x:c>
      <x:c r="C31" t="s">
        <x:v>307</x:v>
      </x:c>
      <x:c r="D31" t="s">
        <x:v>308</x:v>
      </x:c>
      <x:c r="E31" s="21">
        <x:v>58</x:v>
      </x:c>
      <x:c r="F31" t="s">
        <x:v>406</x:v>
      </x:c>
      <x:c r="G31" s="20"/>
      <x:c r="J31" s="20"/>
    </x:row>
    <x:row r="32">
      <x:c r="A32" t="s">
        <x:v>315</x:v>
      </x:c>
      <x:c r="B32" t="s">
        <x:v>306</x:v>
      </x:c>
      <x:c r="C32" t="s">
        <x:v>307</x:v>
      </x:c>
      <x:c r="D32" t="s">
        <x:v>308</x:v>
      </x:c>
      <x:c r="E32" s="21">
        <x:v>58</x:v>
      </x:c>
      <x:c r="F32" t="s">
        <x:v>407</x:v>
      </x:c>
      <x:c r="G32" s="20"/>
      <x:c r="J32" s="20"/>
    </x:row>
    <x:row r="33">
      <x:c r="A33" t="s">
        <x:v>360</x:v>
      </x:c>
      <x:c r="B33" t="s">
        <x:v>306</x:v>
      </x:c>
      <x:c r="C33" t="s">
        <x:v>307</x:v>
      </x:c>
      <x:c r="D33" t="s">
        <x:v>308</x:v>
      </x:c>
      <x:c r="E33" s="21">
        <x:v>154</x:v>
      </x:c>
      <x:c r="F33" t="s">
        <x:v>408</x:v>
      </x:c>
      <x:c r="G33" s="20"/>
      <x:c r="J33" s="20"/>
    </x:row>
    <x:row r="34">
      <x:c r="A34" t="s">
        <x:v>317</x:v>
      </x:c>
      <x:c r="B34" t="s">
        <x:v>306</x:v>
      </x:c>
      <x:c r="C34" t="s">
        <x:v>307</x:v>
      </x:c>
      <x:c r="D34" t="s">
        <x:v>308</x:v>
      </x:c>
      <x:c r="E34" s="21">
        <x:v>157</x:v>
      </x:c>
      <x:c r="F34" t="s">
        <x:v>409</x:v>
      </x:c>
      <x:c r="G34" s="20"/>
      <x:c r="J34" s="20"/>
    </x:row>
    <x:row r="35">
      <x:c r="A35" t="s">
        <x:v>331</x:v>
      </x:c>
      <x:c r="B35" t="s">
        <x:v>306</x:v>
      </x:c>
      <x:c r="C35" t="s">
        <x:v>307</x:v>
      </x:c>
      <x:c r="D35" t="s">
        <x:v>308</x:v>
      </x:c>
      <x:c r="E35" s="21">
        <x:v>62</x:v>
      </x:c>
      <x:c r="F35" t="s">
        <x:v>410</x:v>
      </x:c>
      <x:c r="G35" s="20"/>
      <x:c r="J35" s="20"/>
    </x:row>
    <x:row r="36">
      <x:c r="A36" t="s">
        <x:v>331</x:v>
      </x:c>
      <x:c r="B36" t="s">
        <x:v>306</x:v>
      </x:c>
      <x:c r="C36" t="s">
        <x:v>307</x:v>
      </x:c>
      <x:c r="D36" t="s">
        <x:v>308</x:v>
      </x:c>
      <x:c r="E36" s="21">
        <x:v>95</x:v>
      </x:c>
      <x:c r="F36" t="s">
        <x:v>411</x:v>
      </x:c>
      <x:c r="G36" s="20"/>
      <x:c r="J36" s="20"/>
    </x:row>
    <x:row r="37">
      <x:c r="A37" t="s">
        <x:v>331</x:v>
      </x:c>
      <x:c r="B37" t="s">
        <x:v>306</x:v>
      </x:c>
      <x:c r="C37" t="s">
        <x:v>307</x:v>
      </x:c>
      <x:c r="D37" t="s">
        <x:v>308</x:v>
      </x:c>
      <x:c r="E37" s="21">
        <x:v>95</x:v>
      </x:c>
      <x:c r="F37" t="s">
        <x:v>412</x:v>
      </x:c>
      <x:c r="G37" s="20"/>
      <x:c r="J37" s="20"/>
    </x:row>
    <x:row r="38">
      <x:c r="A38" t="s">
        <x:v>331</x:v>
      </x:c>
      <x:c r="B38" t="s">
        <x:v>306</x:v>
      </x:c>
      <x:c r="C38" t="s">
        <x:v>307</x:v>
      </x:c>
      <x:c r="D38" t="s">
        <x:v>308</x:v>
      </x:c>
      <x:c r="E38" s="21">
        <x:v>149</x:v>
      </x:c>
      <x:c r="F38" t="s">
        <x:v>392</x:v>
      </x:c>
      <x:c r="G38" s="20"/>
      <x:c r="J38" s="20"/>
    </x:row>
    <x:row r="39">
      <x:c r="A39" t="s">
        <x:v>331</x:v>
      </x:c>
      <x:c r="B39" t="s">
        <x:v>306</x:v>
      </x:c>
      <x:c r="C39" t="s">
        <x:v>307</x:v>
      </x:c>
      <x:c r="D39" t="s">
        <x:v>308</x:v>
      </x:c>
      <x:c r="E39" s="21">
        <x:v>149</x:v>
      </x:c>
      <x:c r="F39" t="s">
        <x:v>393</x:v>
      </x:c>
      <x:c r="G39" s="20"/>
      <x:c r="J39" s="20"/>
    </x:row>
    <x:row r="40">
      <x:c r="A40" t="s">
        <x:v>331</x:v>
      </x:c>
      <x:c r="B40" t="s">
        <x:v>306</x:v>
      </x:c>
      <x:c r="C40" t="s">
        <x:v>307</x:v>
      </x:c>
      <x:c r="D40" t="s">
        <x:v>308</x:v>
      </x:c>
      <x:c r="E40" s="21">
        <x:v>156</x:v>
      </x:c>
      <x:c r="F40" t="s">
        <x:v>413</x:v>
      </x:c>
      <x:c r="G40" s="20"/>
      <x:c r="J40" s="20"/>
    </x:row>
    <x:row r="41">
      <x:c r="A41" t="s">
        <x:v>331</x:v>
      </x:c>
      <x:c r="B41" t="s">
        <x:v>306</x:v>
      </x:c>
      <x:c r="C41" t="s">
        <x:v>307</x:v>
      </x:c>
      <x:c r="D41" t="s">
        <x:v>308</x:v>
      </x:c>
      <x:c r="E41" s="21">
        <x:v>156</x:v>
      </x:c>
      <x:c r="F41" t="s">
        <x:v>414</x:v>
      </x:c>
      <x:c r="G41" s="20"/>
      <x:c r="J41" s="20"/>
    </x:row>
    <x:row r="42">
      <x:c r="A42" t="s">
        <x:v>331</x:v>
      </x:c>
      <x:c r="B42" t="s">
        <x:v>306</x:v>
      </x:c>
      <x:c r="C42" t="s">
        <x:v>307</x:v>
      </x:c>
      <x:c r="D42" t="s">
        <x:v>308</x:v>
      </x:c>
      <x:c r="E42" s="21">
        <x:v>156</x:v>
      </x:c>
      <x:c r="F42" t="s">
        <x:v>415</x:v>
      </x:c>
      <x:c r="G42" s="20"/>
      <x:c r="J42" s="20"/>
    </x:row>
    <x:row r="43">
      <x:c r="A43" t="s">
        <x:v>331</x:v>
      </x:c>
      <x:c r="B43" t="s">
        <x:v>306</x:v>
      </x:c>
      <x:c r="C43" t="s">
        <x:v>307</x:v>
      </x:c>
      <x:c r="D43" t="s">
        <x:v>308</x:v>
      </x:c>
      <x:c r="E43" s="21">
        <x:v>156</x:v>
      </x:c>
      <x:c r="F43" t="s">
        <x:v>413</x:v>
      </x:c>
      <x:c r="G43" s="20"/>
      <x:c r="J43" s="20"/>
    </x:row>
    <x:row r="44">
      <x:c r="A44" t="s">
        <x:v>331</x:v>
      </x:c>
      <x:c r="B44" t="s">
        <x:v>306</x:v>
      </x:c>
      <x:c r="C44" t="s">
        <x:v>307</x:v>
      </x:c>
      <x:c r="D44" t="s">
        <x:v>308</x:v>
      </x:c>
      <x:c r="E44" s="21">
        <x:v>156</x:v>
      </x:c>
      <x:c r="F44" t="s">
        <x:v>414</x:v>
      </x:c>
      <x:c r="G44" s="20"/>
      <x:c r="J44" s="20"/>
    </x:row>
    <x:row r="45">
      <x:c r="A45" t="s">
        <x:v>331</x:v>
      </x:c>
      <x:c r="B45" t="s">
        <x:v>306</x:v>
      </x:c>
      <x:c r="C45" t="s">
        <x:v>307</x:v>
      </x:c>
      <x:c r="D45" t="s">
        <x:v>308</x:v>
      </x:c>
      <x:c r="E45" s="21">
        <x:v>156</x:v>
      </x:c>
      <x:c r="F45" t="s">
        <x:v>415</x:v>
      </x:c>
      <x:c r="G45" s="20"/>
      <x:c r="J45" s="20"/>
    </x:row>
    <x:row r="46">
      <x:c r="A46" t="s">
        <x:v>331</x:v>
      </x:c>
      <x:c r="B46" t="s">
        <x:v>306</x:v>
      </x:c>
      <x:c r="C46" t="s">
        <x:v>307</x:v>
      </x:c>
      <x:c r="D46" t="s">
        <x:v>308</x:v>
      </x:c>
      <x:c r="E46" s="21">
        <x:v>190</x:v>
      </x:c>
      <x:c r="F46" t="s">
        <x:v>322</x:v>
      </x:c>
      <x:c r="H46" s="20"/>
      <x:c r="J46" s="20"/>
    </x:row>
    <x:row r="47">
      <x:c r="A47" t="s">
        <x:v>331</x:v>
      </x:c>
      <x:c r="B47" t="s">
        <x:v>306</x:v>
      </x:c>
      <x:c r="C47" t="s">
        <x:v>307</x:v>
      </x:c>
      <x:c r="D47" t="s">
        <x:v>308</x:v>
      </x:c>
      <x:c r="E47" s="21">
        <x:v>190</x:v>
      </x:c>
      <x:c r="F47" t="s">
        <x:v>322</x:v>
      </x:c>
      <x:c r="H47" s="20"/>
    </x:row>
    <x:row r="48">
      <x:c r="B48" t="s">
        <x:v>306</x:v>
      </x:c>
      <x:c r="C48" t="s">
        <x:v>307</x:v>
      </x:c>
      <x:c r="F48" t="s">
        <x:v>376</x:v>
      </x:c>
      <x:c r="G48" s="20"/>
      <x:c r="H48" s="20"/>
    </x:row>
    <x:row r="49">
      <x:c r="B49" t="s">
        <x:v>306</x:v>
      </x:c>
      <x:c r="C49" t="s">
        <x:v>307</x:v>
      </x:c>
      <x:c r="F49" t="s">
        <x:v>377</x:v>
      </x:c>
      <x:c r="G49" s="20"/>
      <x:c r="H49" s="20"/>
    </x:row>
    <x:row r="50">
      <x:c r="A50" t="s">
        <x:v>416</x:v>
      </x:c>
      <x:c r="B50" t="s">
        <x:v>306</x:v>
      </x:c>
      <x:c r="C50" t="s">
        <x:v>320</x:v>
      </x:c>
      <x:c r="D50" t="s">
        <x:v>308</x:v>
      </x:c>
      <x:c r="E50" s="21">
        <x:v>15</x:v>
      </x:c>
      <x:c r="F50" t="s">
        <x:v>417</x:v>
      </x:c>
      <x:c r="G50" s="20"/>
      <x:c r="J50" s="20"/>
    </x:row>
    <x:row r="51">
      <x:c r="A51" t="s">
        <x:v>339</x:v>
      </x:c>
      <x:c r="B51" t="s">
        <x:v>306</x:v>
      </x:c>
      <x:c r="C51" t="s">
        <x:v>320</x:v>
      </x:c>
      <x:c r="D51" t="s">
        <x:v>308</x:v>
      </x:c>
      <x:c r="E51" s="21">
        <x:v>17</x:v>
      </x:c>
      <x:c r="F51" t="s">
        <x:v>418</x:v>
      </x:c>
      <x:c r="G51" s="20"/>
      <x:c r="J51" s="20"/>
    </x:row>
    <x:row r="52">
      <x:c r="A52" t="s">
        <x:v>367</x:v>
      </x:c>
      <x:c r="B52" t="s">
        <x:v>306</x:v>
      </x:c>
      <x:c r="C52" t="s">
        <x:v>320</x:v>
      </x:c>
      <x:c r="D52" t="s">
        <x:v>308</x:v>
      </x:c>
      <x:c r="E52" s="21">
        <x:v>142</x:v>
      </x:c>
      <x:c r="F52" t="s">
        <x:v>419</x:v>
      </x:c>
      <x:c r="G52" s="20"/>
      <x:c r="J52" s="20"/>
    </x:row>
    <x:row r="53">
      <x:c r="A53" t="s">
        <x:v>367</x:v>
      </x:c>
      <x:c r="B53" t="s">
        <x:v>306</x:v>
      </x:c>
      <x:c r="C53" t="s">
        <x:v>320</x:v>
      </x:c>
      <x:c r="D53" t="s">
        <x:v>308</x:v>
      </x:c>
      <x:c r="E53" s="21">
        <x:v>143</x:v>
      </x:c>
      <x:c r="F53" t="s">
        <x:v>420</x:v>
      </x:c>
      <x:c r="G53" s="20"/>
      <x:c r="J53" s="20"/>
    </x:row>
    <x:row r="54">
      <x:c r="A54" t="s">
        <x:v>367</x:v>
      </x:c>
      <x:c r="B54" t="s">
        <x:v>306</x:v>
      </x:c>
      <x:c r="C54" t="s">
        <x:v>320</x:v>
      </x:c>
      <x:c r="D54" t="s">
        <x:v>308</x:v>
      </x:c>
      <x:c r="E54" s="21">
        <x:v>146</x:v>
      </x:c>
      <x:c r="F54" t="s">
        <x:v>421</x:v>
      </x:c>
      <x:c r="G54" s="20"/>
      <x:c r="J54" s="20"/>
    </x:row>
    <x:row r="55">
      <x:c r="A55" t="s">
        <x:v>367</x:v>
      </x:c>
      <x:c r="B55" t="s">
        <x:v>306</x:v>
      </x:c>
      <x:c r="C55" t="s">
        <x:v>320</x:v>
      </x:c>
      <x:c r="D55" t="s">
        <x:v>308</x:v>
      </x:c>
      <x:c r="E55" s="21">
        <x:v>147</x:v>
      </x:c>
      <x:c r="F55" t="s">
        <x:v>422</x:v>
      </x:c>
      <x:c r="G55" s="20"/>
      <x:c r="J55" s="20"/>
    </x:row>
    <x:row r="56">
      <x:c r="A56" t="s">
        <x:v>319</x:v>
      </x:c>
      <x:c r="B56" t="s">
        <x:v>306</x:v>
      </x:c>
      <x:c r="C56" t="s">
        <x:v>320</x:v>
      </x:c>
      <x:c r="D56" t="s">
        <x:v>308</x:v>
      </x:c>
      <x:c r="E56" s="21">
        <x:v>172</x:v>
      </x:c>
      <x:c r="F56" t="s">
        <x:v>423</x:v>
      </x:c>
      <x:c r="G56" s="20"/>
      <x:c r="J56" s="20"/>
    </x:row>
    <x:row r="57">
      <x:c r="A57" t="s">
        <x:v>319</x:v>
      </x:c>
      <x:c r="B57" t="s">
        <x:v>306</x:v>
      </x:c>
      <x:c r="C57" t="s">
        <x:v>320</x:v>
      </x:c>
      <x:c r="D57" t="s">
        <x:v>308</x:v>
      </x:c>
      <x:c r="E57" s="21">
        <x:v>172</x:v>
      </x:c>
      <x:c r="F57" t="s">
        <x:v>424</x:v>
      </x:c>
      <x:c r="G57" s="20"/>
      <x:c r="J57" s="20"/>
    </x:row>
    <x:row r="58">
      <x:c r="A58" t="s">
        <x:v>319</x:v>
      </x:c>
      <x:c r="B58" t="s">
        <x:v>306</x:v>
      </x:c>
      <x:c r="C58" t="s">
        <x:v>320</x:v>
      </x:c>
      <x:c r="D58" t="s">
        <x:v>308</x:v>
      </x:c>
      <x:c r="E58" s="21">
        <x:v>191</x:v>
      </x:c>
      <x:c r="F58" t="s">
        <x:v>425</x:v>
      </x:c>
      <x:c r="G58" s="20"/>
      <x:c r="J58" s="20"/>
    </x:row>
    <x:row r="59">
      <x:c r="A59" t="s">
        <x:v>319</x:v>
      </x:c>
      <x:c r="B59" t="s">
        <x:v>306</x:v>
      </x:c>
      <x:c r="C59" t="s">
        <x:v>320</x:v>
      </x:c>
      <x:c r="D59" t="s">
        <x:v>308</x:v>
      </x:c>
      <x:c r="E59" s="21">
        <x:v>194</x:v>
      </x:c>
      <x:c r="F59" t="s">
        <x:v>426</x:v>
      </x:c>
      <x:c r="G59" s="20"/>
      <x:c r="J59" s="20"/>
    </x:row>
    <x:row r="60">
      <x:c r="A60" t="s">
        <x:v>319</x:v>
      </x:c>
      <x:c r="B60" t="s">
        <x:v>306</x:v>
      </x:c>
      <x:c r="C60" t="s">
        <x:v>320</x:v>
      </x:c>
      <x:c r="D60" t="s">
        <x:v>308</x:v>
      </x:c>
      <x:c r="E60" s="21">
        <x:v>194</x:v>
      </x:c>
      <x:c r="F60" t="s">
        <x:v>427</x:v>
      </x:c>
      <x:c r="G60" s="20"/>
      <x:c r="J60" s="20"/>
    </x:row>
    <x:row r="61">
      <x:c r="A61" t="s">
        <x:v>319</x:v>
      </x:c>
      <x:c r="B61" t="s">
        <x:v>306</x:v>
      </x:c>
      <x:c r="C61" t="s">
        <x:v>320</x:v>
      </x:c>
      <x:c r="D61" t="s">
        <x:v>308</x:v>
      </x:c>
      <x:c r="E61" s="21">
        <x:v>194</x:v>
      </x:c>
      <x:c r="F61" t="s">
        <x:v>428</x:v>
      </x:c>
      <x:c r="G61" s="20"/>
      <x:c r="J61" s="20"/>
    </x:row>
    <x:row r="62">
      <x:c r="A62" t="s">
        <x:v>319</x:v>
      </x:c>
      <x:c r="B62" t="s">
        <x:v>306</x:v>
      </x:c>
      <x:c r="C62" t="s">
        <x:v>320</x:v>
      </x:c>
      <x:c r="D62" t="s">
        <x:v>308</x:v>
      </x:c>
      <x:c r="E62" s="21">
        <x:v>194</x:v>
      </x:c>
      <x:c r="F62" t="s">
        <x:v>426</x:v>
      </x:c>
      <x:c r="G62" s="20"/>
      <x:c r="J62" s="20"/>
    </x:row>
    <x:row r="63">
      <x:c r="A63" t="s">
        <x:v>319</x:v>
      </x:c>
      <x:c r="B63" t="s">
        <x:v>306</x:v>
      </x:c>
      <x:c r="C63" t="s">
        <x:v>320</x:v>
      </x:c>
      <x:c r="D63" t="s">
        <x:v>308</x:v>
      </x:c>
      <x:c r="E63" s="21">
        <x:v>194</x:v>
      </x:c>
      <x:c r="F63" t="s">
        <x:v>427</x:v>
      </x:c>
      <x:c r="G63" s="20"/>
      <x:c r="J63" s="20"/>
    </x:row>
    <x:row r="64">
      <x:c r="A64" t="s">
        <x:v>319</x:v>
      </x:c>
      <x:c r="B64" t="s">
        <x:v>306</x:v>
      </x:c>
      <x:c r="C64" t="s">
        <x:v>320</x:v>
      </x:c>
      <x:c r="D64" t="s">
        <x:v>308</x:v>
      </x:c>
      <x:c r="E64" s="21">
        <x:v>194</x:v>
      </x:c>
      <x:c r="F64" t="s">
        <x:v>428</x:v>
      </x:c>
      <x:c r="G64" s="20"/>
      <x:c r="J64" s="20"/>
    </x:row>
    <x:row r="65">
      <x:c r="A65" t="s">
        <x:v>319</x:v>
      </x:c>
      <x:c r="B65" t="s">
        <x:v>306</x:v>
      </x:c>
      <x:c r="C65" t="s">
        <x:v>320</x:v>
      </x:c>
      <x:c r="D65" t="s">
        <x:v>308</x:v>
      </x:c>
      <x:c r="E65" s="21">
        <x:v>195</x:v>
      </x:c>
      <x:c r="F65" t="s">
        <x:v>429</x:v>
      </x:c>
      <x:c r="G65" s="20"/>
      <x:c r="J65" s="20"/>
    </x:row>
    <x:row r="66">
      <x:c r="A66" t="s">
        <x:v>319</x:v>
      </x:c>
      <x:c r="B66" t="s">
        <x:v>306</x:v>
      </x:c>
      <x:c r="C66" t="s">
        <x:v>320</x:v>
      </x:c>
      <x:c r="D66" t="s">
        <x:v>308</x:v>
      </x:c>
      <x:c r="E66" s="21">
        <x:v>225</x:v>
      </x:c>
      <x:c r="F66" t="s">
        <x:v>322</x:v>
      </x:c>
      <x:c r="H66" s="20"/>
      <x:c r="J66" s="20"/>
    </x:row>
    <x:row r="67">
      <x:c r="A67" t="s">
        <x:v>319</x:v>
      </x:c>
      <x:c r="B67" t="s">
        <x:v>306</x:v>
      </x:c>
      <x:c r="C67" t="s">
        <x:v>320</x:v>
      </x:c>
      <x:c r="D67" t="s">
        <x:v>308</x:v>
      </x:c>
      <x:c r="E67" s="21">
        <x:v>225</x:v>
      </x:c>
      <x:c r="F67" t="s">
        <x:v>322</x:v>
      </x:c>
      <x:c r="H67" s="20"/>
      <x:c r="J67" s="20"/>
    </x:row>
    <x:row r="68">
      <x:c r="A68" t="s">
        <x:v>319</x:v>
      </x:c>
      <x:c r="B68" t="s">
        <x:v>306</x:v>
      </x:c>
      <x:c r="C68" t="s">
        <x:v>320</x:v>
      </x:c>
      <x:c r="D68" t="s">
        <x:v>308</x:v>
      </x:c>
      <x:c r="E68" s="21">
        <x:v>225</x:v>
      </x:c>
      <x:c r="F68" t="s">
        <x:v>322</x:v>
      </x:c>
      <x:c r="H68" s="20"/>
    </x:row>
    <x:row r="69">
      <x:c r="B69" t="s">
        <x:v>306</x:v>
      </x:c>
      <x:c r="C69" t="s">
        <x:v>320</x:v>
      </x:c>
      <x:c r="F69" t="s">
        <x:v>376</x:v>
      </x:c>
      <x:c r="G69" s="20"/>
      <x:c r="H69" s="20"/>
    </x:row>
    <x:row r="70">
      <x:c r="B70" t="s">
        <x:v>306</x:v>
      </x:c>
      <x:c r="C70" t="s">
        <x:v>320</x:v>
      </x:c>
      <x:c r="F70" t="s">
        <x:v>377</x:v>
      </x:c>
      <x:c r="G70" s="20"/>
      <x:c r="H70" s="20"/>
    </x:row>
    <x:row r="71">
      <x:c r="A71" s="40"/>
      <x:c r="B71" s="41"/>
      <x:c r="C71" s="41"/>
      <x:c r="D71" s="41"/>
      <x:c r="E71" s="42"/>
      <x:c r="F71" s="43"/>
      <x:c r="G71" s="10"/>
      <x:c r="H71" s="7"/>
      <x:c r="I71" s="7"/>
    </x:row>
    <x:row r="72">
      <x:c r="A72" s="40"/>
      <x:c r="B72" s="41"/>
      <x:c r="C72" s="41"/>
      <x:c r="D72" s="41"/>
      <x:c r="E72" s="42"/>
      <x:c r="F72" s="43"/>
      <x:c r="G72" s="10"/>
      <x:c r="H72" s="7"/>
      <x:c r="I72" s="7"/>
    </x:row>
    <x:row r="73">
      <x:c r="A73" s="40"/>
      <x:c r="B73" s="41"/>
      <x:c r="C73" s="41"/>
      <x:c r="D73" s="41"/>
      <x:c r="E73" s="42"/>
      <x:c r="F73" s="43"/>
      <x:c r="G73" s="10"/>
      <x:c r="H73" s="7"/>
      <x:c r="I73" s="7"/>
    </x:row>
    <x:row r="74">
      <x:c r="A74" s="40"/>
      <x:c r="B74" s="41"/>
      <x:c r="C74" s="41"/>
      <x:c r="D74" s="41"/>
      <x:c r="E74" s="42"/>
      <x:c r="F74" s="43"/>
      <x:c r="G74" s="10"/>
      <x:c r="H74" s="7"/>
      <x:c r="I74" s="7"/>
    </x:row>
    <x:row r="75">
      <x:c r="A75" s="40"/>
      <x:c r="B75" s="41"/>
      <x:c r="C75" s="41"/>
      <x:c r="D75" s="41"/>
      <x:c r="E75" s="42"/>
      <x:c r="F75" s="43"/>
      <x:c r="G75" s="10"/>
      <x:c r="H75" s="7"/>
      <x:c r="I75" s="7"/>
    </x:row>
    <x:row r="76">
      <x:c r="A76" s="40"/>
      <x:c r="B76" s="41"/>
      <x:c r="C76" s="41"/>
      <x:c r="D76" s="41"/>
      <x:c r="E76" s="42"/>
      <x:c r="F76" s="43"/>
      <x:c r="G76" s="10"/>
      <x:c r="H76" s="7"/>
      <x:c r="I76" s="7"/>
    </x:row>
    <x:row r="77">
      <x:c r="A77" s="40"/>
      <x:c r="B77" s="41"/>
      <x:c r="C77" s="41"/>
      <x:c r="D77" s="41"/>
      <x:c r="E77" s="42"/>
      <x:c r="F77" s="43"/>
      <x:c r="G77" s="10"/>
      <x:c r="H77" s="7"/>
      <x:c r="I77" s="7"/>
    </x:row>
    <x:row r="78">
      <x:c r="A78" s="40"/>
      <x:c r="B78" s="41"/>
      <x:c r="C78" s="41"/>
      <x:c r="D78" s="41"/>
      <x:c r="E78" s="42"/>
      <x:c r="F78" s="43"/>
      <x:c r="G78" s="10"/>
      <x:c r="H78" s="7"/>
      <x:c r="I78" s="7"/>
    </x:row>
    <x:row r="79">
      <x:c r="A79" s="40"/>
      <x:c r="B79" s="41"/>
      <x:c r="C79" s="41"/>
      <x:c r="D79" s="41"/>
      <x:c r="E79" s="42"/>
      <x:c r="F79" s="43"/>
      <x:c r="G79" s="10"/>
      <x:c r="H79" s="7"/>
      <x:c r="I79" s="7"/>
    </x:row>
    <x:row r="80">
      <x:c r="A80" s="40"/>
      <x:c r="B80" s="41"/>
      <x:c r="C80" s="41"/>
      <x:c r="D80" s="41"/>
      <x:c r="E80" s="42"/>
      <x:c r="F80" s="43"/>
      <x:c r="G80" s="10"/>
      <x:c r="H80" s="7"/>
      <x:c r="I80" s="7"/>
    </x:row>
    <x:row r="81">
      <x:c r="A81" s="40"/>
      <x:c r="B81" s="41"/>
      <x:c r="C81" s="41"/>
      <x:c r="D81" s="41"/>
      <x:c r="E81" s="42"/>
      <x:c r="F81" s="43"/>
      <x:c r="G81" s="10"/>
      <x:c r="H81" s="7"/>
      <x:c r="I81" s="7"/>
    </x:row>
    <x:row r="82">
      <x:c r="A82" s="138" t="s">
        <x:v>49</x:v>
      </x:c>
      <x:c r="B82" s="136"/>
      <x:c r="C82" s="136"/>
      <x:c r="D82" s="136"/>
      <x:c r="E82" s="136"/>
      <x:c r="F82" s="137"/>
      <x:c r="G82" s="7" t="n">
        <x:f>SUM(G5:G21)</x:f>
        <x:v>0</x:v>
      </x:c>
      <x:c r="H82" s="7"/>
      <x:c r="I82" s="7"/>
    </x:row>
    <x:row r="84">
      <x:c r="A84" s="112" t="s">
        <x:v>50</x:v>
      </x:c>
      <x:c r="B84" s="112" t="s">
        <x:v>2</x:v>
      </x:c>
      <x:c r="C84" s="124" t="s">
        <x:v>327</x:v>
      </x:c>
    </x:row>
    <x:row r="85">
      <x:c r="A85" s="112"/>
      <x:c r="B85" s="112"/>
      <x:c r="C85" s="124"/>
    </x:row>
    <x:row r="86">
      <x:c r="A86" s="13" t="s">
        <x:v>164</x:v>
      </x:c>
      <x:c r="B86" s="13" t="s">
        <x:v>75</x:v>
      </x:c>
      <x:c r="C86" s="19" t="e">
        <x:f>项目分类明细汇总表1月!$D$11*研发人员工时统计合计!J43</x:f>
        <x:v>#NAME?</x:v>
      </x:c>
    </x:row>
    <x:row r="87">
      <x:c r="A87" s="13" t="s">
        <x:v>165</x:v>
      </x:c>
      <x:c r="B87" s="13" t="s">
        <x:v>76</x:v>
      </x:c>
      <x:c r="C87" s="19" t="e">
        <x:f>项目分类明细汇总表1月!$D$11*研发人员工时统计合计!J44</x:f>
        <x:v>#NAME?</x:v>
      </x:c>
    </x:row>
    <x:row r="88">
      <x:c r="A88" s="13" t="s">
        <x:v>166</x:v>
      </x:c>
      <x:c r="B88" s="13" t="s">
        <x:v>77</x:v>
      </x:c>
      <x:c r="C88" s="19" t="e">
        <x:f>项目分类明细汇总表1月!$D$11*研发人员工时统计合计!J45</x:f>
        <x:v>#NAME?</x:v>
      </x:c>
    </x:row>
    <x:row r="89">
      <x:c r="A89" s="13" t="s">
        <x:v>167</x:v>
      </x:c>
      <x:c r="B89" s="13" t="s">
        <x:v>78</x:v>
      </x:c>
      <x:c r="C89" s="19" t="e">
        <x:f>项目分类明细汇总表1月!$D$11*研发人员工时统计合计!J46</x:f>
        <x:v>#NAME?</x:v>
      </x:c>
    </x:row>
    <x:row r="90">
      <x:c r="A90" s="13" t="s">
        <x:v>168</x:v>
      </x:c>
      <x:c r="B90" s="13" t="s">
        <x:v>79</x:v>
      </x:c>
      <x:c r="C90" s="19" t="e">
        <x:f>项目分类明细汇总表1月!$D$11*研发人员工时统计合计!J47</x:f>
        <x:v>#NAME?</x:v>
      </x:c>
    </x:row>
    <x:row r="91">
      <x:c r="A91" s="13" t="s">
        <x:v>169</x:v>
      </x:c>
      <x:c r="B91" s="13" t="s">
        <x:v>80</x:v>
      </x:c>
      <x:c r="C91" s="19" t="e">
        <x:f>项目分类明细汇总表1月!$D$11*研发人员工时统计合计!J48</x:f>
        <x:v>#NAME?</x:v>
      </x:c>
    </x:row>
    <x:row r="92">
      <x:c r="A92" s="13" t="s">
        <x:v>170</x:v>
      </x:c>
      <x:c r="B92" s="13" t="s">
        <x:v>81</x:v>
      </x:c>
      <x:c r="C92" s="19" t="e">
        <x:f>项目分类明细汇总表1月!$D$11*研发人员工时统计合计!J49</x:f>
        <x:v>#NAME?</x:v>
      </x:c>
    </x:row>
    <x:row r="93">
      <x:c r="A93" s="13" t="s">
        <x:v>171</x:v>
      </x:c>
      <x:c r="B93" s="13" t="s">
        <x:v>82</x:v>
      </x:c>
      <x:c r="C93" s="19" t="e">
        <x:f>项目分类明细汇总表1月!$D$11*研发人员工时统计合计!J50</x:f>
        <x:v>#NAME?</x:v>
      </x:c>
    </x:row>
    <x:row r="94">
      <x:c r="A94" s="13" t="s">
        <x:v>172</x:v>
      </x:c>
      <x:c r="B94" s="13" t="s">
        <x:v>83</x:v>
      </x:c>
      <x:c r="C94" s="19" t="e">
        <x:f>项目分类明细汇总表1月!$D$11*研发人员工时统计合计!J51</x:f>
        <x:v>#NAME?</x:v>
      </x:c>
    </x:row>
    <x:row r="95">
      <x:c r="A95" s="13" t="s">
        <x:v>173</x:v>
      </x:c>
      <x:c r="B95" s="13" t="s">
        <x:v>84</x:v>
      </x:c>
      <x:c r="C95" s="19" t="e">
        <x:f>项目分类明细汇总表1月!$D$11*研发人员工时统计合计!J52</x:f>
        <x:v>#NAME?</x:v>
      </x:c>
    </x:row>
    <x:row r="96">
      <x:c r="A96" s="13" t="s">
        <x:v>174</x:v>
      </x:c>
      <x:c r="B96" s="13" t="s">
        <x:v>85</x:v>
      </x:c>
      <x:c r="C96" s="19" t="e">
        <x:f>项目分类明细汇总表1月!$D$11*研发人员工时统计合计!J53</x:f>
        <x:v>#NAME?</x:v>
      </x:c>
    </x:row>
    <x:row r="97">
      <x:c r="A97" s="13" t="s">
        <x:v>273</x:v>
      </x:c>
      <x:c r="B97" s="13" t="s">
        <x:v>86</x:v>
      </x:c>
      <x:c r="C97" s="19" t="e">
        <x:f>项目分类明细汇总表1月!$D$11*研发人员工时统计合计!J54</x:f>
        <x:v>#NAME?</x:v>
      </x:c>
    </x:row>
    <x:row r="98">
      <x:c r="A98" s="13" t="s">
        <x:v>176</x:v>
      </x:c>
      <x:c r="B98" s="13" t="s">
        <x:v>87</x:v>
      </x:c>
      <x:c r="C98" s="19" t="e">
        <x:f>项目分类明细汇总表1月!$D$11*研发人员工时统计合计!J55</x:f>
        <x:v>#NAME?</x:v>
      </x:c>
    </x:row>
    <x:row r="99">
      <x:c r="A99" s="13" t="s">
        <x:v>177</x:v>
      </x:c>
      <x:c r="B99" s="13" t="s">
        <x:v>88</x:v>
      </x:c>
      <x:c r="C99" s="19" t="e">
        <x:f>项目分类明细汇总表1月!$D$11*研发人员工时统计合计!J56</x:f>
        <x:v>#NAME?</x:v>
      </x:c>
    </x:row>
    <x:row r="100">
      <x:c r="A100" s="13" t="s">
        <x:v>168</x:v>
      </x:c>
      <x:c r="B100" s="13" t="s">
        <x:v>89</x:v>
      </x:c>
      <x:c r="C100" s="19" t="e">
        <x:f>项目分类明细汇总表1月!$D$11*研发人员工时统计合计!J57</x:f>
        <x:v>#NAME?</x:v>
      </x:c>
    </x:row>
    <x:row r="101" ht="17">
      <x:c r="A101" s="13" t="s">
        <x:v>274</x:v>
      </x:c>
      <x:c r="B101" s="15" t="s">
        <x:v>90</x:v>
      </x:c>
      <x:c r="C101" s="19" t="e">
        <x:f>项目分类明细汇总表1月!$D$11*研发人员工时统计合计!J58</x:f>
        <x:v>#NAME?</x:v>
      </x:c>
    </x:row>
    <x:row r="102" ht="17">
      <x:c r="A102" s="13" t="s">
        <x:v>275</x:v>
      </x:c>
      <x:c r="B102" s="15" t="s">
        <x:v>19</x:v>
      </x:c>
      <x:c r="C102" s="19" t="e">
        <x:f>项目分类明细汇总表1月!$D$11*研发人员工时统计合计!J59</x:f>
        <x:v>#NAME?</x:v>
      </x:c>
    </x:row>
    <x:row r="103" ht="17">
      <x:c r="A103" s="13" t="s">
        <x:v>276</x:v>
      </x:c>
      <x:c r="B103" s="15" t="s">
        <x:v>34</x:v>
      </x:c>
      <x:c r="C103" s="19" t="e">
        <x:f>项目分类明细汇总表1月!$D$11*研发人员工时统计合计!J60</x:f>
        <x:v>#NAME?</x:v>
      </x:c>
    </x:row>
    <x:row r="104">
      <x:c r="A104" s="111" t="s">
        <x:v>49</x:v>
      </x:c>
      <x:c r="B104" s="111"/>
      <x:c r="C104" s="19" t="e">
        <x:f>SUM(C86:C103)</x:f>
        <x:v>#NAME?</x:v>
      </x:c>
    </x:row>
  </x:sheetData>
  <x:mergeCells>
    <x:mergeCell ref="A1:I1"/>
    <x:mergeCell ref="A2:C2"/>
    <x:mergeCell ref="D2:I2"/>
    <x:mergeCell ref="A82:F82"/>
    <x:mergeCell ref="A104:B104"/>
    <x:mergeCell ref="A84:A85"/>
    <x:mergeCell ref="B84:B85"/>
    <x:mergeCell ref="C84:C85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baseColWidth="10" defaultColWidth="9" defaultRowHeight="14"/>
  <x:cols>
    <x:col min="1" max="1" width="28.6640625" style="1" customWidth="1"/>
    <x:col min="2" max="2" width="56.1640625" style="1" customWidth="1"/>
    <x:col min="3" max="3" width="23.1640625" style="31" customWidth="1"/>
    <x:col min="4" max="4" width="9" style="31" customWidth="0"/>
    <x:col min="5" max="5" width="10.6640625" style="32" customWidth="1"/>
    <x:col min="6" max="6" width="59.83203125" style="18" customWidth="1"/>
    <x:col min="7" max="9" width="12" style="16" customWidth="1"/>
    <x:col min="10" max="10" width="19.1640625" style="16" customWidth="1"/>
    <x:col min="11" max="11" width="24.5" style="16" customWidth="1"/>
    <x:col min="12" max="16" width="9" style="16" customWidth="0"/>
    <x:col min="17" max="16384" width="9" style="1" customWidth="0"/>
  </x:cols>
  <x:sheetData>
    <x:row r="1" ht="34.75" customHeight="1">
      <x:c r="A1" s="133" t="s">
        <x:v>430</x:v>
      </x:c>
      <x:c r="B1" s="133"/>
      <x:c r="C1" s="133"/>
      <x:c r="D1" s="133"/>
      <x:c r="E1" s="133"/>
      <x:c r="F1" s="133"/>
      <x:c r="G1" s="133"/>
      <x:c r="H1" s="133"/>
      <x:c r="I1" s="133"/>
      <x:c r="J1" s="133"/>
      <x:c r="K1" s="133"/>
      <x:c r="Q1" s="16"/>
      <x:c r="R1" s="16"/>
      <x:c r="S1" s="16"/>
      <x:c r="T1" s="16"/>
      <x:c r="U1" s="16"/>
      <x:c r="V1" s="16"/>
      <x:c r="W1" s="16"/>
      <x:c r="X1" s="16"/>
      <x:c r="Y1" s="16"/>
    </x:row>
    <x:row r="2">
      <x:c r="A2" s="114" t="e">
        <x:v>#NAME?</x:v>
      </x:c>
      <x:c r="B2" s="134"/>
      <x:c r="C2" s="134"/>
      <x:c r="D2" s="135"/>
      <x:c r="E2" s="135"/>
      <x:c r="F2" s="135"/>
      <x:c r="G2" s="135"/>
      <x:c r="H2" s="135"/>
      <x:c r="I2" s="135"/>
      <x:c r="J2" s="135"/>
      <x:c r="K2" s="135"/>
      <x:c r="M2" s="17"/>
      <x:c r="Q2" s="16"/>
      <x:c r="R2" s="16"/>
      <x:c r="S2" s="16"/>
      <x:c r="T2" s="16"/>
      <x:c r="U2" s="16"/>
      <x:c r="V2" s="16"/>
      <x:c r="W2" s="16"/>
      <x:c r="X2" s="16"/>
      <x:c r="Y2" s="16"/>
    </x:row>
    <x:row r="3">
      <x:c r="A3" s="1" t="s">
        <x:v>295</x:v>
      </x:c>
      <x:c r="B3" s="2"/>
      <x:c r="C3" s="3"/>
      <x:c r="D3" s="4" t="s">
        <x:v>296</x:v>
      </x:c>
      <x:c r="E3" s="5"/>
      <x:c r="F3" s="6" t="n">
        <x:f>G163</x:f>
        <x:v>245699.68000000002</x:v>
      </x:c>
      <x:c r="G3" s="24" t="s">
        <x:v>431</x:v>
      </x:c>
      <x:c r="H3" s="24"/>
      <x:c r="I3" s="24"/>
      <x:c r="J3" s="1"/>
      <x:c r="K3" s="18"/>
      <x:c r="N3" s="17"/>
      <x:c r="Q3" s="16"/>
      <x:c r="R3" s="16"/>
      <x:c r="S3" s="16"/>
      <x:c r="T3" s="16"/>
      <x:c r="U3" s="16"/>
      <x:c r="V3" s="16"/>
      <x:c r="W3" s="16"/>
      <x:c r="X3" s="16"/>
      <x:c r="Y3" s="16"/>
    </x:row>
    <x:row r="4">
      <x:c r="A4" s="33" t="s">
        <x:v>297</x:v>
      </x:c>
      <x:c r="B4" s="33" t="s">
        <x:v>298</x:v>
      </x:c>
      <x:c r="C4" s="33" t="s">
        <x:v>299</x:v>
      </x:c>
      <x:c r="D4" s="33" t="s">
        <x:v>300</x:v>
      </x:c>
      <x:c r="E4" s="33" t="s">
        <x:v>301</x:v>
      </x:c>
      <x:c r="F4" s="33" t="s">
        <x:v>302</x:v>
      </x:c>
      <x:c r="G4" s="33" t="s">
        <x:v>303</x:v>
      </x:c>
      <x:c r="H4" s="33"/>
      <x:c r="I4" s="33" t="s">
        <x:v>432</x:v>
      </x:c>
      <x:c r="J4" s="8" t="s">
        <x:v>93</x:v>
      </x:c>
      <x:c r="K4" s="8" t="s">
        <x:v>304</x:v>
      </x:c>
    </x:row>
    <x:row r="5" hidden="1">
      <x:c r="A5" t="s">
        <x:v>372</x:v>
      </x:c>
      <x:c r="B5" t="s">
        <x:v>306</x:v>
      </x:c>
      <x:c r="C5" t="s">
        <x:v>311</x:v>
      </x:c>
      <x:c r="D5"/>
      <x:c r="E5"/>
      <x:c r="F5" t="s">
        <x:v>373</x:v>
      </x:c>
      <x:c r="G5"/>
      <x:c r="H5"/>
      <x:c r="I5"/>
      <x:c r="J5" t="s">
        <x:v>374</x:v>
      </x:c>
      <x:c r="K5"/>
    </x:row>
    <x:row r="6">
      <x:c r="A6" t="s">
        <x:v>329</x:v>
      </x:c>
      <x:c r="B6" t="s">
        <x:v>306</x:v>
      </x:c>
      <x:c r="C6" t="s">
        <x:v>311</x:v>
      </x:c>
      <x:c r="D6" t="s">
        <x:v>308</x:v>
      </x:c>
      <x:c r="E6" s="21">
        <x:v>175</x:v>
      </x:c>
      <x:c r="F6" t="s">
        <x:v>433</x:v>
      </x:c>
      <x:c r="G6" s="20"/>
      <x:c r="H6" s="20"/>
      <x:c r="I6"/>
      <x:c r="J6" t="s">
        <x:v>434</x:v>
      </x:c>
      <x:c r="K6" s="20"/>
    </x:row>
    <x:row r="7">
      <x:c r="A7" t="s">
        <x:v>329</x:v>
      </x:c>
      <x:c r="B7" t="s">
        <x:v>306</x:v>
      </x:c>
      <x:c r="C7" t="s">
        <x:v>311</x:v>
      </x:c>
      <x:c r="D7" t="s">
        <x:v>308</x:v>
      </x:c>
      <x:c r="E7" s="21">
        <x:v>175</x:v>
      </x:c>
      <x:c r="F7" t="s">
        <x:v>433</x:v>
      </x:c>
      <x:c r="G7" s="20"/>
      <x:c r="H7" s="20"/>
      <x:c r="I7"/>
      <x:c r="J7" t="s">
        <x:v>434</x:v>
      </x:c>
      <x:c r="K7" s="20"/>
    </x:row>
    <x:row r="8" hidden="1">
      <x:c r="A8" t="s">
        <x:v>329</x:v>
      </x:c>
      <x:c r="B8" t="s">
        <x:v>306</x:v>
      </x:c>
      <x:c r="C8" t="s">
        <x:v>311</x:v>
      </x:c>
      <x:c r="D8" t="s">
        <x:v>308</x:v>
      </x:c>
      <x:c r="E8" s="21">
        <x:v>176</x:v>
      </x:c>
      <x:c r="F8" t="s">
        <x:v>435</x:v>
      </x:c>
      <x:c r="G8" s="20">
        <x:v>1193.5999999999999</x:v>
      </x:c>
      <x:c r="H8" s="20"/>
      <x:c r="I8"/>
      <x:c r="J8" t="s">
        <x:v>434</x:v>
      </x:c>
      <x:c r="K8" s="20">
        <x:v>34251.040000000001</x:v>
      </x:c>
    </x:row>
    <x:row r="9" hidden="1">
      <x:c r="A9" t="s">
        <x:v>329</x:v>
      </x:c>
      <x:c r="B9" t="s">
        <x:v>306</x:v>
      </x:c>
      <x:c r="C9" t="s">
        <x:v>311</x:v>
      </x:c>
      <x:c r="D9" t="s">
        <x:v>308</x:v>
      </x:c>
      <x:c r="E9" s="21">
        <x:v>205</x:v>
      </x:c>
      <x:c r="F9" t="s">
        <x:v>436</x:v>
      </x:c>
      <x:c r="G9" s="20">
        <x:v>396.16</x:v>
      </x:c>
      <x:c r="H9" s="20"/>
      <x:c r="I9"/>
      <x:c r="J9" t="s">
        <x:v>434</x:v>
      </x:c>
      <x:c r="K9" s="20">
        <x:v>34647.199999999997</x:v>
      </x:c>
    </x:row>
    <x:row r="10" hidden="1">
      <x:c r="A10" t="s">
        <x:v>329</x:v>
      </x:c>
      <x:c r="B10" t="s">
        <x:v>306</x:v>
      </x:c>
      <x:c r="C10" t="s">
        <x:v>311</x:v>
      </x:c>
      <x:c r="D10" t="s">
        <x:v>308</x:v>
      </x:c>
      <x:c r="E10" s="21">
        <x:v>211</x:v>
      </x:c>
      <x:c r="F10" t="s">
        <x:v>322</x:v>
      </x:c>
      <x:c r="G10"/>
      <x:c r="H10"/>
      <x:c r="I10" s="20">
        <x:v>31051.040000000001</x:v>
      </x:c>
      <x:c r="J10" t="s">
        <x:v>434</x:v>
      </x:c>
      <x:c r="K10" s="20">
        <x:v>3596.16</x:v>
      </x:c>
    </x:row>
    <x:row r="11" hidden="1">
      <x:c r="A11" t="s">
        <x:v>329</x:v>
      </x:c>
      <x:c r="B11" t="s">
        <x:v>306</x:v>
      </x:c>
      <x:c r="C11" t="s">
        <x:v>311</x:v>
      </x:c>
      <x:c r="D11" t="s">
        <x:v>308</x:v>
      </x:c>
      <x:c r="E11" s="21">
        <x:v>211</x:v>
      </x:c>
      <x:c r="F11" t="s">
        <x:v>322</x:v>
      </x:c>
      <x:c r="G11"/>
      <x:c r="H11"/>
      <x:c r="I11" s="20">
        <x:v>3200</x:v>
      </x:c>
      <x:c r="J11" t="s">
        <x:v>434</x:v>
      </x:c>
      <x:c r="K11" s="20">
        <x:v>396.16</x:v>
      </x:c>
    </x:row>
    <x:row r="12" hidden="1">
      <x:c r="A12" t="s">
        <x:v>329</x:v>
      </x:c>
      <x:c r="B12" t="s">
        <x:v>306</x:v>
      </x:c>
      <x:c r="C12" t="s">
        <x:v>311</x:v>
      </x:c>
      <x:c r="D12" t="s">
        <x:v>308</x:v>
      </x:c>
      <x:c r="E12" s="21">
        <x:v>211</x:v>
      </x:c>
      <x:c r="F12" t="s">
        <x:v>322</x:v>
      </x:c>
      <x:c r="G12"/>
      <x:c r="H12"/>
      <x:c r="I12" s="20">
        <x:v>396.16</x:v>
      </x:c>
      <x:c r="J12" t="s">
        <x:v>374</x:v>
      </x:c>
      <x:c r="K12"/>
      <x:c r="M12" s="16" t="n">
        <x:f>396.16+24.76</x:f>
        <x:v>420.92</x:v>
      </x:c>
    </x:row>
    <x:row r="13" hidden="1">
      <x:c r="A13"/>
      <x:c r="B13" t="s">
        <x:v>306</x:v>
      </x:c>
      <x:c r="C13" t="s">
        <x:v>311</x:v>
      </x:c>
      <x:c r="D13"/>
      <x:c r="E13"/>
      <x:c r="F13" t="s">
        <x:v>376</x:v>
      </x:c>
      <x:c r="G13" s="20">
        <x:v>34647.199999999997</x:v>
      </x:c>
      <x:c r="H13" s="20"/>
      <x:c r="I13" s="20">
        <x:v>34647.199999999997</x:v>
      </x:c>
      <x:c r="J13" t="s">
        <x:v>374</x:v>
      </x:c>
      <x:c r="K13"/>
    </x:row>
    <x:row r="14" hidden="1">
      <x:c r="A14"/>
      <x:c r="B14" t="s">
        <x:v>306</x:v>
      </x:c>
      <x:c r="C14" t="s">
        <x:v>311</x:v>
      </x:c>
      <x:c r="D14"/>
      <x:c r="E14"/>
      <x:c r="F14" t="s">
        <x:v>377</x:v>
      </x:c>
      <x:c r="G14" s="20">
        <x:v>34647.199999999997</x:v>
      </x:c>
      <x:c r="H14" s="20"/>
      <x:c r="I14" s="20">
        <x:v>34647.199999999997</x:v>
      </x:c>
      <x:c r="J14" t="s">
        <x:v>374</x:v>
      </x:c>
      <x:c r="K14"/>
    </x:row>
    <x:row r="15" hidden="1">
      <x:c r="A15" t="s">
        <x:v>313</x:v>
      </x:c>
      <x:c r="B15" t="s">
        <x:v>306</x:v>
      </x:c>
      <x:c r="C15" t="s">
        <x:v>307</x:v>
      </x:c>
      <x:c r="D15" t="s">
        <x:v>308</x:v>
      </x:c>
      <x:c r="E15" s="21">
        <x:v>109</x:v>
      </x:c>
      <x:c r="F15" t="s">
        <x:v>437</x:v>
      </x:c>
      <x:c r="G15" s="20">
        <x:v>1193.5999999999999</x:v>
      </x:c>
      <x:c r="H15" s="20"/>
      <x:c r="I15"/>
      <x:c r="J15" t="s">
        <x:v>434</x:v>
      </x:c>
      <x:c r="K15" s="20">
        <x:v>1193.5999999999999</x:v>
      </x:c>
    </x:row>
    <x:row r="16" hidden="1">
      <x:c r="A16" t="s">
        <x:v>331</x:v>
      </x:c>
      <x:c r="B16" t="s">
        <x:v>306</x:v>
      </x:c>
      <x:c r="C16" t="s">
        <x:v>307</x:v>
      </x:c>
      <x:c r="D16" t="s">
        <x:v>308</x:v>
      </x:c>
      <x:c r="E16" s="21">
        <x:v>94</x:v>
      </x:c>
      <x:c r="F16" t="s">
        <x:v>438</x:v>
      </x:c>
      <x:c r="G16" s="20">
        <x:v>33057.440000000002</x:v>
      </x:c>
      <x:c r="H16" s="20"/>
      <x:c r="I16"/>
      <x:c r="J16" t="s">
        <x:v>434</x:v>
      </x:c>
      <x:c r="K16" s="20">
        <x:v>34251.040000000001</x:v>
      </x:c>
    </x:row>
    <x:row r="17" hidden="1">
      <x:c r="A17" t="s">
        <x:v>331</x:v>
      </x:c>
      <x:c r="B17" t="s">
        <x:v>306</x:v>
      </x:c>
      <x:c r="C17" t="s">
        <x:v>307</x:v>
      </x:c>
      <x:c r="D17" t="s">
        <x:v>308</x:v>
      </x:c>
      <x:c r="E17" s="21">
        <x:v>94</x:v>
      </x:c>
      <x:c r="F17" t="s">
        <x:v>439</x:v>
      </x:c>
      <x:c r="G17" s="20">
        <x:v>792.32</x:v>
      </x:c>
      <x:c r="H17" s="20"/>
      <x:c r="I17"/>
      <x:c r="J17" t="s">
        <x:v>434</x:v>
      </x:c>
      <x:c r="K17" s="20">
        <x:v>35043.360000000001</x:v>
      </x:c>
    </x:row>
    <x:row r="18" hidden="1">
      <x:c r="A18" t="s">
        <x:v>331</x:v>
      </x:c>
      <x:c r="B18" t="s">
        <x:v>306</x:v>
      </x:c>
      <x:c r="C18" t="s">
        <x:v>307</x:v>
      </x:c>
      <x:c r="D18" t="s">
        <x:v>308</x:v>
      </x:c>
      <x:c r="E18" s="21">
        <x:v>99</x:v>
      </x:c>
      <x:c r="F18" t="s">
        <x:v>440</x:v>
      </x:c>
      <x:c r="G18" s="20">
        <x:v>396.16</x:v>
      </x:c>
      <x:c r="H18" s="20"/>
      <x:c r="I18"/>
      <x:c r="J18" t="s">
        <x:v>434</x:v>
      </x:c>
      <x:c r="K18" s="20">
        <x:v>35439.519999999997</x:v>
      </x:c>
    </x:row>
    <x:row r="19" hidden="1">
      <x:c r="A19" t="s">
        <x:v>331</x:v>
      </x:c>
      <x:c r="B19" t="s">
        <x:v>306</x:v>
      </x:c>
      <x:c r="C19" t="s">
        <x:v>307</x:v>
      </x:c>
      <x:c r="D19" t="s">
        <x:v>308</x:v>
      </x:c>
      <x:c r="E19" s="21">
        <x:v>190</x:v>
      </x:c>
      <x:c r="F19" t="s">
        <x:v>322</x:v>
      </x:c>
      <x:c r="G19"/>
      <x:c r="H19"/>
      <x:c r="I19" s="20">
        <x:v>35043.360000000001</x:v>
      </x:c>
      <x:c r="J19" t="s">
        <x:v>434</x:v>
      </x:c>
      <x:c r="K19" s="20">
        <x:v>396.16</x:v>
      </x:c>
    </x:row>
    <x:row r="20" hidden="1">
      <x:c r="A20" t="s">
        <x:v>331</x:v>
      </x:c>
      <x:c r="B20" t="s">
        <x:v>306</x:v>
      </x:c>
      <x:c r="C20" t="s">
        <x:v>307</x:v>
      </x:c>
      <x:c r="D20" t="s">
        <x:v>308</x:v>
      </x:c>
      <x:c r="E20" s="21">
        <x:v>190</x:v>
      </x:c>
      <x:c r="F20" t="s">
        <x:v>322</x:v>
      </x:c>
      <x:c r="G20"/>
      <x:c r="H20"/>
      <x:c r="I20" s="20">
        <x:v>396.16</x:v>
      </x:c>
      <x:c r="J20" t="s">
        <x:v>374</x:v>
      </x:c>
      <x:c r="K20"/>
    </x:row>
    <x:row r="21" hidden="1">
      <x:c r="A21"/>
      <x:c r="B21" t="s">
        <x:v>306</x:v>
      </x:c>
      <x:c r="C21" t="s">
        <x:v>307</x:v>
      </x:c>
      <x:c r="D21"/>
      <x:c r="E21"/>
      <x:c r="F21" t="s">
        <x:v>376</x:v>
      </x:c>
      <x:c r="G21" s="20">
        <x:v>35439.519999999997</x:v>
      </x:c>
      <x:c r="H21" s="20"/>
      <x:c r="I21" s="20">
        <x:v>35439.519999999997</x:v>
      </x:c>
      <x:c r="J21" t="s">
        <x:v>374</x:v>
      </x:c>
      <x:c r="K21"/>
    </x:row>
    <x:row r="22" hidden="1">
      <x:c r="A22"/>
      <x:c r="B22" t="s">
        <x:v>306</x:v>
      </x:c>
      <x:c r="C22" t="s">
        <x:v>307</x:v>
      </x:c>
      <x:c r="D22"/>
      <x:c r="E22"/>
      <x:c r="F22" t="s">
        <x:v>377</x:v>
      </x:c>
      <x:c r="G22" s="20">
        <x:v>70086.720000000001</x:v>
      </x:c>
      <x:c r="H22" s="20"/>
      <x:c r="I22" s="20">
        <x:v>70086.720000000001</x:v>
      </x:c>
      <x:c r="J22" t="s">
        <x:v>374</x:v>
      </x:c>
      <x:c r="K22"/>
    </x:row>
    <x:row r="23" hidden="1">
      <x:c r="A23" t="s">
        <x:v>441</x:v>
      </x:c>
      <x:c r="B23" t="s">
        <x:v>306</x:v>
      </x:c>
      <x:c r="C23" t="s">
        <x:v>320</x:v>
      </x:c>
      <x:c r="D23" t="s">
        <x:v>308</x:v>
      </x:c>
      <x:c r="E23" s="21">
        <x:v>180</x:v>
      </x:c>
      <x:c r="F23" t="s">
        <x:v>442</x:v>
      </x:c>
      <x:c r="G23" s="20">
        <x:v>33057.440000000002</x:v>
      </x:c>
      <x:c r="H23" s="20"/>
      <x:c r="I23"/>
      <x:c r="J23" t="s">
        <x:v>434</x:v>
      </x:c>
      <x:c r="K23" s="20">
        <x:v>33057.440000000002</x:v>
      </x:c>
    </x:row>
    <x:row r="24" hidden="1">
      <x:c r="A24" t="s">
        <x:v>441</x:v>
      </x:c>
      <x:c r="B24" t="s">
        <x:v>306</x:v>
      </x:c>
      <x:c r="C24" t="s">
        <x:v>320</x:v>
      </x:c>
      <x:c r="D24" t="s">
        <x:v>308</x:v>
      </x:c>
      <x:c r="E24" s="21">
        <x:v>180</x:v>
      </x:c>
      <x:c r="F24" t="s">
        <x:v>443</x:v>
      </x:c>
      <x:c r="G24" s="20">
        <x:v>792.32</x:v>
      </x:c>
      <x:c r="H24" s="20"/>
      <x:c r="I24"/>
      <x:c r="J24" t="s">
        <x:v>434</x:v>
      </x:c>
      <x:c r="K24" s="20">
        <x:v>33849.760000000002</x:v>
      </x:c>
    </x:row>
    <x:row r="25" hidden="1">
      <x:c r="A25" t="s">
        <x:v>319</x:v>
      </x:c>
      <x:c r="B25" t="s">
        <x:v>306</x:v>
      </x:c>
      <x:c r="C25" t="s">
        <x:v>320</x:v>
      </x:c>
      <x:c r="D25" t="s">
        <x:v>308</x:v>
      </x:c>
      <x:c r="E25" s="21">
        <x:v>182</x:v>
      </x:c>
      <x:c r="F25" t="s">
        <x:v>444</x:v>
      </x:c>
      <x:c r="G25" s="20">
        <x:v>396.16</x:v>
      </x:c>
      <x:c r="H25" s="20"/>
      <x:c r="I25"/>
      <x:c r="J25" t="s">
        <x:v>434</x:v>
      </x:c>
      <x:c r="K25" s="20">
        <x:v>34245.919999999998</x:v>
      </x:c>
    </x:row>
    <x:row r="26" hidden="1">
      <x:c r="A26" t="s">
        <x:v>319</x:v>
      </x:c>
      <x:c r="B26" t="s">
        <x:v>306</x:v>
      </x:c>
      <x:c r="C26" t="s">
        <x:v>320</x:v>
      </x:c>
      <x:c r="D26" t="s">
        <x:v>308</x:v>
      </x:c>
      <x:c r="E26" s="21">
        <x:v>225</x:v>
      </x:c>
      <x:c r="F26" t="s">
        <x:v>322</x:v>
      </x:c>
      <x:c r="G26"/>
      <x:c r="H26"/>
      <x:c r="I26" s="20">
        <x:v>33849.760000000002</x:v>
      </x:c>
      <x:c r="J26" t="s">
        <x:v>434</x:v>
      </x:c>
      <x:c r="K26" s="20">
        <x:v>396.16</x:v>
      </x:c>
    </x:row>
    <x:row r="27" hidden="1">
      <x:c r="A27" t="s">
        <x:v>319</x:v>
      </x:c>
      <x:c r="B27" t="s">
        <x:v>306</x:v>
      </x:c>
      <x:c r="C27" t="s">
        <x:v>320</x:v>
      </x:c>
      <x:c r="D27" t="s">
        <x:v>308</x:v>
      </x:c>
      <x:c r="E27" s="21">
        <x:v>225</x:v>
      </x:c>
      <x:c r="F27" t="s">
        <x:v>322</x:v>
      </x:c>
      <x:c r="G27"/>
      <x:c r="H27"/>
      <x:c r="I27" s="20">
        <x:v>396.16</x:v>
      </x:c>
      <x:c r="J27" t="s">
        <x:v>374</x:v>
      </x:c>
      <x:c r="K27"/>
    </x:row>
    <x:row r="28" hidden="1">
      <x:c r="A28"/>
      <x:c r="B28" t="s">
        <x:v>306</x:v>
      </x:c>
      <x:c r="C28" t="s">
        <x:v>320</x:v>
      </x:c>
      <x:c r="D28"/>
      <x:c r="E28"/>
      <x:c r="F28" t="s">
        <x:v>376</x:v>
      </x:c>
      <x:c r="G28" s="20">
        <x:v>34245.919999999998</x:v>
      </x:c>
      <x:c r="H28" s="20"/>
      <x:c r="I28" s="20">
        <x:v>34245.919999999998</x:v>
      </x:c>
      <x:c r="J28" t="s">
        <x:v>374</x:v>
      </x:c>
      <x:c r="K28"/>
    </x:row>
    <x:row r="29" hidden="1">
      <x:c r="A29"/>
      <x:c r="B29" t="s">
        <x:v>306</x:v>
      </x:c>
      <x:c r="C29" t="s">
        <x:v>320</x:v>
      </x:c>
      <x:c r="D29"/>
      <x:c r="E29"/>
      <x:c r="F29" t="s">
        <x:v>377</x:v>
      </x:c>
      <x:c r="G29" s="20">
        <x:v>104332.64</x:v>
      </x:c>
      <x:c r="H29" s="20"/>
      <x:c r="I29" s="20">
        <x:v>104332.64</x:v>
      </x:c>
      <x:c r="J29" t="s">
        <x:v>374</x:v>
      </x:c>
      <x:c r="K29"/>
    </x:row>
    <x:row r="30" hidden="1">
      <x:c r="A30" t="s">
        <x:v>372</x:v>
      </x:c>
      <x:c r="B30" t="s">
        <x:v>306</x:v>
      </x:c>
      <x:c r="C30" t="s">
        <x:v>311</x:v>
      </x:c>
      <x:c r="D30"/>
      <x:c r="E30"/>
      <x:c r="F30" t="s">
        <x:v>373</x:v>
      </x:c>
      <x:c r="G30"/>
      <x:c r="H30"/>
      <x:c r="I30"/>
      <x:c r="J30" t="s">
        <x:v>374</x:v>
      </x:c>
      <x:c r="K30"/>
    </x:row>
    <x:row r="31">
      <x:c r="A31" t="s">
        <x:v>329</x:v>
      </x:c>
      <x:c r="B31" t="s">
        <x:v>306</x:v>
      </x:c>
      <x:c r="C31" t="s">
        <x:v>311</x:v>
      </x:c>
      <x:c r="D31" t="s">
        <x:v>308</x:v>
      </x:c>
      <x:c r="E31" s="21">
        <x:v>175</x:v>
      </x:c>
      <x:c r="F31" t="s">
        <x:v>445</x:v>
      </x:c>
      <x:c r="G31" s="20"/>
      <x:c r="H31" s="20"/>
      <x:c r="I31"/>
      <x:c r="J31" t="s">
        <x:v>434</x:v>
      </x:c>
      <x:c r="K31" s="20"/>
    </x:row>
    <x:row r="32">
      <x:c r="A32" t="s">
        <x:v>329</x:v>
      </x:c>
      <x:c r="B32" t="s">
        <x:v>306</x:v>
      </x:c>
      <x:c r="C32" t="s">
        <x:v>311</x:v>
      </x:c>
      <x:c r="D32" t="s">
        <x:v>308</x:v>
      </x:c>
      <x:c r="E32" s="21">
        <x:v>175</x:v>
      </x:c>
      <x:c r="F32" t="s">
        <x:v>445</x:v>
      </x:c>
      <x:c r="G32" s="20"/>
      <x:c r="H32" s="20"/>
      <x:c r="I32"/>
      <x:c r="J32" t="s">
        <x:v>434</x:v>
      </x:c>
      <x:c r="K32" s="20"/>
    </x:row>
    <x:row r="33" hidden="1">
      <x:c r="A33" t="s">
        <x:v>329</x:v>
      </x:c>
      <x:c r="B33" t="s">
        <x:v>306</x:v>
      </x:c>
      <x:c r="C33" t="s">
        <x:v>311</x:v>
      </x:c>
      <x:c r="D33" t="s">
        <x:v>308</x:v>
      </x:c>
      <x:c r="E33" s="21">
        <x:v>211</x:v>
      </x:c>
      <x:c r="F33" t="s">
        <x:v>322</x:v>
      </x:c>
      <x:c r="G33"/>
      <x:c r="H33"/>
      <x:c r="I33" s="20">
        <x:v>1453.34</x:v>
      </x:c>
      <x:c r="J33" t="s">
        <x:v>434</x:v>
      </x:c>
      <x:c r="K33" s="20">
        <x:v>160</x:v>
      </x:c>
    </x:row>
    <x:row r="34" hidden="1">
      <x:c r="A34" t="s">
        <x:v>329</x:v>
      </x:c>
      <x:c r="B34" t="s">
        <x:v>306</x:v>
      </x:c>
      <x:c r="C34" t="s">
        <x:v>311</x:v>
      </x:c>
      <x:c r="D34" t="s">
        <x:v>308</x:v>
      </x:c>
      <x:c r="E34" s="21">
        <x:v>211</x:v>
      </x:c>
      <x:c r="F34" t="s">
        <x:v>322</x:v>
      </x:c>
      <x:c r="G34"/>
      <x:c r="H34"/>
      <x:c r="I34" s="20">
        <x:v>160</x:v>
      </x:c>
      <x:c r="J34" t="s">
        <x:v>374</x:v>
      </x:c>
      <x:c r="K34"/>
    </x:row>
    <x:row r="35" hidden="1">
      <x:c r="A35"/>
      <x:c r="B35" t="s">
        <x:v>306</x:v>
      </x:c>
      <x:c r="C35" t="s">
        <x:v>311</x:v>
      </x:c>
      <x:c r="D35"/>
      <x:c r="E35"/>
      <x:c r="F35" t="s">
        <x:v>376</x:v>
      </x:c>
      <x:c r="G35" s="20">
        <x:v>1613.34</x:v>
      </x:c>
      <x:c r="H35" s="20"/>
      <x:c r="I35" s="20">
        <x:v>1613.34</x:v>
      </x:c>
      <x:c r="J35" t="s">
        <x:v>374</x:v>
      </x:c>
      <x:c r="K35"/>
    </x:row>
    <x:row r="36" hidden="1">
      <x:c r="A36"/>
      <x:c r="B36" t="s">
        <x:v>306</x:v>
      </x:c>
      <x:c r="C36" t="s">
        <x:v>311</x:v>
      </x:c>
      <x:c r="D36"/>
      <x:c r="E36"/>
      <x:c r="F36" t="s">
        <x:v>377</x:v>
      </x:c>
      <x:c r="G36" s="20">
        <x:v>1613.34</x:v>
      </x:c>
      <x:c r="H36" s="20"/>
      <x:c r="I36" s="20">
        <x:v>1613.34</x:v>
      </x:c>
      <x:c r="J36" t="s">
        <x:v>374</x:v>
      </x:c>
      <x:c r="K36"/>
    </x:row>
    <x:row r="37" hidden="1">
      <x:c r="A37" t="s">
        <x:v>331</x:v>
      </x:c>
      <x:c r="B37" t="s">
        <x:v>306</x:v>
      </x:c>
      <x:c r="C37" t="s">
        <x:v>307</x:v>
      </x:c>
      <x:c r="D37" t="s">
        <x:v>308</x:v>
      </x:c>
      <x:c r="E37" s="21">
        <x:v>94</x:v>
      </x:c>
      <x:c r="F37" t="s">
        <x:v>438</x:v>
      </x:c>
      <x:c r="G37" s="20">
        <x:v>1613.34</x:v>
      </x:c>
      <x:c r="H37" s="20"/>
      <x:c r="I37"/>
      <x:c r="J37" t="s">
        <x:v>434</x:v>
      </x:c>
      <x:c r="K37" s="20">
        <x:v>1613.34</x:v>
      </x:c>
    </x:row>
    <x:row r="38" hidden="1">
      <x:c r="A38" t="s">
        <x:v>331</x:v>
      </x:c>
      <x:c r="B38" t="s">
        <x:v>306</x:v>
      </x:c>
      <x:c r="C38" t="s">
        <x:v>307</x:v>
      </x:c>
      <x:c r="D38" t="s">
        <x:v>308</x:v>
      </x:c>
      <x:c r="E38" s="21">
        <x:v>94</x:v>
      </x:c>
      <x:c r="F38" t="s">
        <x:v>439</x:v>
      </x:c>
      <x:c r="G38" s="20">
        <x:v>39.619999999999997</x:v>
      </x:c>
      <x:c r="H38" s="20"/>
      <x:c r="I38"/>
      <x:c r="J38" t="s">
        <x:v>434</x:v>
      </x:c>
      <x:c r="K38" s="20">
        <x:v>1652.96</x:v>
      </x:c>
    </x:row>
    <x:row r="39" hidden="1">
      <x:c r="A39" t="s">
        <x:v>331</x:v>
      </x:c>
      <x:c r="B39" t="s">
        <x:v>306</x:v>
      </x:c>
      <x:c r="C39" t="s">
        <x:v>307</x:v>
      </x:c>
      <x:c r="D39" t="s">
        <x:v>308</x:v>
      </x:c>
      <x:c r="E39" s="21">
        <x:v>190</x:v>
      </x:c>
      <x:c r="F39" t="s">
        <x:v>322</x:v>
      </x:c>
      <x:c r="G39"/>
      <x:c r="H39"/>
      <x:c r="I39" s="20">
        <x:v>1652.96</x:v>
      </x:c>
      <x:c r="J39" t="s">
        <x:v>374</x:v>
      </x:c>
      <x:c r="K39"/>
    </x:row>
    <x:row r="40" hidden="1">
      <x:c r="A40"/>
      <x:c r="B40" t="s">
        <x:v>306</x:v>
      </x:c>
      <x:c r="C40" t="s">
        <x:v>307</x:v>
      </x:c>
      <x:c r="D40"/>
      <x:c r="E40"/>
      <x:c r="F40" t="s">
        <x:v>376</x:v>
      </x:c>
      <x:c r="G40" s="20">
        <x:v>1652.96</x:v>
      </x:c>
      <x:c r="H40" s="20"/>
      <x:c r="I40" s="20">
        <x:v>1652.96</x:v>
      </x:c>
      <x:c r="J40" t="s">
        <x:v>374</x:v>
      </x:c>
      <x:c r="K40"/>
    </x:row>
    <x:row r="41" hidden="1">
      <x:c r="A41"/>
      <x:c r="B41" t="s">
        <x:v>306</x:v>
      </x:c>
      <x:c r="C41" t="s">
        <x:v>307</x:v>
      </x:c>
      <x:c r="D41"/>
      <x:c r="E41"/>
      <x:c r="F41" t="s">
        <x:v>377</x:v>
      </x:c>
      <x:c r="G41" s="20">
        <x:v>3266.3</x:v>
      </x:c>
      <x:c r="H41" s="20"/>
      <x:c r="I41" s="20">
        <x:v>3266.3</x:v>
      </x:c>
      <x:c r="J41" t="s">
        <x:v>374</x:v>
      </x:c>
      <x:c r="K41"/>
    </x:row>
    <x:row r="42" hidden="1">
      <x:c r="A42" t="s">
        <x:v>441</x:v>
      </x:c>
      <x:c r="B42" t="s">
        <x:v>306</x:v>
      </x:c>
      <x:c r="C42" t="s">
        <x:v>320</x:v>
      </x:c>
      <x:c r="D42" t="s">
        <x:v>308</x:v>
      </x:c>
      <x:c r="E42" s="21">
        <x:v>180</x:v>
      </x:c>
      <x:c r="F42" t="s">
        <x:v>442</x:v>
      </x:c>
      <x:c r="G42" s="20">
        <x:v>1613.34</x:v>
      </x:c>
      <x:c r="H42" s="20"/>
      <x:c r="I42"/>
      <x:c r="J42" t="s">
        <x:v>434</x:v>
      </x:c>
      <x:c r="K42" s="20">
        <x:v>1613.34</x:v>
      </x:c>
    </x:row>
    <x:row r="43" hidden="1">
      <x:c r="A43" t="s">
        <x:v>441</x:v>
      </x:c>
      <x:c r="B43" t="s">
        <x:v>306</x:v>
      </x:c>
      <x:c r="C43" t="s">
        <x:v>320</x:v>
      </x:c>
      <x:c r="D43" t="s">
        <x:v>308</x:v>
      </x:c>
      <x:c r="E43" s="21">
        <x:v>180</x:v>
      </x:c>
      <x:c r="F43" t="s">
        <x:v>443</x:v>
      </x:c>
      <x:c r="G43" s="20">
        <x:v>39.619999999999997</x:v>
      </x:c>
      <x:c r="H43" s="20"/>
      <x:c r="I43"/>
      <x:c r="J43" t="s">
        <x:v>434</x:v>
      </x:c>
      <x:c r="K43" s="20">
        <x:v>1652.96</x:v>
      </x:c>
    </x:row>
    <x:row r="44" hidden="1">
      <x:c r="A44" t="s">
        <x:v>319</x:v>
      </x:c>
      <x:c r="B44" t="s">
        <x:v>306</x:v>
      </x:c>
      <x:c r="C44" t="s">
        <x:v>320</x:v>
      </x:c>
      <x:c r="D44" t="s">
        <x:v>308</x:v>
      </x:c>
      <x:c r="E44" s="21">
        <x:v>225</x:v>
      </x:c>
      <x:c r="F44" t="s">
        <x:v>322</x:v>
      </x:c>
      <x:c r="G44"/>
      <x:c r="H44"/>
      <x:c r="I44" s="20">
        <x:v>1652.96</x:v>
      </x:c>
      <x:c r="J44" t="s">
        <x:v>374</x:v>
      </x:c>
      <x:c r="K44"/>
    </x:row>
    <x:row r="45" hidden="1">
      <x:c r="A45"/>
      <x:c r="B45" t="s">
        <x:v>306</x:v>
      </x:c>
      <x:c r="C45" t="s">
        <x:v>320</x:v>
      </x:c>
      <x:c r="D45"/>
      <x:c r="E45"/>
      <x:c r="F45" t="s">
        <x:v>376</x:v>
      </x:c>
      <x:c r="G45" s="20">
        <x:v>1652.96</x:v>
      </x:c>
      <x:c r="H45" s="20"/>
      <x:c r="I45" s="20">
        <x:v>1652.96</x:v>
      </x:c>
      <x:c r="J45" t="s">
        <x:v>374</x:v>
      </x:c>
      <x:c r="K45"/>
    </x:row>
    <x:row r="46" hidden="1">
      <x:c r="A46"/>
      <x:c r="B46" t="s">
        <x:v>306</x:v>
      </x:c>
      <x:c r="C46" t="s">
        <x:v>320</x:v>
      </x:c>
      <x:c r="D46"/>
      <x:c r="E46"/>
      <x:c r="F46" t="s">
        <x:v>377</x:v>
      </x:c>
      <x:c r="G46" s="20">
        <x:v>4919.26</x:v>
      </x:c>
      <x:c r="H46" s="20"/>
      <x:c r="I46" s="20">
        <x:v>4919.26</x:v>
      </x:c>
      <x:c r="J46" t="s">
        <x:v>374</x:v>
      </x:c>
      <x:c r="K46"/>
    </x:row>
    <x:row r="47" hidden="1">
      <x:c r="A47" t="s">
        <x:v>372</x:v>
      </x:c>
      <x:c r="B47" t="s">
        <x:v>306</x:v>
      </x:c>
      <x:c r="C47" t="s">
        <x:v>311</x:v>
      </x:c>
      <x:c r="D47"/>
      <x:c r="E47"/>
      <x:c r="F47" t="s">
        <x:v>373</x:v>
      </x:c>
      <x:c r="G47"/>
      <x:c r="H47"/>
      <x:c r="I47"/>
      <x:c r="J47" t="s">
        <x:v>374</x:v>
      </x:c>
      <x:c r="K47"/>
    </x:row>
    <x:row r="48">
      <x:c r="A48" t="s">
        <x:v>329</x:v>
      </x:c>
      <x:c r="B48" t="s">
        <x:v>306</x:v>
      </x:c>
      <x:c r="C48" t="s">
        <x:v>311</x:v>
      </x:c>
      <x:c r="D48" t="s">
        <x:v>308</x:v>
      </x:c>
      <x:c r="E48" s="21">
        <x:v>175</x:v>
      </x:c>
      <x:c r="F48" t="s">
        <x:v>433</x:v>
      </x:c>
      <x:c r="G48" s="20"/>
      <x:c r="H48" s="20"/>
      <x:c r="I48"/>
      <x:c r="J48" t="s">
        <x:v>434</x:v>
      </x:c>
      <x:c r="K48" s="20"/>
    </x:row>
    <x:row r="49">
      <x:c r="A49" t="s">
        <x:v>329</x:v>
      </x:c>
      <x:c r="B49" t="s">
        <x:v>306</x:v>
      </x:c>
      <x:c r="C49" t="s">
        <x:v>311</x:v>
      </x:c>
      <x:c r="D49" t="s">
        <x:v>308</x:v>
      </x:c>
      <x:c r="E49" s="21">
        <x:v>175</x:v>
      </x:c>
      <x:c r="F49" t="s">
        <x:v>446</x:v>
      </x:c>
      <x:c r="G49" s="20"/>
      <x:c r="H49" s="20"/>
      <x:c r="I49"/>
      <x:c r="J49" t="s">
        <x:v>434</x:v>
      </x:c>
      <x:c r="K49" s="20"/>
    </x:row>
    <x:row r="50" hidden="1">
      <x:c r="A50" t="s">
        <x:v>329</x:v>
      </x:c>
      <x:c r="B50" t="s">
        <x:v>306</x:v>
      </x:c>
      <x:c r="C50" t="s">
        <x:v>311</x:v>
      </x:c>
      <x:c r="D50" t="s">
        <x:v>308</x:v>
      </x:c>
      <x:c r="E50" s="21">
        <x:v>176</x:v>
      </x:c>
      <x:c r="F50" t="s">
        <x:v>435</x:v>
      </x:c>
      <x:c r="G50" s="20">
        <x:v>37.299999999999997</x:v>
      </x:c>
      <x:c r="H50" s="20"/>
      <x:c r="I50"/>
      <x:c r="J50" t="s">
        <x:v>434</x:v>
      </x:c>
      <x:c r="K50" s="20">
        <x:v>1070.3499999999999</x:v>
      </x:c>
    </x:row>
    <x:row r="51" hidden="1">
      <x:c r="A51" t="s">
        <x:v>329</x:v>
      </x:c>
      <x:c r="B51" t="s">
        <x:v>306</x:v>
      </x:c>
      <x:c r="C51" t="s">
        <x:v>311</x:v>
      </x:c>
      <x:c r="D51" t="s">
        <x:v>308</x:v>
      </x:c>
      <x:c r="E51" s="21">
        <x:v>205</x:v>
      </x:c>
      <x:c r="F51" t="s">
        <x:v>447</x:v>
      </x:c>
      <x:c r="G51" s="20">
        <x:v>24.76</x:v>
      </x:c>
      <x:c r="H51" s="20"/>
      <x:c r="I51"/>
      <x:c r="J51" t="s">
        <x:v>434</x:v>
      </x:c>
      <x:c r="K51" s="20">
        <x:v>1095.1099999999999</x:v>
      </x:c>
    </x:row>
    <x:row r="52" hidden="1">
      <x:c r="A52" t="s">
        <x:v>329</x:v>
      </x:c>
      <x:c r="B52" t="s">
        <x:v>306</x:v>
      </x:c>
      <x:c r="C52" t="s">
        <x:v>311</x:v>
      </x:c>
      <x:c r="D52" t="s">
        <x:v>308</x:v>
      </x:c>
      <x:c r="E52" s="21">
        <x:v>211</x:v>
      </x:c>
      <x:c r="F52" t="s">
        <x:v>322</x:v>
      </x:c>
      <x:c r="G52"/>
      <x:c r="H52"/>
      <x:c r="I52" s="20">
        <x:v>970.35</x:v>
      </x:c>
      <x:c r="J52" t="s">
        <x:v>434</x:v>
      </x:c>
      <x:c r="K52" s="20">
        <x:v>124.76</x:v>
      </x:c>
    </x:row>
    <x:row r="53" hidden="1">
      <x:c r="A53" t="s">
        <x:v>329</x:v>
      </x:c>
      <x:c r="B53" t="s">
        <x:v>306</x:v>
      </x:c>
      <x:c r="C53" t="s">
        <x:v>311</x:v>
      </x:c>
      <x:c r="D53" t="s">
        <x:v>308</x:v>
      </x:c>
      <x:c r="E53" s="21">
        <x:v>211</x:v>
      </x:c>
      <x:c r="F53" t="s">
        <x:v>322</x:v>
      </x:c>
      <x:c r="G53"/>
      <x:c r="H53"/>
      <x:c r="I53" s="20">
        <x:v>100</x:v>
      </x:c>
      <x:c r="J53" t="s">
        <x:v>434</x:v>
      </x:c>
      <x:c r="K53" s="20">
        <x:v>24.76</x:v>
      </x:c>
    </x:row>
    <x:row r="54" hidden="1">
      <x:c r="A54" t="s">
        <x:v>329</x:v>
      </x:c>
      <x:c r="B54" t="s">
        <x:v>306</x:v>
      </x:c>
      <x:c r="C54" t="s">
        <x:v>311</x:v>
      </x:c>
      <x:c r="D54" t="s">
        <x:v>308</x:v>
      </x:c>
      <x:c r="E54" s="21">
        <x:v>211</x:v>
      </x:c>
      <x:c r="F54" t="s">
        <x:v>322</x:v>
      </x:c>
      <x:c r="G54"/>
      <x:c r="H54"/>
      <x:c r="I54" s="20">
        <x:v>24.76</x:v>
      </x:c>
      <x:c r="J54" t="s">
        <x:v>374</x:v>
      </x:c>
      <x:c r="K54"/>
    </x:row>
    <x:row r="55" hidden="1">
      <x:c r="A55"/>
      <x:c r="B55" t="s">
        <x:v>306</x:v>
      </x:c>
      <x:c r="C55" t="s">
        <x:v>311</x:v>
      </x:c>
      <x:c r="D55"/>
      <x:c r="E55"/>
      <x:c r="F55" t="s">
        <x:v>376</x:v>
      </x:c>
      <x:c r="G55" s="20">
        <x:v>1095.1099999999999</x:v>
      </x:c>
      <x:c r="H55" s="20"/>
      <x:c r="I55" s="20">
        <x:v>1095.1099999999999</x:v>
      </x:c>
      <x:c r="J55" t="s">
        <x:v>374</x:v>
      </x:c>
      <x:c r="K55"/>
    </x:row>
    <x:row r="56" hidden="1">
      <x:c r="A56"/>
      <x:c r="B56" t="s">
        <x:v>306</x:v>
      </x:c>
      <x:c r="C56" t="s">
        <x:v>311</x:v>
      </x:c>
      <x:c r="D56"/>
      <x:c r="E56"/>
      <x:c r="F56" t="s">
        <x:v>377</x:v>
      </x:c>
      <x:c r="G56" s="20">
        <x:v>1095.1099999999999</x:v>
      </x:c>
      <x:c r="H56" s="20"/>
      <x:c r="I56" s="20">
        <x:v>1095.1099999999999</x:v>
      </x:c>
      <x:c r="J56" t="s">
        <x:v>374</x:v>
      </x:c>
      <x:c r="K56"/>
    </x:row>
    <x:row r="57" hidden="1">
      <x:c r="A57" t="s">
        <x:v>313</x:v>
      </x:c>
      <x:c r="B57" t="s">
        <x:v>306</x:v>
      </x:c>
      <x:c r="C57" t="s">
        <x:v>307</x:v>
      </x:c>
      <x:c r="D57" t="s">
        <x:v>308</x:v>
      </x:c>
      <x:c r="E57" s="21">
        <x:v>109</x:v>
      </x:c>
      <x:c r="F57" t="s">
        <x:v>437</x:v>
      </x:c>
      <x:c r="G57" s="20">
        <x:v>37.299999999999997</x:v>
      </x:c>
      <x:c r="H57" s="20"/>
      <x:c r="I57"/>
      <x:c r="J57" t="s">
        <x:v>434</x:v>
      </x:c>
      <x:c r="K57" s="20">
        <x:v>37.299999999999997</x:v>
      </x:c>
    </x:row>
    <x:row r="58" hidden="1">
      <x:c r="A58" t="s">
        <x:v>331</x:v>
      </x:c>
      <x:c r="B58" t="s">
        <x:v>306</x:v>
      </x:c>
      <x:c r="C58" t="s">
        <x:v>307</x:v>
      </x:c>
      <x:c r="D58" t="s">
        <x:v>308</x:v>
      </x:c>
      <x:c r="E58" s="21">
        <x:v>94</x:v>
      </x:c>
      <x:c r="F58" t="s">
        <x:v>438</x:v>
      </x:c>
      <x:c r="G58" s="20">
        <x:v>1033.05</x:v>
      </x:c>
      <x:c r="H58" s="20"/>
      <x:c r="I58"/>
      <x:c r="J58" t="s">
        <x:v>434</x:v>
      </x:c>
      <x:c r="K58" s="20">
        <x:v>1070.3499999999999</x:v>
      </x:c>
    </x:row>
    <x:row r="59" hidden="1">
      <x:c r="A59" t="s">
        <x:v>331</x:v>
      </x:c>
      <x:c r="B59" t="s">
        <x:v>306</x:v>
      </x:c>
      <x:c r="C59" t="s">
        <x:v>307</x:v>
      </x:c>
      <x:c r="D59" t="s">
        <x:v>308</x:v>
      </x:c>
      <x:c r="E59" s="21">
        <x:v>94</x:v>
      </x:c>
      <x:c r="F59" t="s">
        <x:v>439</x:v>
      </x:c>
      <x:c r="G59" s="20">
        <x:v>24.76</x:v>
      </x:c>
      <x:c r="H59" s="20"/>
      <x:c r="I59"/>
      <x:c r="J59" t="s">
        <x:v>434</x:v>
      </x:c>
      <x:c r="K59" s="20">
        <x:v>1095.1099999999999</x:v>
      </x:c>
    </x:row>
    <x:row r="60" hidden="1">
      <x:c r="A60" t="s">
        <x:v>331</x:v>
      </x:c>
      <x:c r="B60" t="s">
        <x:v>306</x:v>
      </x:c>
      <x:c r="C60" t="s">
        <x:v>307</x:v>
      </x:c>
      <x:c r="D60" t="s">
        <x:v>308</x:v>
      </x:c>
      <x:c r="E60" s="21">
        <x:v>99</x:v>
      </x:c>
      <x:c r="F60" t="s">
        <x:v>448</x:v>
      </x:c>
      <x:c r="G60" s="20">
        <x:v>24.76</x:v>
      </x:c>
      <x:c r="H60" s="20"/>
      <x:c r="I60"/>
      <x:c r="J60" t="s">
        <x:v>434</x:v>
      </x:c>
      <x:c r="K60" s="20">
        <x:v>1119.8699999999999</x:v>
      </x:c>
    </x:row>
    <x:row r="61" hidden="1">
      <x:c r="A61" t="s">
        <x:v>331</x:v>
      </x:c>
      <x:c r="B61" t="s">
        <x:v>306</x:v>
      </x:c>
      <x:c r="C61" t="s">
        <x:v>307</x:v>
      </x:c>
      <x:c r="D61" t="s">
        <x:v>308</x:v>
      </x:c>
      <x:c r="E61" s="21">
        <x:v>190</x:v>
      </x:c>
      <x:c r="F61" t="s">
        <x:v>322</x:v>
      </x:c>
      <x:c r="G61"/>
      <x:c r="H61"/>
      <x:c r="I61" s="20">
        <x:v>1095.1099999999999</x:v>
      </x:c>
      <x:c r="J61" t="s">
        <x:v>434</x:v>
      </x:c>
      <x:c r="K61" s="20">
        <x:v>24.76</x:v>
      </x:c>
    </x:row>
    <x:row r="62" hidden="1">
      <x:c r="A62" t="s">
        <x:v>331</x:v>
      </x:c>
      <x:c r="B62" t="s">
        <x:v>306</x:v>
      </x:c>
      <x:c r="C62" t="s">
        <x:v>307</x:v>
      </x:c>
      <x:c r="D62" t="s">
        <x:v>308</x:v>
      </x:c>
      <x:c r="E62" s="21">
        <x:v>190</x:v>
      </x:c>
      <x:c r="F62" t="s">
        <x:v>322</x:v>
      </x:c>
      <x:c r="G62"/>
      <x:c r="H62"/>
      <x:c r="I62" s="20">
        <x:v>24.76</x:v>
      </x:c>
      <x:c r="J62" t="s">
        <x:v>374</x:v>
      </x:c>
      <x:c r="K62"/>
    </x:row>
    <x:row r="63" hidden="1">
      <x:c r="A63"/>
      <x:c r="B63" t="s">
        <x:v>306</x:v>
      </x:c>
      <x:c r="C63" t="s">
        <x:v>307</x:v>
      </x:c>
      <x:c r="D63"/>
      <x:c r="E63"/>
      <x:c r="F63" t="s">
        <x:v>376</x:v>
      </x:c>
      <x:c r="G63" s="20">
        <x:v>1119.8699999999999</x:v>
      </x:c>
      <x:c r="H63" s="20"/>
      <x:c r="I63" s="20">
        <x:v>1119.8699999999999</x:v>
      </x:c>
      <x:c r="J63" t="s">
        <x:v>374</x:v>
      </x:c>
      <x:c r="K63"/>
    </x:row>
    <x:row r="64" hidden="1">
      <x:c r="A64"/>
      <x:c r="B64" t="s">
        <x:v>306</x:v>
      </x:c>
      <x:c r="C64" t="s">
        <x:v>307</x:v>
      </x:c>
      <x:c r="D64"/>
      <x:c r="E64"/>
      <x:c r="F64" t="s">
        <x:v>377</x:v>
      </x:c>
      <x:c r="G64" s="20">
        <x:v>2214.98</x:v>
      </x:c>
      <x:c r="H64" s="20"/>
      <x:c r="I64" s="20">
        <x:v>2214.98</x:v>
      </x:c>
      <x:c r="J64" t="s">
        <x:v>374</x:v>
      </x:c>
      <x:c r="K64"/>
    </x:row>
    <x:row r="65" hidden="1">
      <x:c r="A65" t="s">
        <x:v>441</x:v>
      </x:c>
      <x:c r="B65" t="s">
        <x:v>306</x:v>
      </x:c>
      <x:c r="C65" t="s">
        <x:v>320</x:v>
      </x:c>
      <x:c r="D65" t="s">
        <x:v>308</x:v>
      </x:c>
      <x:c r="E65" s="21">
        <x:v>180</x:v>
      </x:c>
      <x:c r="F65" t="s">
        <x:v>442</x:v>
      </x:c>
      <x:c r="G65" s="20">
        <x:v>1033.05</x:v>
      </x:c>
      <x:c r="H65" s="20"/>
      <x:c r="I65"/>
      <x:c r="J65" t="s">
        <x:v>434</x:v>
      </x:c>
      <x:c r="K65" s="20">
        <x:v>1033.05</x:v>
      </x:c>
    </x:row>
    <x:row r="66" hidden="1">
      <x:c r="A66" t="s">
        <x:v>441</x:v>
      </x:c>
      <x:c r="B66" t="s">
        <x:v>306</x:v>
      </x:c>
      <x:c r="C66" t="s">
        <x:v>320</x:v>
      </x:c>
      <x:c r="D66" t="s">
        <x:v>308</x:v>
      </x:c>
      <x:c r="E66" s="21">
        <x:v>180</x:v>
      </x:c>
      <x:c r="F66" t="s">
        <x:v>443</x:v>
      </x:c>
      <x:c r="G66" s="20">
        <x:v>24.76</x:v>
      </x:c>
      <x:c r="H66" s="20"/>
      <x:c r="I66"/>
      <x:c r="J66" t="s">
        <x:v>434</x:v>
      </x:c>
      <x:c r="K66" s="20">
        <x:v>1057.81</x:v>
      </x:c>
    </x:row>
    <x:row r="67" hidden="1">
      <x:c r="A67" t="s">
        <x:v>319</x:v>
      </x:c>
      <x:c r="B67" t="s">
        <x:v>306</x:v>
      </x:c>
      <x:c r="C67" t="s">
        <x:v>320</x:v>
      </x:c>
      <x:c r="D67" t="s">
        <x:v>308</x:v>
      </x:c>
      <x:c r="E67" s="21">
        <x:v>182</x:v>
      </x:c>
      <x:c r="F67" t="s">
        <x:v>449</x:v>
      </x:c>
      <x:c r="G67" s="20">
        <x:v>24.76</x:v>
      </x:c>
      <x:c r="H67" s="20"/>
      <x:c r="I67"/>
      <x:c r="J67" t="s">
        <x:v>434</x:v>
      </x:c>
      <x:c r="K67" s="20">
        <x:v>1082.57</x:v>
      </x:c>
    </x:row>
    <x:row r="68" hidden="1">
      <x:c r="A68" t="s">
        <x:v>319</x:v>
      </x:c>
      <x:c r="B68" t="s">
        <x:v>306</x:v>
      </x:c>
      <x:c r="C68" t="s">
        <x:v>320</x:v>
      </x:c>
      <x:c r="D68" t="s">
        <x:v>308</x:v>
      </x:c>
      <x:c r="E68" s="21">
        <x:v>225</x:v>
      </x:c>
      <x:c r="F68" t="s">
        <x:v>322</x:v>
      </x:c>
      <x:c r="G68"/>
      <x:c r="H68"/>
      <x:c r="I68" s="20">
        <x:v>1057.81</x:v>
      </x:c>
      <x:c r="J68" t="s">
        <x:v>434</x:v>
      </x:c>
      <x:c r="K68" s="20">
        <x:v>24.76</x:v>
      </x:c>
    </x:row>
    <x:row r="69" hidden="1">
      <x:c r="A69" t="s">
        <x:v>319</x:v>
      </x:c>
      <x:c r="B69" t="s">
        <x:v>306</x:v>
      </x:c>
      <x:c r="C69" t="s">
        <x:v>320</x:v>
      </x:c>
      <x:c r="D69" t="s">
        <x:v>308</x:v>
      </x:c>
      <x:c r="E69" s="21">
        <x:v>225</x:v>
      </x:c>
      <x:c r="F69" t="s">
        <x:v>322</x:v>
      </x:c>
      <x:c r="G69"/>
      <x:c r="H69"/>
      <x:c r="I69" s="20">
        <x:v>24.76</x:v>
      </x:c>
      <x:c r="J69" t="s">
        <x:v>374</x:v>
      </x:c>
      <x:c r="K69"/>
    </x:row>
    <x:row r="70" hidden="1">
      <x:c r="A70"/>
      <x:c r="B70" t="s">
        <x:v>306</x:v>
      </x:c>
      <x:c r="C70" t="s">
        <x:v>320</x:v>
      </x:c>
      <x:c r="D70"/>
      <x:c r="E70"/>
      <x:c r="F70" t="s">
        <x:v>376</x:v>
      </x:c>
      <x:c r="G70" s="20">
        <x:v>1082.57</x:v>
      </x:c>
      <x:c r="H70" s="20"/>
      <x:c r="I70" s="20">
        <x:v>1082.57</x:v>
      </x:c>
      <x:c r="J70" t="s">
        <x:v>374</x:v>
      </x:c>
      <x:c r="K70"/>
    </x:row>
    <x:row r="71" hidden="1">
      <x:c r="A71"/>
      <x:c r="B71" t="s">
        <x:v>306</x:v>
      </x:c>
      <x:c r="C71" t="s">
        <x:v>320</x:v>
      </x:c>
      <x:c r="D71"/>
      <x:c r="E71"/>
      <x:c r="F71" t="s">
        <x:v>377</x:v>
      </x:c>
      <x:c r="G71" s="20">
        <x:v>3297.55</x:v>
      </x:c>
      <x:c r="H71" s="20"/>
      <x:c r="I71" s="20">
        <x:v>3297.55</x:v>
      </x:c>
      <x:c r="J71" t="s">
        <x:v>374</x:v>
      </x:c>
      <x:c r="K71"/>
    </x:row>
    <x:row r="72" hidden="1">
      <x:c r="A72" t="s">
        <x:v>372</x:v>
      </x:c>
      <x:c r="B72" t="s">
        <x:v>306</x:v>
      </x:c>
      <x:c r="C72" t="s">
        <x:v>311</x:v>
      </x:c>
      <x:c r="D72"/>
      <x:c r="E72"/>
      <x:c r="F72" t="s">
        <x:v>373</x:v>
      </x:c>
      <x:c r="G72"/>
      <x:c r="H72"/>
      <x:c r="I72"/>
      <x:c r="J72" t="s">
        <x:v>374</x:v>
      </x:c>
      <x:c r="K72"/>
    </x:row>
    <x:row r="73">
      <x:c r="A73" t="s">
        <x:v>329</x:v>
      </x:c>
      <x:c r="B73" t="s">
        <x:v>306</x:v>
      </x:c>
      <x:c r="C73" t="s">
        <x:v>311</x:v>
      </x:c>
      <x:c r="D73" t="s">
        <x:v>308</x:v>
      </x:c>
      <x:c r="E73" s="21">
        <x:v>175</x:v>
      </x:c>
      <x:c r="F73" t="s">
        <x:v>446</x:v>
      </x:c>
      <x:c r="G73" s="20"/>
      <x:c r="H73" s="20"/>
      <x:c r="I73"/>
      <x:c r="J73" t="s">
        <x:v>434</x:v>
      </x:c>
      <x:c r="K73" s="20"/>
    </x:row>
    <x:row r="74">
      <x:c r="A74" t="s">
        <x:v>329</x:v>
      </x:c>
      <x:c r="B74" t="s">
        <x:v>306</x:v>
      </x:c>
      <x:c r="C74" t="s">
        <x:v>311</x:v>
      </x:c>
      <x:c r="D74" t="s">
        <x:v>308</x:v>
      </x:c>
      <x:c r="E74" s="21">
        <x:v>175</x:v>
      </x:c>
      <x:c r="F74" t="s">
        <x:v>445</x:v>
      </x:c>
      <x:c r="G74" s="20"/>
      <x:c r="H74" s="20"/>
      <x:c r="I74"/>
      <x:c r="J74" t="s">
        <x:v>434</x:v>
      </x:c>
      <x:c r="K74" s="20"/>
    </x:row>
    <x:row r="75">
      <x:c r="A75" t="s">
        <x:v>329</x:v>
      </x:c>
      <x:c r="B75" t="s">
        <x:v>306</x:v>
      </x:c>
      <x:c r="C75" t="s">
        <x:v>311</x:v>
      </x:c>
      <x:c r="D75" t="s">
        <x:v>308</x:v>
      </x:c>
      <x:c r="E75" s="21">
        <x:v>175</x:v>
      </x:c>
      <x:c r="F75" t="s">
        <x:v>433</x:v>
      </x:c>
      <x:c r="G75" s="20"/>
      <x:c r="H75" s="20"/>
      <x:c r="I75"/>
      <x:c r="J75" t="s">
        <x:v>434</x:v>
      </x:c>
      <x:c r="K75" s="20"/>
    </x:row>
    <x:row r="76" hidden="1">
      <x:c r="A76" t="s">
        <x:v>329</x:v>
      </x:c>
      <x:c r="B76" t="s">
        <x:v>306</x:v>
      </x:c>
      <x:c r="C76" t="s">
        <x:v>311</x:v>
      </x:c>
      <x:c r="D76" t="s">
        <x:v>308</x:v>
      </x:c>
      <x:c r="E76" s="21">
        <x:v>176</x:v>
      </x:c>
      <x:c r="F76" t="s">
        <x:v>435</x:v>
      </x:c>
      <x:c r="G76" s="20">
        <x:v>671.4</x:v>
      </x:c>
      <x:c r="H76" s="20"/>
      <x:c r="I76"/>
      <x:c r="J76" t="s">
        <x:v>434</x:v>
      </x:c>
      <x:c r="K76" s="20">
        <x:v>14787.39</x:v>
      </x:c>
    </x:row>
    <x:row r="77" hidden="1">
      <x:c r="A77" t="s">
        <x:v>329</x:v>
      </x:c>
      <x:c r="B77" t="s">
        <x:v>306</x:v>
      </x:c>
      <x:c r="C77" t="s">
        <x:v>311</x:v>
      </x:c>
      <x:c r="D77" t="s">
        <x:v>308</x:v>
      </x:c>
      <x:c r="E77" s="21">
        <x:v>211</x:v>
      </x:c>
      <x:c r="F77" t="s">
        <x:v>322</x:v>
      </x:c>
      <x:c r="G77"/>
      <x:c r="H77"/>
      <x:c r="I77" s="20">
        <x:v>13387.39</x:v>
      </x:c>
      <x:c r="J77" t="s">
        <x:v>434</x:v>
      </x:c>
      <x:c r="K77" s="20">
        <x:v>1400</x:v>
      </x:c>
    </x:row>
    <x:row r="78" hidden="1">
      <x:c r="A78" t="s">
        <x:v>329</x:v>
      </x:c>
      <x:c r="B78" t="s">
        <x:v>306</x:v>
      </x:c>
      <x:c r="C78" t="s">
        <x:v>311</x:v>
      </x:c>
      <x:c r="D78" t="s">
        <x:v>308</x:v>
      </x:c>
      <x:c r="E78" s="21">
        <x:v>211</x:v>
      </x:c>
      <x:c r="F78" t="s">
        <x:v>322</x:v>
      </x:c>
      <x:c r="G78"/>
      <x:c r="H78"/>
      <x:c r="I78" s="20">
        <x:v>1400</x:v>
      </x:c>
      <x:c r="J78" t="s">
        <x:v>374</x:v>
      </x:c>
      <x:c r="K78"/>
    </x:row>
    <x:row r="79" hidden="1">
      <x:c r="A79"/>
      <x:c r="B79" t="s">
        <x:v>306</x:v>
      </x:c>
      <x:c r="C79" t="s">
        <x:v>311</x:v>
      </x:c>
      <x:c r="D79"/>
      <x:c r="E79"/>
      <x:c r="F79" t="s">
        <x:v>376</x:v>
      </x:c>
      <x:c r="G79" s="20">
        <x:v>14787.39</x:v>
      </x:c>
      <x:c r="H79" s="20"/>
      <x:c r="I79" s="20">
        <x:v>14787.39</x:v>
      </x:c>
      <x:c r="J79" t="s">
        <x:v>374</x:v>
      </x:c>
      <x:c r="K79"/>
    </x:row>
    <x:row r="80" hidden="1">
      <x:c r="A80"/>
      <x:c r="B80" t="s">
        <x:v>306</x:v>
      </x:c>
      <x:c r="C80" t="s">
        <x:v>311</x:v>
      </x:c>
      <x:c r="D80"/>
      <x:c r="E80"/>
      <x:c r="F80" t="s">
        <x:v>377</x:v>
      </x:c>
      <x:c r="G80" s="20">
        <x:v>14787.39</x:v>
      </x:c>
      <x:c r="H80" s="20"/>
      <x:c r="I80" s="20">
        <x:v>14787.39</x:v>
      </x:c>
      <x:c r="J80" t="s">
        <x:v>374</x:v>
      </x:c>
      <x:c r="K80"/>
    </x:row>
    <x:row r="81" hidden="1">
      <x:c r="A81" t="s">
        <x:v>313</x:v>
      </x:c>
      <x:c r="B81" t="s">
        <x:v>306</x:v>
      </x:c>
      <x:c r="C81" t="s">
        <x:v>307</x:v>
      </x:c>
      <x:c r="D81" t="s">
        <x:v>308</x:v>
      </x:c>
      <x:c r="E81" s="21">
        <x:v>109</x:v>
      </x:c>
      <x:c r="F81" t="s">
        <x:v>437</x:v>
      </x:c>
      <x:c r="G81" s="20">
        <x:v>671.4</x:v>
      </x:c>
      <x:c r="H81" s="20"/>
      <x:c r="I81"/>
      <x:c r="J81" t="s">
        <x:v>434</x:v>
      </x:c>
      <x:c r="K81" s="20">
        <x:v>671.4</x:v>
      </x:c>
    </x:row>
    <x:row r="82" hidden="1">
      <x:c r="A82" t="s">
        <x:v>331</x:v>
      </x:c>
      <x:c r="B82" t="s">
        <x:v>306</x:v>
      </x:c>
      <x:c r="C82" t="s">
        <x:v>307</x:v>
      </x:c>
      <x:c r="D82" t="s">
        <x:v>308</x:v>
      </x:c>
      <x:c r="E82" s="21">
        <x:v>94</x:v>
      </x:c>
      <x:c r="F82" t="s">
        <x:v>438</x:v>
      </x:c>
      <x:c r="G82" s="20">
        <x:v>14115.99</x:v>
      </x:c>
      <x:c r="H82" s="20"/>
      <x:c r="I82"/>
      <x:c r="J82" t="s">
        <x:v>434</x:v>
      </x:c>
      <x:c r="K82" s="20">
        <x:v>14787.39</x:v>
      </x:c>
    </x:row>
    <x:row r="83" hidden="1">
      <x:c r="A83" t="s">
        <x:v>331</x:v>
      </x:c>
      <x:c r="B83" t="s">
        <x:v>306</x:v>
      </x:c>
      <x:c r="C83" t="s">
        <x:v>307</x:v>
      </x:c>
      <x:c r="D83" t="s">
        <x:v>308</x:v>
      </x:c>
      <x:c r="E83" s="21">
        <x:v>94</x:v>
      </x:c>
      <x:c r="F83" t="s">
        <x:v>439</x:v>
      </x:c>
      <x:c r="G83" s="20">
        <x:v>346.64</x:v>
      </x:c>
      <x:c r="H83" s="20"/>
      <x:c r="I83"/>
      <x:c r="J83" t="s">
        <x:v>434</x:v>
      </x:c>
      <x:c r="K83" s="20">
        <x:v>15134.03</x:v>
      </x:c>
    </x:row>
    <x:row r="84" hidden="1">
      <x:c r="A84" t="s">
        <x:v>331</x:v>
      </x:c>
      <x:c r="B84" t="s">
        <x:v>306</x:v>
      </x:c>
      <x:c r="C84" t="s">
        <x:v>307</x:v>
      </x:c>
      <x:c r="D84" t="s">
        <x:v>308</x:v>
      </x:c>
      <x:c r="E84" s="21">
        <x:v>190</x:v>
      </x:c>
      <x:c r="F84" t="s">
        <x:v>322</x:v>
      </x:c>
      <x:c r="G84"/>
      <x:c r="H84"/>
      <x:c r="I84" s="20">
        <x:v>15134.03</x:v>
      </x:c>
      <x:c r="J84" t="s">
        <x:v>374</x:v>
      </x:c>
      <x:c r="K84"/>
    </x:row>
    <x:row r="85" hidden="1">
      <x:c r="A85"/>
      <x:c r="B85" t="s">
        <x:v>306</x:v>
      </x:c>
      <x:c r="C85" t="s">
        <x:v>307</x:v>
      </x:c>
      <x:c r="D85"/>
      <x:c r="E85"/>
      <x:c r="F85" t="s">
        <x:v>376</x:v>
      </x:c>
      <x:c r="G85" s="20">
        <x:v>15134.03</x:v>
      </x:c>
      <x:c r="H85" s="20"/>
      <x:c r="I85" s="20">
        <x:v>15134.03</x:v>
      </x:c>
      <x:c r="J85" t="s">
        <x:v>374</x:v>
      </x:c>
      <x:c r="K85"/>
    </x:row>
    <x:row r="86" hidden="1">
      <x:c r="A86"/>
      <x:c r="B86" t="s">
        <x:v>306</x:v>
      </x:c>
      <x:c r="C86" t="s">
        <x:v>307</x:v>
      </x:c>
      <x:c r="D86"/>
      <x:c r="E86"/>
      <x:c r="F86" t="s">
        <x:v>377</x:v>
      </x:c>
      <x:c r="G86" s="20">
        <x:v>29921.42</x:v>
      </x:c>
      <x:c r="H86" s="20"/>
      <x:c r="I86" s="20">
        <x:v>29921.42</x:v>
      </x:c>
      <x:c r="J86" t="s">
        <x:v>374</x:v>
      </x:c>
      <x:c r="K86"/>
    </x:row>
    <x:row r="87" hidden="1">
      <x:c r="A87" t="s">
        <x:v>441</x:v>
      </x:c>
      <x:c r="B87" t="s">
        <x:v>306</x:v>
      </x:c>
      <x:c r="C87" t="s">
        <x:v>320</x:v>
      </x:c>
      <x:c r="D87" t="s">
        <x:v>308</x:v>
      </x:c>
      <x:c r="E87" s="21">
        <x:v>180</x:v>
      </x:c>
      <x:c r="F87" t="s">
        <x:v>442</x:v>
      </x:c>
      <x:c r="G87" s="20">
        <x:v>14115.99</x:v>
      </x:c>
      <x:c r="H87" s="20"/>
      <x:c r="I87"/>
      <x:c r="J87" t="s">
        <x:v>434</x:v>
      </x:c>
      <x:c r="K87" s="20">
        <x:v>14115.99</x:v>
      </x:c>
    </x:row>
    <x:row r="88" hidden="1">
      <x:c r="A88" t="s">
        <x:v>441</x:v>
      </x:c>
      <x:c r="B88" t="s">
        <x:v>306</x:v>
      </x:c>
      <x:c r="C88" t="s">
        <x:v>320</x:v>
      </x:c>
      <x:c r="D88" t="s">
        <x:v>308</x:v>
      </x:c>
      <x:c r="E88" s="21">
        <x:v>180</x:v>
      </x:c>
      <x:c r="F88" t="s">
        <x:v>443</x:v>
      </x:c>
      <x:c r="G88" s="20">
        <x:v>346.64</x:v>
      </x:c>
      <x:c r="H88" s="20"/>
      <x:c r="I88"/>
      <x:c r="J88" t="s">
        <x:v>434</x:v>
      </x:c>
      <x:c r="K88" s="20">
        <x:v>14462.63</x:v>
      </x:c>
    </x:row>
    <x:row r="89" hidden="1">
      <x:c r="A89" t="s">
        <x:v>319</x:v>
      </x:c>
      <x:c r="B89" t="s">
        <x:v>306</x:v>
      </x:c>
      <x:c r="C89" t="s">
        <x:v>320</x:v>
      </x:c>
      <x:c r="D89" t="s">
        <x:v>308</x:v>
      </x:c>
      <x:c r="E89" s="21">
        <x:v>225</x:v>
      </x:c>
      <x:c r="F89" t="s">
        <x:v>322</x:v>
      </x:c>
      <x:c r="G89"/>
      <x:c r="H89"/>
      <x:c r="I89" s="20">
        <x:v>14462.63</x:v>
      </x:c>
      <x:c r="J89" t="s">
        <x:v>374</x:v>
      </x:c>
      <x:c r="K89"/>
    </x:row>
    <x:row r="90" hidden="1">
      <x:c r="A90"/>
      <x:c r="B90" t="s">
        <x:v>306</x:v>
      </x:c>
      <x:c r="C90" t="s">
        <x:v>320</x:v>
      </x:c>
      <x:c r="D90"/>
      <x:c r="E90"/>
      <x:c r="F90" t="s">
        <x:v>376</x:v>
      </x:c>
      <x:c r="G90" s="20">
        <x:v>14462.63</x:v>
      </x:c>
      <x:c r="H90" s="20"/>
      <x:c r="I90" s="20">
        <x:v>14462.63</x:v>
      </x:c>
      <x:c r="J90" t="s">
        <x:v>374</x:v>
      </x:c>
      <x:c r="K90"/>
    </x:row>
    <x:row r="91" hidden="1">
      <x:c r="A91"/>
      <x:c r="B91" t="s">
        <x:v>306</x:v>
      </x:c>
      <x:c r="C91" t="s">
        <x:v>320</x:v>
      </x:c>
      <x:c r="D91"/>
      <x:c r="E91"/>
      <x:c r="F91" t="s">
        <x:v>377</x:v>
      </x:c>
      <x:c r="G91" s="20">
        <x:v>44384.05</x:v>
      </x:c>
      <x:c r="H91" s="20"/>
      <x:c r="I91" s="20">
        <x:v>44384.05</x:v>
      </x:c>
      <x:c r="J91" t="s">
        <x:v>374</x:v>
      </x:c>
      <x:c r="K91"/>
    </x:row>
    <x:row r="92" hidden="1">
      <x:c r="A92" t="s">
        <x:v>372</x:v>
      </x:c>
      <x:c r="B92" t="s">
        <x:v>306</x:v>
      </x:c>
      <x:c r="C92" t="s">
        <x:v>311</x:v>
      </x:c>
      <x:c r="D92"/>
      <x:c r="E92"/>
      <x:c r="F92" t="s">
        <x:v>373</x:v>
      </x:c>
      <x:c r="G92"/>
      <x:c r="H92"/>
      <x:c r="I92"/>
      <x:c r="J92" t="s">
        <x:v>374</x:v>
      </x:c>
      <x:c r="K92"/>
    </x:row>
    <x:row r="93">
      <x:c r="A93" t="s">
        <x:v>329</x:v>
      </x:c>
      <x:c r="B93" t="s">
        <x:v>306</x:v>
      </x:c>
      <x:c r="C93" t="s">
        <x:v>311</x:v>
      </x:c>
      <x:c r="D93" t="s">
        <x:v>308</x:v>
      </x:c>
      <x:c r="E93" s="21">
        <x:v>175</x:v>
      </x:c>
      <x:c r="F93" t="s">
        <x:v>445</x:v>
      </x:c>
      <x:c r="G93" s="20"/>
      <x:c r="H93" s="20"/>
      <x:c r="I93"/>
      <x:c r="J93" t="s">
        <x:v>434</x:v>
      </x:c>
      <x:c r="K93" s="20"/>
    </x:row>
    <x:row r="94">
      <x:c r="A94" t="s">
        <x:v>329</x:v>
      </x:c>
      <x:c r="B94" t="s">
        <x:v>306</x:v>
      </x:c>
      <x:c r="C94" t="s">
        <x:v>311</x:v>
      </x:c>
      <x:c r="D94" t="s">
        <x:v>308</x:v>
      </x:c>
      <x:c r="E94" s="21">
        <x:v>175</x:v>
      </x:c>
      <x:c r="F94" t="s">
        <x:v>446</x:v>
      </x:c>
      <x:c r="G94" s="20"/>
      <x:c r="H94" s="20"/>
      <x:c r="I94"/>
      <x:c r="J94" t="s">
        <x:v>434</x:v>
      </x:c>
      <x:c r="K94" s="20"/>
    </x:row>
    <x:row r="95">
      <x:c r="A95" t="s">
        <x:v>329</x:v>
      </x:c>
      <x:c r="B95" t="s">
        <x:v>306</x:v>
      </x:c>
      <x:c r="C95" t="s">
        <x:v>311</x:v>
      </x:c>
      <x:c r="D95" t="s">
        <x:v>308</x:v>
      </x:c>
      <x:c r="E95" s="21">
        <x:v>175</x:v>
      </x:c>
      <x:c r="F95" t="s">
        <x:v>446</x:v>
      </x:c>
      <x:c r="G95" s="20"/>
      <x:c r="H95" s="20"/>
      <x:c r="I95"/>
      <x:c r="J95" t="s">
        <x:v>434</x:v>
      </x:c>
      <x:c r="K95" s="20"/>
    </x:row>
    <x:row r="96" hidden="1">
      <x:c r="A96" t="s">
        <x:v>329</x:v>
      </x:c>
      <x:c r="B96" t="s">
        <x:v>306</x:v>
      </x:c>
      <x:c r="C96" t="s">
        <x:v>311</x:v>
      </x:c>
      <x:c r="D96" t="s">
        <x:v>308</x:v>
      </x:c>
      <x:c r="E96" s="21">
        <x:v>176</x:v>
      </x:c>
      <x:c r="F96" t="s">
        <x:v>435</x:v>
      </x:c>
      <x:c r="G96" s="20">
        <x:v>37.299999999999997</x:v>
      </x:c>
      <x:c r="H96" s="20"/>
      <x:c r="I96"/>
      <x:c r="J96" t="s">
        <x:v>434</x:v>
      </x:c>
      <x:c r="K96" s="20">
        <x:v>1070.3499999999999</x:v>
      </x:c>
    </x:row>
    <x:row r="97" hidden="1">
      <x:c r="A97" t="s">
        <x:v>329</x:v>
      </x:c>
      <x:c r="B97" t="s">
        <x:v>306</x:v>
      </x:c>
      <x:c r="C97" t="s">
        <x:v>311</x:v>
      </x:c>
      <x:c r="D97" t="s">
        <x:v>308</x:v>
      </x:c>
      <x:c r="E97" s="21">
        <x:v>205</x:v>
      </x:c>
      <x:c r="F97" t="s">
        <x:v>447</x:v>
      </x:c>
      <x:c r="G97" s="20">
        <x:v>24.76</x:v>
      </x:c>
      <x:c r="H97" s="20"/>
      <x:c r="I97"/>
      <x:c r="J97" t="s">
        <x:v>434</x:v>
      </x:c>
      <x:c r="K97" s="20">
        <x:v>1095.1099999999999</x:v>
      </x:c>
    </x:row>
    <x:row r="98" hidden="1">
      <x:c r="A98" t="s">
        <x:v>329</x:v>
      </x:c>
      <x:c r="B98" t="s">
        <x:v>306</x:v>
      </x:c>
      <x:c r="C98" t="s">
        <x:v>311</x:v>
      </x:c>
      <x:c r="D98" t="s">
        <x:v>308</x:v>
      </x:c>
      <x:c r="E98" s="21">
        <x:v>211</x:v>
      </x:c>
      <x:c r="F98" t="s">
        <x:v>322</x:v>
      </x:c>
      <x:c r="G98"/>
      <x:c r="H98"/>
      <x:c r="I98" s="20">
        <x:v>970.35</x:v>
      </x:c>
      <x:c r="J98" t="s">
        <x:v>434</x:v>
      </x:c>
      <x:c r="K98" s="20">
        <x:v>124.76</x:v>
      </x:c>
    </x:row>
    <x:row r="99" hidden="1">
      <x:c r="A99" t="s">
        <x:v>329</x:v>
      </x:c>
      <x:c r="B99" t="s">
        <x:v>306</x:v>
      </x:c>
      <x:c r="C99" t="s">
        <x:v>311</x:v>
      </x:c>
      <x:c r="D99" t="s">
        <x:v>308</x:v>
      </x:c>
      <x:c r="E99" s="21">
        <x:v>211</x:v>
      </x:c>
      <x:c r="F99" t="s">
        <x:v>322</x:v>
      </x:c>
      <x:c r="G99"/>
      <x:c r="H99"/>
      <x:c r="I99" s="20">
        <x:v>100</x:v>
      </x:c>
      <x:c r="J99" t="s">
        <x:v>434</x:v>
      </x:c>
      <x:c r="K99" s="20">
        <x:v>24.76</x:v>
      </x:c>
    </x:row>
    <x:row r="100" hidden="1">
      <x:c r="A100" t="s">
        <x:v>329</x:v>
      </x:c>
      <x:c r="B100" t="s">
        <x:v>306</x:v>
      </x:c>
      <x:c r="C100" t="s">
        <x:v>311</x:v>
      </x:c>
      <x:c r="D100" t="s">
        <x:v>308</x:v>
      </x:c>
      <x:c r="E100" s="21">
        <x:v>211</x:v>
      </x:c>
      <x:c r="F100" t="s">
        <x:v>322</x:v>
      </x:c>
      <x:c r="G100"/>
      <x:c r="H100"/>
      <x:c r="I100" s="20">
        <x:v>24.76</x:v>
      </x:c>
      <x:c r="J100" t="s">
        <x:v>374</x:v>
      </x:c>
      <x:c r="K100"/>
    </x:row>
    <x:row r="101" hidden="1">
      <x:c r="A101"/>
      <x:c r="B101" t="s">
        <x:v>306</x:v>
      </x:c>
      <x:c r="C101" t="s">
        <x:v>311</x:v>
      </x:c>
      <x:c r="D101"/>
      <x:c r="E101"/>
      <x:c r="F101" t="s">
        <x:v>376</x:v>
      </x:c>
      <x:c r="G101" s="20">
        <x:v>1095.1099999999999</x:v>
      </x:c>
      <x:c r="H101" s="20"/>
      <x:c r="I101" s="20">
        <x:v>1095.1099999999999</x:v>
      </x:c>
      <x:c r="J101" t="s">
        <x:v>374</x:v>
      </x:c>
      <x:c r="K101"/>
    </x:row>
    <x:row r="102" hidden="1">
      <x:c r="A102"/>
      <x:c r="B102" t="s">
        <x:v>306</x:v>
      </x:c>
      <x:c r="C102" t="s">
        <x:v>311</x:v>
      </x:c>
      <x:c r="D102"/>
      <x:c r="E102"/>
      <x:c r="F102" t="s">
        <x:v>377</x:v>
      </x:c>
      <x:c r="G102" s="20">
        <x:v>1095.1099999999999</x:v>
      </x:c>
      <x:c r="H102" s="20"/>
      <x:c r="I102" s="20">
        <x:v>1095.1099999999999</x:v>
      </x:c>
      <x:c r="J102" t="s">
        <x:v>374</x:v>
      </x:c>
      <x:c r="K102"/>
    </x:row>
    <x:row r="103" hidden="1">
      <x:c r="A103" t="s">
        <x:v>313</x:v>
      </x:c>
      <x:c r="B103" t="s">
        <x:v>306</x:v>
      </x:c>
      <x:c r="C103" t="s">
        <x:v>307</x:v>
      </x:c>
      <x:c r="D103" t="s">
        <x:v>308</x:v>
      </x:c>
      <x:c r="E103" s="21">
        <x:v>109</x:v>
      </x:c>
      <x:c r="F103" t="s">
        <x:v>437</x:v>
      </x:c>
      <x:c r="G103" s="20">
        <x:v>37.299999999999997</x:v>
      </x:c>
      <x:c r="H103" s="20"/>
      <x:c r="I103"/>
      <x:c r="J103" t="s">
        <x:v>434</x:v>
      </x:c>
      <x:c r="K103" s="20">
        <x:v>37.299999999999997</x:v>
      </x:c>
    </x:row>
    <x:row r="104" hidden="1">
      <x:c r="A104" t="s">
        <x:v>331</x:v>
      </x:c>
      <x:c r="B104" t="s">
        <x:v>306</x:v>
      </x:c>
      <x:c r="C104" t="s">
        <x:v>307</x:v>
      </x:c>
      <x:c r="D104" t="s">
        <x:v>308</x:v>
      </x:c>
      <x:c r="E104" s="21">
        <x:v>94</x:v>
      </x:c>
      <x:c r="F104" t="s">
        <x:v>438</x:v>
      </x:c>
      <x:c r="G104" s="20">
        <x:v>1033.05</x:v>
      </x:c>
      <x:c r="H104" s="20"/>
      <x:c r="I104"/>
      <x:c r="J104" t="s">
        <x:v>434</x:v>
      </x:c>
      <x:c r="K104" s="20">
        <x:v>1070.3499999999999</x:v>
      </x:c>
    </x:row>
    <x:row r="105" hidden="1">
      <x:c r="A105" t="s">
        <x:v>331</x:v>
      </x:c>
      <x:c r="B105" t="s">
        <x:v>306</x:v>
      </x:c>
      <x:c r="C105" t="s">
        <x:v>307</x:v>
      </x:c>
      <x:c r="D105" t="s">
        <x:v>308</x:v>
      </x:c>
      <x:c r="E105" s="21">
        <x:v>94</x:v>
      </x:c>
      <x:c r="F105" t="s">
        <x:v>439</x:v>
      </x:c>
      <x:c r="G105" s="20">
        <x:v>24.76</x:v>
      </x:c>
      <x:c r="H105" s="20"/>
      <x:c r="I105"/>
      <x:c r="J105" t="s">
        <x:v>434</x:v>
      </x:c>
      <x:c r="K105" s="20">
        <x:v>1095.1099999999999</x:v>
      </x:c>
    </x:row>
    <x:row r="106" hidden="1">
      <x:c r="A106" t="s">
        <x:v>331</x:v>
      </x:c>
      <x:c r="B106" t="s">
        <x:v>306</x:v>
      </x:c>
      <x:c r="C106" t="s">
        <x:v>307</x:v>
      </x:c>
      <x:c r="D106" t="s">
        <x:v>308</x:v>
      </x:c>
      <x:c r="E106" s="21">
        <x:v>99</x:v>
      </x:c>
      <x:c r="F106" t="s">
        <x:v>448</x:v>
      </x:c>
      <x:c r="G106" s="20">
        <x:v>24.76</x:v>
      </x:c>
      <x:c r="H106" s="20"/>
      <x:c r="I106"/>
      <x:c r="J106" t="s">
        <x:v>434</x:v>
      </x:c>
      <x:c r="K106" s="20">
        <x:v>1119.8699999999999</x:v>
      </x:c>
    </x:row>
    <x:row r="107" hidden="1">
      <x:c r="A107" t="s">
        <x:v>331</x:v>
      </x:c>
      <x:c r="B107" t="s">
        <x:v>306</x:v>
      </x:c>
      <x:c r="C107" t="s">
        <x:v>307</x:v>
      </x:c>
      <x:c r="D107" t="s">
        <x:v>308</x:v>
      </x:c>
      <x:c r="E107" s="21">
        <x:v>190</x:v>
      </x:c>
      <x:c r="F107" t="s">
        <x:v>322</x:v>
      </x:c>
      <x:c r="G107"/>
      <x:c r="H107"/>
      <x:c r="I107" s="20">
        <x:v>1095.1099999999999</x:v>
      </x:c>
      <x:c r="J107" t="s">
        <x:v>434</x:v>
      </x:c>
      <x:c r="K107" s="20">
        <x:v>24.76</x:v>
      </x:c>
    </x:row>
    <x:row r="108" hidden="1">
      <x:c r="A108" t="s">
        <x:v>331</x:v>
      </x:c>
      <x:c r="B108" t="s">
        <x:v>306</x:v>
      </x:c>
      <x:c r="C108" t="s">
        <x:v>307</x:v>
      </x:c>
      <x:c r="D108" t="s">
        <x:v>308</x:v>
      </x:c>
      <x:c r="E108" s="21">
        <x:v>190</x:v>
      </x:c>
      <x:c r="F108" t="s">
        <x:v>322</x:v>
      </x:c>
      <x:c r="G108"/>
      <x:c r="H108"/>
      <x:c r="I108" s="20">
        <x:v>24.76</x:v>
      </x:c>
      <x:c r="J108" t="s">
        <x:v>374</x:v>
      </x:c>
      <x:c r="K108"/>
    </x:row>
    <x:row r="109" hidden="1">
      <x:c r="A109"/>
      <x:c r="B109" t="s">
        <x:v>306</x:v>
      </x:c>
      <x:c r="C109" t="s">
        <x:v>307</x:v>
      </x:c>
      <x:c r="D109"/>
      <x:c r="E109"/>
      <x:c r="F109" t="s">
        <x:v>376</x:v>
      </x:c>
      <x:c r="G109" s="20">
        <x:v>1119.8699999999999</x:v>
      </x:c>
      <x:c r="H109" s="20"/>
      <x:c r="I109" s="20">
        <x:v>1119.8699999999999</x:v>
      </x:c>
      <x:c r="J109" t="s">
        <x:v>374</x:v>
      </x:c>
      <x:c r="K109"/>
    </x:row>
    <x:row r="110" hidden="1">
      <x:c r="A110"/>
      <x:c r="B110" t="s">
        <x:v>306</x:v>
      </x:c>
      <x:c r="C110" t="s">
        <x:v>307</x:v>
      </x:c>
      <x:c r="D110"/>
      <x:c r="E110"/>
      <x:c r="F110" t="s">
        <x:v>377</x:v>
      </x:c>
      <x:c r="G110" s="20">
        <x:v>2214.98</x:v>
      </x:c>
      <x:c r="H110" s="20"/>
      <x:c r="I110" s="20">
        <x:v>2214.98</x:v>
      </x:c>
      <x:c r="J110" t="s">
        <x:v>374</x:v>
      </x:c>
      <x:c r="K110"/>
    </x:row>
    <x:row r="111" hidden="1">
      <x:c r="A111" t="s">
        <x:v>441</x:v>
      </x:c>
      <x:c r="B111" t="s">
        <x:v>306</x:v>
      </x:c>
      <x:c r="C111" t="s">
        <x:v>320</x:v>
      </x:c>
      <x:c r="D111" t="s">
        <x:v>308</x:v>
      </x:c>
      <x:c r="E111" s="21">
        <x:v>180</x:v>
      </x:c>
      <x:c r="F111" t="s">
        <x:v>442</x:v>
      </x:c>
      <x:c r="G111" s="20">
        <x:v>1033.05</x:v>
      </x:c>
      <x:c r="H111" s="20"/>
      <x:c r="I111"/>
      <x:c r="J111" t="s">
        <x:v>434</x:v>
      </x:c>
      <x:c r="K111" s="20">
        <x:v>1033.05</x:v>
      </x:c>
    </x:row>
    <x:row r="112" hidden="1">
      <x:c r="A112" t="s">
        <x:v>441</x:v>
      </x:c>
      <x:c r="B112" t="s">
        <x:v>306</x:v>
      </x:c>
      <x:c r="C112" t="s">
        <x:v>320</x:v>
      </x:c>
      <x:c r="D112" t="s">
        <x:v>308</x:v>
      </x:c>
      <x:c r="E112" s="21">
        <x:v>180</x:v>
      </x:c>
      <x:c r="F112" t="s">
        <x:v>443</x:v>
      </x:c>
      <x:c r="G112" s="20">
        <x:v>24.76</x:v>
      </x:c>
      <x:c r="H112" s="20"/>
      <x:c r="I112"/>
      <x:c r="J112" t="s">
        <x:v>434</x:v>
      </x:c>
      <x:c r="K112" s="20">
        <x:v>1057.81</x:v>
      </x:c>
    </x:row>
    <x:row r="113" hidden="1">
      <x:c r="A113" t="s">
        <x:v>319</x:v>
      </x:c>
      <x:c r="B113" t="s">
        <x:v>306</x:v>
      </x:c>
      <x:c r="C113" t="s">
        <x:v>320</x:v>
      </x:c>
      <x:c r="D113" t="s">
        <x:v>308</x:v>
      </x:c>
      <x:c r="E113" s="21">
        <x:v>182</x:v>
      </x:c>
      <x:c r="F113" t="s">
        <x:v>449</x:v>
      </x:c>
      <x:c r="G113" s="20">
        <x:v>24.76</x:v>
      </x:c>
      <x:c r="H113" s="20"/>
      <x:c r="I113"/>
      <x:c r="J113" t="s">
        <x:v>434</x:v>
      </x:c>
      <x:c r="K113" s="20">
        <x:v>1082.57</x:v>
      </x:c>
    </x:row>
    <x:row r="114" hidden="1">
      <x:c r="A114" t="s">
        <x:v>319</x:v>
      </x:c>
      <x:c r="B114" t="s">
        <x:v>306</x:v>
      </x:c>
      <x:c r="C114" t="s">
        <x:v>320</x:v>
      </x:c>
      <x:c r="D114" t="s">
        <x:v>308</x:v>
      </x:c>
      <x:c r="E114" s="21">
        <x:v>225</x:v>
      </x:c>
      <x:c r="F114" t="s">
        <x:v>322</x:v>
      </x:c>
      <x:c r="G114"/>
      <x:c r="H114"/>
      <x:c r="I114" s="20">
        <x:v>1057.81</x:v>
      </x:c>
      <x:c r="J114" t="s">
        <x:v>434</x:v>
      </x:c>
      <x:c r="K114" s="20">
        <x:v>24.76</x:v>
      </x:c>
    </x:row>
    <x:row r="115" hidden="1">
      <x:c r="A115" t="s">
        <x:v>319</x:v>
      </x:c>
      <x:c r="B115" t="s">
        <x:v>306</x:v>
      </x:c>
      <x:c r="C115" t="s">
        <x:v>320</x:v>
      </x:c>
      <x:c r="D115" t="s">
        <x:v>308</x:v>
      </x:c>
      <x:c r="E115" s="21">
        <x:v>225</x:v>
      </x:c>
      <x:c r="F115" t="s">
        <x:v>322</x:v>
      </x:c>
      <x:c r="G115"/>
      <x:c r="H115"/>
      <x:c r="I115" s="20">
        <x:v>24.76</x:v>
      </x:c>
      <x:c r="J115" t="s">
        <x:v>374</x:v>
      </x:c>
      <x:c r="K115"/>
    </x:row>
    <x:row r="116" hidden="1">
      <x:c r="A116"/>
      <x:c r="B116" t="s">
        <x:v>306</x:v>
      </x:c>
      <x:c r="C116" t="s">
        <x:v>320</x:v>
      </x:c>
      <x:c r="D116"/>
      <x:c r="E116"/>
      <x:c r="F116" t="s">
        <x:v>376</x:v>
      </x:c>
      <x:c r="G116" s="20">
        <x:v>1082.57</x:v>
      </x:c>
      <x:c r="H116" s="20"/>
      <x:c r="I116" s="20">
        <x:v>1082.57</x:v>
      </x:c>
      <x:c r="J116" t="s">
        <x:v>374</x:v>
      </x:c>
      <x:c r="K116"/>
    </x:row>
    <x:row r="117" hidden="1">
      <x:c r="A117"/>
      <x:c r="B117" t="s">
        <x:v>306</x:v>
      </x:c>
      <x:c r="C117" t="s">
        <x:v>320</x:v>
      </x:c>
      <x:c r="D117"/>
      <x:c r="E117"/>
      <x:c r="F117" t="s">
        <x:v>377</x:v>
      </x:c>
      <x:c r="G117" s="20">
        <x:v>3297.55</x:v>
      </x:c>
      <x:c r="H117" s="20"/>
      <x:c r="I117" s="20">
        <x:v>3297.55</x:v>
      </x:c>
      <x:c r="J117" t="s">
        <x:v>374</x:v>
      </x:c>
      <x:c r="K117"/>
    </x:row>
    <x:row r="118" hidden="1">
      <x:c r="A118" s="7"/>
      <x:c r="B118" s="7"/>
      <x:c r="C118" s="7"/>
      <x:c r="D118" s="7"/>
      <x:c r="E118" s="9"/>
      <x:c r="F118" s="7"/>
      <x:c r="G118" s="36"/>
      <x:c r="H118" s="36"/>
      <x:c r="I118" s="10"/>
      <x:c r="J118" s="35"/>
      <x:c r="K118" s="35"/>
    </x:row>
    <x:row r="119" hidden="1">
      <x:c r="A119" s="7"/>
      <x:c r="B119" s="7"/>
      <x:c r="C119" s="7"/>
      <x:c r="D119" s="7"/>
      <x:c r="E119" s="9"/>
      <x:c r="F119" s="7"/>
      <x:c r="G119" s="36"/>
      <x:c r="H119" s="36"/>
      <x:c r="I119" s="10"/>
      <x:c r="J119" s="35"/>
      <x:c r="K119" s="35"/>
    </x:row>
    <x:row r="120" hidden="1">
      <x:c r="A120" s="7"/>
      <x:c r="B120" s="7"/>
      <x:c r="C120" s="7"/>
      <x:c r="D120" s="7"/>
      <x:c r="E120" s="9"/>
      <x:c r="F120" s="7"/>
      <x:c r="G120" s="36"/>
      <x:c r="H120" s="36"/>
      <x:c r="I120" s="10"/>
      <x:c r="J120" s="35"/>
      <x:c r="K120" s="35"/>
    </x:row>
    <x:row r="121" hidden="1">
      <x:c r="A121" s="7"/>
      <x:c r="B121" s="7"/>
      <x:c r="C121" s="7"/>
      <x:c r="D121" s="7"/>
      <x:c r="E121" s="9"/>
      <x:c r="F121" s="7"/>
      <x:c r="G121" s="36"/>
      <x:c r="H121" s="36"/>
      <x:c r="I121" s="10"/>
      <x:c r="J121" s="35"/>
      <x:c r="K121" s="35"/>
    </x:row>
    <x:row r="122" hidden="1">
      <x:c r="A122" s="7"/>
      <x:c r="B122" s="7"/>
      <x:c r="C122" s="7"/>
      <x:c r="D122" s="7"/>
      <x:c r="E122" s="9"/>
      <x:c r="F122" s="7"/>
      <x:c r="G122" s="36"/>
      <x:c r="H122" s="36"/>
      <x:c r="I122" s="10"/>
      <x:c r="J122" s="35"/>
      <x:c r="K122" s="35"/>
    </x:row>
    <x:row r="123" hidden="1">
      <x:c r="A123" s="7"/>
      <x:c r="B123" s="7"/>
      <x:c r="C123" s="7"/>
      <x:c r="D123" s="7"/>
      <x:c r="E123" s="9"/>
      <x:c r="F123" s="7"/>
      <x:c r="G123" s="36"/>
      <x:c r="H123" s="36"/>
      <x:c r="I123" s="10"/>
      <x:c r="J123" s="35"/>
      <x:c r="K123" s="35"/>
    </x:row>
    <x:row r="124" hidden="1">
      <x:c r="A124" s="7"/>
      <x:c r="B124" s="7"/>
      <x:c r="C124" s="7"/>
      <x:c r="D124" s="7"/>
      <x:c r="E124" s="9"/>
      <x:c r="F124" s="7"/>
      <x:c r="G124" s="36"/>
      <x:c r="H124" s="36"/>
      <x:c r="I124" s="10"/>
      <x:c r="J124" s="35"/>
      <x:c r="K124" s="35"/>
    </x:row>
    <x:row r="125" hidden="1">
      <x:c r="A125" s="7"/>
      <x:c r="B125" s="7"/>
      <x:c r="C125" s="7"/>
      <x:c r="D125" s="7"/>
      <x:c r="E125" s="9"/>
      <x:c r="F125" s="7"/>
      <x:c r="G125" s="36"/>
      <x:c r="H125" s="36"/>
      <x:c r="I125" s="10"/>
      <x:c r="J125" s="35"/>
      <x:c r="K125" s="35"/>
    </x:row>
    <x:row r="126" hidden="1">
      <x:c r="A126" s="7"/>
      <x:c r="B126" s="7"/>
      <x:c r="C126" s="7"/>
      <x:c r="D126" s="7"/>
      <x:c r="E126" s="9"/>
      <x:c r="F126" s="7"/>
      <x:c r="G126" s="36"/>
      <x:c r="H126" s="36"/>
      <x:c r="I126" s="10"/>
      <x:c r="J126" s="35"/>
      <x:c r="K126" s="35"/>
    </x:row>
    <x:row r="127" hidden="1">
      <x:c r="A127" s="7"/>
      <x:c r="B127" s="7"/>
      <x:c r="C127" s="7"/>
      <x:c r="D127" s="7"/>
      <x:c r="E127" s="9"/>
      <x:c r="F127" s="7"/>
      <x:c r="G127" s="36"/>
      <x:c r="H127" s="36"/>
      <x:c r="I127" s="10"/>
      <x:c r="J127" s="35"/>
      <x:c r="K127" s="35"/>
    </x:row>
    <x:row r="128" hidden="1">
      <x:c r="A128" s="7"/>
      <x:c r="B128" s="7"/>
      <x:c r="C128" s="7"/>
      <x:c r="D128" s="7"/>
      <x:c r="E128" s="9"/>
      <x:c r="F128" s="7"/>
      <x:c r="G128" s="36"/>
      <x:c r="H128" s="36"/>
      <x:c r="I128" s="10"/>
      <x:c r="J128" s="35"/>
      <x:c r="K128" s="35"/>
    </x:row>
    <x:row r="129" hidden="1">
      <x:c r="A129" s="7"/>
      <x:c r="B129" s="7"/>
      <x:c r="C129" s="7"/>
      <x:c r="D129" s="7"/>
      <x:c r="E129" s="9"/>
      <x:c r="F129" s="7"/>
      <x:c r="G129" s="36"/>
      <x:c r="H129" s="36"/>
      <x:c r="I129" s="10"/>
      <x:c r="J129" s="35"/>
      <x:c r="K129" s="35"/>
    </x:row>
    <x:row r="130" hidden="1">
      <x:c r="A130" s="7"/>
      <x:c r="B130" s="7"/>
      <x:c r="C130" s="7"/>
      <x:c r="D130" s="7"/>
      <x:c r="E130" s="9"/>
      <x:c r="F130" s="7"/>
      <x:c r="G130" s="36"/>
      <x:c r="H130" s="36"/>
      <x:c r="I130" s="10"/>
      <x:c r="J130" s="35"/>
      <x:c r="K130" s="35"/>
    </x:row>
    <x:row r="131" hidden="1">
      <x:c r="A131" s="7"/>
      <x:c r="B131" s="7"/>
      <x:c r="C131" s="7"/>
      <x:c r="D131" s="7"/>
      <x:c r="E131" s="9"/>
      <x:c r="F131" s="7"/>
      <x:c r="G131" s="36"/>
      <x:c r="H131" s="36"/>
      <x:c r="I131" s="10"/>
      <x:c r="J131" s="35"/>
      <x:c r="K131" s="35"/>
    </x:row>
    <x:row r="132" hidden="1">
      <x:c r="A132" s="7"/>
      <x:c r="B132" s="7"/>
      <x:c r="C132" s="7"/>
      <x:c r="D132" s="7"/>
      <x:c r="E132" s="9"/>
      <x:c r="F132" s="7"/>
      <x:c r="G132" s="36"/>
      <x:c r="H132" s="36"/>
      <x:c r="I132" s="10"/>
      <x:c r="J132" s="35"/>
      <x:c r="K132" s="35"/>
    </x:row>
    <x:row r="133" hidden="1">
      <x:c r="A133" s="7"/>
      <x:c r="B133" s="7"/>
      <x:c r="C133" s="7"/>
      <x:c r="D133" s="7"/>
      <x:c r="E133" s="9"/>
      <x:c r="F133" s="7"/>
      <x:c r="G133" s="36"/>
      <x:c r="H133" s="36"/>
      <x:c r="I133" s="10"/>
      <x:c r="J133" s="35"/>
      <x:c r="K133" s="35"/>
    </x:row>
    <x:row r="134" hidden="1">
      <x:c r="A134" s="7"/>
      <x:c r="B134" s="7"/>
      <x:c r="C134" s="7"/>
      <x:c r="D134" s="7"/>
      <x:c r="E134" s="9"/>
      <x:c r="F134" s="7"/>
      <x:c r="G134" s="36"/>
      <x:c r="H134" s="36"/>
      <x:c r="I134" s="10"/>
      <x:c r="J134" s="35"/>
      <x:c r="K134" s="35"/>
    </x:row>
    <x:row r="135" hidden="1">
      <x:c r="A135" s="7"/>
      <x:c r="B135" s="7"/>
      <x:c r="C135" s="7"/>
      <x:c r="D135" s="7"/>
      <x:c r="E135" s="9"/>
      <x:c r="F135" s="7"/>
      <x:c r="G135" s="36"/>
      <x:c r="H135" s="36"/>
      <x:c r="I135" s="10"/>
      <x:c r="J135" s="35"/>
      <x:c r="K135" s="35"/>
    </x:row>
    <x:row r="136" hidden="1">
      <x:c r="A136" s="7"/>
      <x:c r="B136" s="7"/>
      <x:c r="C136" s="7"/>
      <x:c r="D136" s="7"/>
      <x:c r="E136" s="9"/>
      <x:c r="F136" s="7"/>
      <x:c r="G136" s="36"/>
      <x:c r="H136" s="36"/>
      <x:c r="I136" s="10"/>
      <x:c r="J136" s="35"/>
      <x:c r="K136" s="35"/>
    </x:row>
    <x:row r="137" hidden="1">
      <x:c r="A137" s="7"/>
      <x:c r="B137" s="7"/>
      <x:c r="C137" s="7"/>
      <x:c r="D137" s="7"/>
      <x:c r="E137" s="9"/>
      <x:c r="F137" s="7"/>
      <x:c r="G137" s="36"/>
      <x:c r="H137" s="36"/>
      <x:c r="I137" s="10"/>
      <x:c r="J137" s="35"/>
      <x:c r="K137" s="35"/>
    </x:row>
    <x:row r="138" hidden="1">
      <x:c r="A138" s="7"/>
      <x:c r="B138" s="7"/>
      <x:c r="C138" s="7"/>
      <x:c r="D138" s="7"/>
      <x:c r="E138" s="9"/>
      <x:c r="F138" s="7"/>
      <x:c r="G138" s="36"/>
      <x:c r="H138" s="36"/>
      <x:c r="I138" s="10"/>
      <x:c r="J138" s="35"/>
      <x:c r="K138" s="35"/>
    </x:row>
    <x:row r="139" hidden="1">
      <x:c r="A139" s="7"/>
      <x:c r="B139" s="7"/>
      <x:c r="C139" s="7"/>
      <x:c r="D139" s="7"/>
      <x:c r="E139" s="9"/>
      <x:c r="F139" s="7"/>
      <x:c r="G139" s="36"/>
      <x:c r="H139" s="36"/>
      <x:c r="I139" s="10"/>
      <x:c r="J139" s="35"/>
      <x:c r="K139" s="35"/>
    </x:row>
    <x:row r="140" hidden="1">
      <x:c r="A140" s="7"/>
      <x:c r="B140" s="7"/>
      <x:c r="C140" s="7"/>
      <x:c r="D140" s="7"/>
      <x:c r="E140" s="9"/>
      <x:c r="F140" s="7"/>
      <x:c r="G140" s="36"/>
      <x:c r="H140" s="36"/>
      <x:c r="I140" s="10"/>
      <x:c r="J140" s="35"/>
      <x:c r="K140" s="35"/>
    </x:row>
    <x:row r="141" hidden="1">
      <x:c r="A141" s="7"/>
      <x:c r="B141" s="7"/>
      <x:c r="C141" s="7"/>
      <x:c r="D141" s="7"/>
      <x:c r="E141" s="9"/>
      <x:c r="F141" s="7"/>
      <x:c r="G141" s="36"/>
      <x:c r="H141" s="36"/>
      <x:c r="I141" s="10"/>
      <x:c r="J141" s="35"/>
      <x:c r="K141" s="35"/>
    </x:row>
    <x:row r="142" hidden="1">
      <x:c r="A142" s="7"/>
      <x:c r="B142" s="7"/>
      <x:c r="C142" s="7"/>
      <x:c r="D142" s="7"/>
      <x:c r="E142" s="9"/>
      <x:c r="F142" s="7"/>
      <x:c r="G142" s="36"/>
      <x:c r="H142" s="36"/>
      <x:c r="I142" s="10"/>
      <x:c r="J142" s="35"/>
      <x:c r="K142" s="35"/>
    </x:row>
    <x:row r="143" hidden="1">
      <x:c r="A143" s="7"/>
      <x:c r="B143" s="7"/>
      <x:c r="C143" s="7"/>
      <x:c r="D143" s="7"/>
      <x:c r="E143" s="9"/>
      <x:c r="F143" s="7"/>
      <x:c r="G143" s="36"/>
      <x:c r="H143" s="36"/>
      <x:c r="I143" s="10"/>
      <x:c r="J143" s="35"/>
      <x:c r="K143" s="35"/>
    </x:row>
    <x:row r="144" hidden="1">
      <x:c r="A144" s="7"/>
      <x:c r="B144" s="7"/>
      <x:c r="C144" s="7"/>
      <x:c r="D144" s="7"/>
      <x:c r="E144" s="9"/>
      <x:c r="F144" s="7"/>
      <x:c r="G144" s="36"/>
      <x:c r="H144" s="36"/>
      <x:c r="I144" s="10"/>
      <x:c r="J144" s="35"/>
      <x:c r="K144" s="35"/>
    </x:row>
    <x:row r="145" hidden="1">
      <x:c r="A145" s="7"/>
      <x:c r="B145" s="7"/>
      <x:c r="C145" s="7"/>
      <x:c r="D145" s="7"/>
      <x:c r="E145" s="9"/>
      <x:c r="F145" s="7"/>
      <x:c r="G145" s="36"/>
      <x:c r="H145" s="36"/>
      <x:c r="I145" s="10"/>
      <x:c r="J145" s="35"/>
      <x:c r="K145" s="35"/>
    </x:row>
    <x:row r="146" hidden="1">
      <x:c r="A146" s="7"/>
      <x:c r="B146" s="7"/>
      <x:c r="C146" s="7"/>
      <x:c r="D146" s="7"/>
      <x:c r="E146" s="9"/>
      <x:c r="F146" s="7"/>
      <x:c r="G146" s="36"/>
      <x:c r="H146" s="36"/>
      <x:c r="I146" s="10"/>
      <x:c r="J146" s="35"/>
      <x:c r="K146" s="35"/>
    </x:row>
    <x:row r="147" hidden="1">
      <x:c r="A147" s="7"/>
      <x:c r="B147" s="7"/>
      <x:c r="C147" s="7"/>
      <x:c r="D147" s="7"/>
      <x:c r="E147" s="9"/>
      <x:c r="F147" s="7"/>
      <x:c r="G147" s="36"/>
      <x:c r="H147" s="36"/>
      <x:c r="I147" s="10"/>
      <x:c r="J147" s="35"/>
      <x:c r="K147" s="35"/>
    </x:row>
    <x:row r="148" hidden="1">
      <x:c r="A148" s="7"/>
      <x:c r="B148" s="7"/>
      <x:c r="C148" s="7"/>
      <x:c r="D148" s="7"/>
      <x:c r="E148" s="9"/>
      <x:c r="F148" s="7"/>
      <x:c r="G148" s="36"/>
      <x:c r="H148" s="36"/>
      <x:c r="I148" s="10"/>
      <x:c r="J148" s="35"/>
      <x:c r="K148" s="35"/>
    </x:row>
    <x:row r="149" hidden="1">
      <x:c r="A149" s="7"/>
      <x:c r="B149" s="7"/>
      <x:c r="C149" s="7"/>
      <x:c r="D149" s="7"/>
      <x:c r="E149" s="9"/>
      <x:c r="F149" s="7"/>
      <x:c r="G149" s="36"/>
      <x:c r="H149" s="36"/>
      <x:c r="I149" s="10"/>
      <x:c r="J149" s="35"/>
      <x:c r="K149" s="35"/>
    </x:row>
    <x:row r="150" hidden="1">
      <x:c r="A150" s="7"/>
      <x:c r="B150" s="7"/>
      <x:c r="C150" s="7"/>
      <x:c r="D150" s="7"/>
      <x:c r="E150" s="9"/>
      <x:c r="F150" s="7"/>
      <x:c r="G150" s="36"/>
      <x:c r="H150" s="36"/>
      <x:c r="I150" s="10"/>
      <x:c r="J150" s="35"/>
      <x:c r="K150" s="35"/>
    </x:row>
    <x:row r="151" hidden="1">
      <x:c r="A151" s="7"/>
      <x:c r="B151" s="7"/>
      <x:c r="C151" s="7"/>
      <x:c r="D151" s="7"/>
      <x:c r="E151" s="9"/>
      <x:c r="F151" s="7"/>
      <x:c r="G151" s="36"/>
      <x:c r="H151" s="36"/>
      <x:c r="I151" s="10"/>
      <x:c r="J151" s="35"/>
      <x:c r="K151" s="35"/>
    </x:row>
    <x:row r="152" hidden="1">
      <x:c r="A152" s="7"/>
      <x:c r="B152" s="7"/>
      <x:c r="C152" s="7"/>
      <x:c r="D152" s="7"/>
      <x:c r="E152" s="9"/>
      <x:c r="F152" s="7"/>
      <x:c r="G152" s="36"/>
      <x:c r="H152" s="36"/>
      <x:c r="I152" s="10"/>
      <x:c r="J152" s="35"/>
      <x:c r="K152" s="35"/>
    </x:row>
    <x:row r="153" hidden="1">
      <x:c r="A153" s="7"/>
      <x:c r="B153" s="7"/>
      <x:c r="C153" s="7"/>
      <x:c r="D153" s="7"/>
      <x:c r="E153" s="9"/>
      <x:c r="F153" s="7"/>
      <x:c r="G153" s="36"/>
      <x:c r="H153" s="36"/>
      <x:c r="I153" s="10"/>
      <x:c r="J153" s="35"/>
      <x:c r="K153" s="35"/>
    </x:row>
    <x:row r="154" hidden="1">
      <x:c r="A154" s="7"/>
      <x:c r="B154" s="7"/>
      <x:c r="C154" s="7"/>
      <x:c r="D154" s="7"/>
      <x:c r="E154" s="9"/>
      <x:c r="F154" s="7"/>
      <x:c r="G154" s="36"/>
      <x:c r="H154" s="36"/>
      <x:c r="I154" s="10"/>
      <x:c r="J154" s="35"/>
      <x:c r="K154" s="35"/>
    </x:row>
    <x:row r="155" hidden="1">
      <x:c r="A155" s="7"/>
      <x:c r="B155" s="7"/>
      <x:c r="C155" s="7"/>
      <x:c r="D155" s="7"/>
      <x:c r="E155" s="9"/>
      <x:c r="F155" s="7"/>
      <x:c r="G155" s="36"/>
      <x:c r="H155" s="36"/>
      <x:c r="I155" s="10"/>
      <x:c r="J155" s="35"/>
      <x:c r="K155" s="35"/>
    </x:row>
    <x:row r="156" hidden="1">
      <x:c r="A156" s="7"/>
      <x:c r="B156" s="7"/>
      <x:c r="C156" s="7"/>
      <x:c r="D156" s="7"/>
      <x:c r="E156" s="9"/>
      <x:c r="F156" s="7"/>
      <x:c r="G156" s="36"/>
      <x:c r="H156" s="36"/>
      <x:c r="I156" s="10"/>
      <x:c r="J156" s="35"/>
      <x:c r="K156" s="35"/>
    </x:row>
    <x:row r="157" hidden="1">
      <x:c r="A157" s="7"/>
      <x:c r="B157" s="7"/>
      <x:c r="C157" s="7"/>
      <x:c r="D157" s="7"/>
      <x:c r="E157" s="9"/>
      <x:c r="F157" s="7"/>
      <x:c r="G157" s="36"/>
      <x:c r="H157" s="36"/>
      <x:c r="I157" s="10"/>
      <x:c r="J157" s="35"/>
      <x:c r="K157" s="35"/>
    </x:row>
    <x:row r="158" hidden="1">
      <x:c r="A158" s="7"/>
      <x:c r="B158" s="7"/>
      <x:c r="C158" s="7"/>
      <x:c r="D158" s="7"/>
      <x:c r="E158" s="9"/>
      <x:c r="F158" s="7"/>
      <x:c r="G158" s="36"/>
      <x:c r="H158" s="36"/>
      <x:c r="I158" s="10"/>
      <x:c r="J158" s="35"/>
      <x:c r="K158" s="35"/>
    </x:row>
    <x:row r="159" hidden="1">
      <x:c r="A159" s="7"/>
      <x:c r="B159" s="7"/>
      <x:c r="C159" s="7"/>
      <x:c r="D159" s="7"/>
      <x:c r="E159" s="9"/>
      <x:c r="F159" s="7"/>
      <x:c r="G159" s="36"/>
      <x:c r="H159" s="36"/>
      <x:c r="I159" s="10"/>
      <x:c r="J159" s="35"/>
      <x:c r="K159" s="35"/>
    </x:row>
    <x:row r="160" hidden="1">
      <x:c r="A160" s="7"/>
      <x:c r="B160" s="7"/>
      <x:c r="C160" s="7"/>
      <x:c r="D160" s="7"/>
      <x:c r="E160" s="9"/>
      <x:c r="F160" s="7"/>
      <x:c r="G160" s="36"/>
      <x:c r="H160" s="36"/>
      <x:c r="I160" s="10"/>
      <x:c r="J160" s="35"/>
      <x:c r="K160" s="35"/>
    </x:row>
    <x:row r="161" hidden="1">
      <x:c r="A161" s="7"/>
      <x:c r="B161" s="7"/>
      <x:c r="C161" s="7"/>
      <x:c r="D161" s="7"/>
      <x:c r="E161" s="9"/>
      <x:c r="F161" s="7"/>
      <x:c r="G161" s="36"/>
      <x:c r="H161" s="36"/>
      <x:c r="I161" s="10"/>
      <x:c r="J161" s="35"/>
      <x:c r="K161" s="35"/>
    </x:row>
    <x:row r="162" hidden="1">
      <x:c r="A162" s="7"/>
      <x:c r="B162" s="7"/>
      <x:c r="C162" s="7"/>
      <x:c r="D162" s="7"/>
      <x:c r="E162" s="9"/>
      <x:c r="F162" s="7"/>
      <x:c r="G162" s="36"/>
      <x:c r="H162" s="36"/>
      <x:c r="I162" s="10"/>
      <x:c r="J162" s="35"/>
      <x:c r="K162" s="35"/>
    </x:row>
    <x:row r="163" hidden="1">
      <x:c r="A163" s="37"/>
      <x:c r="B163" s="37"/>
      <x:c r="C163" s="38"/>
      <x:c r="D163" s="38"/>
      <x:c r="E163" s="34"/>
      <x:c r="F163" s="39"/>
      <x:c r="G163" s="35" t="n">
        <x:f>SUM(G5:G24)</x:f>
        <x:v>245699.68000000002</x:v>
      </x:c>
      <x:c r="H163" s="35"/>
      <x:c r="I163" s="35"/>
      <x:c r="J163" s="35"/>
      <x:c r="K163" s="35"/>
    </x:row>
    <x:row r="165">
      <x:c r="A165" s="112" t="s">
        <x:v>50</x:v>
      </x:c>
      <x:c r="B165" s="112" t="s">
        <x:v>2</x:v>
      </x:c>
      <x:c r="C165" s="124" t="s">
        <x:v>327</x:v>
      </x:c>
    </x:row>
    <x:row r="166">
      <x:c r="A166" s="112"/>
      <x:c r="B166" s="112"/>
      <x:c r="C166" s="124"/>
    </x:row>
    <x:row r="167">
      <x:c r="A167" s="13" t="s">
        <x:v>164</x:v>
      </x:c>
      <x:c r="B167" s="13" t="s">
        <x:v>75</x:v>
      </x:c>
      <x:c r="C167" s="19" t="e">
        <x:f>项目分类明细汇总表1月!$D$22*研发人员工时统计合计!J43</x:f>
        <x:v>#NAME?</x:v>
      </x:c>
    </x:row>
    <x:row r="168">
      <x:c r="A168" s="13" t="s">
        <x:v>165</x:v>
      </x:c>
      <x:c r="B168" s="13" t="s">
        <x:v>76</x:v>
      </x:c>
      <x:c r="C168" s="19" t="e">
        <x:f>项目分类明细汇总表1月!$D$22*研发人员工时统计合计!J44</x:f>
        <x:v>#NAME?</x:v>
      </x:c>
    </x:row>
    <x:row r="169">
      <x:c r="A169" s="13" t="s">
        <x:v>166</x:v>
      </x:c>
      <x:c r="B169" s="13" t="s">
        <x:v>77</x:v>
      </x:c>
      <x:c r="C169" s="19" t="e">
        <x:f>项目分类明细汇总表1月!$D$22*研发人员工时统计合计!J45</x:f>
        <x:v>#NAME?</x:v>
      </x:c>
    </x:row>
    <x:row r="170">
      <x:c r="A170" s="13" t="s">
        <x:v>167</x:v>
      </x:c>
      <x:c r="B170" s="13" t="s">
        <x:v>78</x:v>
      </x:c>
      <x:c r="C170" s="19" t="e">
        <x:f>项目分类明细汇总表1月!$D$22*研发人员工时统计合计!J46</x:f>
        <x:v>#NAME?</x:v>
      </x:c>
    </x:row>
    <x:row r="171">
      <x:c r="A171" s="13" t="s">
        <x:v>168</x:v>
      </x:c>
      <x:c r="B171" s="13" t="s">
        <x:v>79</x:v>
      </x:c>
      <x:c r="C171" s="19" t="e">
        <x:f>项目分类明细汇总表1月!$D$22*研发人员工时统计合计!J47</x:f>
        <x:v>#NAME?</x:v>
      </x:c>
    </x:row>
    <x:row r="172">
      <x:c r="A172" s="13" t="s">
        <x:v>169</x:v>
      </x:c>
      <x:c r="B172" s="13" t="s">
        <x:v>80</x:v>
      </x:c>
      <x:c r="C172" s="19" t="e">
        <x:f>项目分类明细汇总表1月!$D$22*研发人员工时统计合计!J48</x:f>
        <x:v>#NAME?</x:v>
      </x:c>
    </x:row>
    <x:row r="173">
      <x:c r="A173" s="13" t="s">
        <x:v>170</x:v>
      </x:c>
      <x:c r="B173" s="13" t="s">
        <x:v>81</x:v>
      </x:c>
      <x:c r="C173" s="19" t="e">
        <x:f>项目分类明细汇总表1月!$D$22*研发人员工时统计合计!J49</x:f>
        <x:v>#NAME?</x:v>
      </x:c>
    </x:row>
    <x:row r="174">
      <x:c r="A174" s="13" t="s">
        <x:v>171</x:v>
      </x:c>
      <x:c r="B174" s="13" t="s">
        <x:v>82</x:v>
      </x:c>
      <x:c r="C174" s="19" t="e">
        <x:f>项目分类明细汇总表1月!$D$22*研发人员工时统计合计!J50</x:f>
        <x:v>#NAME?</x:v>
      </x:c>
    </x:row>
    <x:row r="175">
      <x:c r="A175" s="13" t="s">
        <x:v>172</x:v>
      </x:c>
      <x:c r="B175" s="13" t="s">
        <x:v>83</x:v>
      </x:c>
      <x:c r="C175" s="19" t="e">
        <x:f>项目分类明细汇总表1月!$D$22*研发人员工时统计合计!J51</x:f>
        <x:v>#NAME?</x:v>
      </x:c>
    </x:row>
    <x:row r="176">
      <x:c r="A176" s="13" t="s">
        <x:v>173</x:v>
      </x:c>
      <x:c r="B176" s="13" t="s">
        <x:v>84</x:v>
      </x:c>
      <x:c r="C176" s="19" t="e">
        <x:f>项目分类明细汇总表1月!$D$22*研发人员工时统计合计!J52</x:f>
        <x:v>#NAME?</x:v>
      </x:c>
    </x:row>
    <x:row r="177">
      <x:c r="A177" s="13" t="s">
        <x:v>174</x:v>
      </x:c>
      <x:c r="B177" s="13" t="s">
        <x:v>85</x:v>
      </x:c>
      <x:c r="C177" s="19" t="e">
        <x:f>项目分类明细汇总表1月!$D$22*研发人员工时统计合计!J53</x:f>
        <x:v>#NAME?</x:v>
      </x:c>
    </x:row>
    <x:row r="178">
      <x:c r="A178" s="13" t="s">
        <x:v>273</x:v>
      </x:c>
      <x:c r="B178" s="13" t="s">
        <x:v>86</x:v>
      </x:c>
      <x:c r="C178" s="19" t="e">
        <x:f>项目分类明细汇总表1月!$D$22*研发人员工时统计合计!J54</x:f>
        <x:v>#NAME?</x:v>
      </x:c>
    </x:row>
    <x:row r="179">
      <x:c r="A179" s="13" t="s">
        <x:v>176</x:v>
      </x:c>
      <x:c r="B179" s="13" t="s">
        <x:v>87</x:v>
      </x:c>
      <x:c r="C179" s="19" t="e">
        <x:f>项目分类明细汇总表1月!$D$22*研发人员工时统计合计!J55</x:f>
        <x:v>#NAME?</x:v>
      </x:c>
    </x:row>
    <x:row r="180">
      <x:c r="A180" s="13" t="s">
        <x:v>177</x:v>
      </x:c>
      <x:c r="B180" s="13" t="s">
        <x:v>88</x:v>
      </x:c>
      <x:c r="C180" s="19" t="e">
        <x:f>项目分类明细汇总表1月!$D$22*研发人员工时统计合计!J56</x:f>
        <x:v>#NAME?</x:v>
      </x:c>
    </x:row>
    <x:row r="181">
      <x:c r="A181" s="13" t="s">
        <x:v>168</x:v>
      </x:c>
      <x:c r="B181" s="13" t="s">
        <x:v>89</x:v>
      </x:c>
      <x:c r="C181" s="19" t="e">
        <x:f>项目分类明细汇总表1月!$D$22*研发人员工时统计合计!J57</x:f>
        <x:v>#NAME?</x:v>
      </x:c>
    </x:row>
    <x:row r="182" ht="17">
      <x:c r="A182" s="13" t="s">
        <x:v>274</x:v>
      </x:c>
      <x:c r="B182" s="15" t="s">
        <x:v>90</x:v>
      </x:c>
      <x:c r="C182" s="19" t="e">
        <x:f>项目分类明细汇总表1月!$D$22*研发人员工时统计合计!J58</x:f>
        <x:v>#NAME?</x:v>
      </x:c>
    </x:row>
    <x:row r="183" ht="17">
      <x:c r="A183" s="13" t="s">
        <x:v>275</x:v>
      </x:c>
      <x:c r="B183" s="15" t="s">
        <x:v>19</x:v>
      </x:c>
      <x:c r="C183" s="19" t="e">
        <x:f>项目分类明细汇总表1月!$D$22*研发人员工时统计合计!J59</x:f>
        <x:v>#NAME?</x:v>
      </x:c>
    </x:row>
    <x:row r="184" ht="17">
      <x:c r="A184" s="13" t="s">
        <x:v>276</x:v>
      </x:c>
      <x:c r="B184" s="15" t="s">
        <x:v>34</x:v>
      </x:c>
      <x:c r="C184" s="19" t="e">
        <x:f>项目分类明细汇总表1月!$D$22*研发人员工时统计合计!J60</x:f>
        <x:v>#NAME?</x:v>
      </x:c>
    </x:row>
    <x:row r="185">
      <x:c r="A185" s="111" t="s">
        <x:v>49</x:v>
      </x:c>
      <x:c r="B185" s="111"/>
      <x:c r="C185" s="19" t="e">
        <x:f>SUM(C167:C184)</x:f>
        <x:v>#NAME?</x:v>
      </x:c>
    </x:row>
  </x:sheetData>
  <x:mergeCells>
    <x:mergeCell ref="A1:K1"/>
    <x:mergeCell ref="A2:C2"/>
    <x:mergeCell ref="D2:K2"/>
    <x:mergeCell ref="A185:B185"/>
    <x:mergeCell ref="A165:A166"/>
    <x:mergeCell ref="B165:B166"/>
    <x:mergeCell ref="C165:C166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baseColWidth="10" defaultColWidth="9" defaultRowHeight="14"/>
  <x:cols>
    <x:col min="1" max="1" width="19.1640625" customWidth="1"/>
    <x:col min="2" max="2" width="28.83203125" customWidth="1"/>
    <x:col min="3" max="3" width="34.6640625" customWidth="1"/>
    <x:col min="4" max="4" width="10.1640625" customWidth="1"/>
    <x:col min="5" max="5" width="6.5" customWidth="1"/>
    <x:col min="6" max="6" width="71.5" customWidth="1"/>
    <x:col min="7" max="7" width="24.33203125" customWidth="1"/>
  </x:cols>
  <x:sheetData>
    <x:row r="1" s="1" customFormat="1" ht="34.75" customHeight="1">
      <x:c r="A1" s="133" t="s">
        <x:v>450</x:v>
      </x:c>
      <x:c r="B1" s="133"/>
      <x:c r="C1" s="133"/>
      <x:c r="D1" s="133"/>
      <x:c r="E1" s="133"/>
      <x:c r="F1" s="133"/>
      <x:c r="G1" s="133"/>
      <x:c r="H1" s="133"/>
      <x:c r="I1" s="133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</x:row>
    <x:row r="2" s="1" customFormat="1">
      <x:c r="A2" s="114" t="e">
        <x:v>#NAME?</x:v>
      </x:c>
      <x:c r="B2" s="134"/>
      <x:c r="C2" s="134"/>
      <x:c r="D2" s="135"/>
      <x:c r="E2" s="135"/>
      <x:c r="F2" s="135"/>
      <x:c r="G2" s="135"/>
      <x:c r="H2" s="135"/>
      <x:c r="I2" s="135"/>
      <x:c r="J2" s="16"/>
      <x:c r="K2" s="17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  <x:c r="W2" s="16"/>
    </x:row>
    <x:row r="3" s="1" customFormat="1">
      <x:c r="A3" s="1" t="s">
        <x:v>295</x:v>
      </x:c>
      <x:c r="B3" s="2"/>
      <x:c r="C3" s="3"/>
      <x:c r="D3" s="4" t="s">
        <x:v>296</x:v>
      </x:c>
      <x:c r="E3" s="5"/>
      <x:c r="F3" s="6" t="n">
        <x:f>G38</x:f>
        <x:v>0</x:v>
      </x:c>
      <x:c r="G3" s="5"/>
      <x:c r="I3" s="18"/>
      <x:c r="J3" s="16"/>
      <x:c r="K3" s="16"/>
      <x:c r="L3" s="17"/>
      <x:c r="M3" s="16"/>
      <x:c r="N3" s="16"/>
      <x:c r="O3" s="16"/>
      <x:c r="P3" s="16"/>
      <x:c r="Q3" s="16"/>
      <x:c r="R3" s="16"/>
      <x:c r="S3" s="16"/>
      <x:c r="T3" s="16"/>
      <x:c r="U3" s="16"/>
      <x:c r="V3" s="16"/>
      <x:c r="W3" s="16"/>
    </x:row>
    <x:row r="4" ht="20" customHeight="1">
      <x:c r="A4" s="7" t="s">
        <x:v>297</x:v>
      </x:c>
      <x:c r="B4" s="7" t="s">
        <x:v>298</x:v>
      </x:c>
      <x:c r="C4" s="7" t="s">
        <x:v>299</x:v>
      </x:c>
      <x:c r="D4" s="7" t="s">
        <x:v>300</x:v>
      </x:c>
      <x:c r="E4" s="7" t="s">
        <x:v>301</x:v>
      </x:c>
      <x:c r="F4" s="7" t="s">
        <x:v>302</x:v>
      </x:c>
      <x:c r="G4" s="7" t="s">
        <x:v>303</x:v>
      </x:c>
      <x:c r="H4" s="8" t="s">
        <x:v>93</x:v>
      </x:c>
      <x:c r="I4" s="8" t="s">
        <x:v>304</x:v>
      </x:c>
    </x:row>
    <x:row r="5" ht="20" customHeight="1">
      <x:c r="A5" t="s">
        <x:v>372</x:v>
      </x:c>
      <x:c r="B5" t="s">
        <x:v>306</x:v>
      </x:c>
      <x:c r="C5" t="s">
        <x:v>311</x:v>
      </x:c>
      <x:c r="F5" t="s">
        <x:v>373</x:v>
      </x:c>
    </x:row>
    <x:row r="6" ht="20" customHeight="1">
      <x:c r="A6" t="s">
        <x:v>372</x:v>
      </x:c>
      <x:c r="B6" t="s">
        <x:v>306</x:v>
      </x:c>
      <x:c r="C6" t="s">
        <x:v>311</x:v>
      </x:c>
      <x:c r="D6" t="s">
        <x:v>308</x:v>
      </x:c>
      <x:c r="E6" s="21">
        <x:v>48</x:v>
      </x:c>
      <x:c r="F6" t="s">
        <x:v>451</x:v>
      </x:c>
      <x:c r="G6" s="20"/>
      <x:c r="J6" s="20"/>
    </x:row>
    <x:row r="7" ht="20" customHeight="1">
      <x:c r="A7" t="s">
        <x:v>452</x:v>
      </x:c>
      <x:c r="B7" t="s">
        <x:v>306</x:v>
      </x:c>
      <x:c r="C7" t="s">
        <x:v>311</x:v>
      </x:c>
      <x:c r="D7" t="s">
        <x:v>308</x:v>
      </x:c>
      <x:c r="E7" s="21">
        <x:v>35</x:v>
      </x:c>
      <x:c r="F7" t="s">
        <x:v>453</x:v>
      </x:c>
      <x:c r="G7" s="20"/>
      <x:c r="J7" s="20"/>
    </x:row>
    <x:row r="8" ht="20" customHeight="1">
      <x:c r="A8" t="s">
        <x:v>452</x:v>
      </x:c>
      <x:c r="B8" t="s">
        <x:v>306</x:v>
      </x:c>
      <x:c r="C8" t="s">
        <x:v>311</x:v>
      </x:c>
      <x:c r="D8" t="s">
        <x:v>308</x:v>
      </x:c>
      <x:c r="E8" s="21">
        <x:v>35</x:v>
      </x:c>
      <x:c r="F8" t="s">
        <x:v>454</x:v>
      </x:c>
      <x:c r="G8" s="20"/>
      <x:c r="J8" s="20"/>
    </x:row>
    <x:row r="9" ht="20" customHeight="1">
      <x:c r="A9" t="s">
        <x:v>329</x:v>
      </x:c>
      <x:c r="B9" t="s">
        <x:v>306</x:v>
      </x:c>
      <x:c r="C9" t="s">
        <x:v>311</x:v>
      </x:c>
      <x:c r="D9" t="s">
        <x:v>308</x:v>
      </x:c>
      <x:c r="E9" s="21">
        <x:v>211</x:v>
      </x:c>
      <x:c r="F9" t="s">
        <x:v>322</x:v>
      </x:c>
      <x:c r="H9" s="20"/>
      <x:c r="J9" s="20"/>
    </x:row>
    <x:row r="10" ht="20" customHeight="1">
      <x:c r="A10" t="s">
        <x:v>329</x:v>
      </x:c>
      <x:c r="B10" t="s">
        <x:v>306</x:v>
      </x:c>
      <x:c r="C10" t="s">
        <x:v>311</x:v>
      </x:c>
      <x:c r="D10" t="s">
        <x:v>308</x:v>
      </x:c>
      <x:c r="E10" s="21">
        <x:v>211</x:v>
      </x:c>
      <x:c r="F10" t="s">
        <x:v>322</x:v>
      </x:c>
      <x:c r="H10" s="20"/>
    </x:row>
    <x:row r="11" ht="20" customHeight="1">
      <x:c r="B11" t="s">
        <x:v>306</x:v>
      </x:c>
      <x:c r="C11" t="s">
        <x:v>311</x:v>
      </x:c>
      <x:c r="F11" t="s">
        <x:v>376</x:v>
      </x:c>
      <x:c r="G11" s="20"/>
      <x:c r="H11" s="20"/>
    </x:row>
    <x:row r="12" ht="20" customHeight="1">
      <x:c r="B12" t="s">
        <x:v>306</x:v>
      </x:c>
      <x:c r="C12" t="s">
        <x:v>311</x:v>
      </x:c>
      <x:c r="F12" t="s">
        <x:v>377</x:v>
      </x:c>
      <x:c r="G12" s="20"/>
      <x:c r="H12" s="20"/>
    </x:row>
    <x:row r="13" ht="20" customHeight="1">
      <x:c r="A13" t="s">
        <x:v>313</x:v>
      </x:c>
      <x:c r="B13" t="s">
        <x:v>306</x:v>
      </x:c>
      <x:c r="C13" t="s">
        <x:v>307</x:v>
      </x:c>
      <x:c r="D13" t="s">
        <x:v>308</x:v>
      </x:c>
      <x:c r="E13" s="21">
        <x:v>5</x:v>
      </x:c>
      <x:c r="F13" t="s">
        <x:v>455</x:v>
      </x:c>
      <x:c r="G13" s="20"/>
      <x:c r="J13" s="20"/>
    </x:row>
    <x:row r="14" ht="20" customHeight="1">
      <x:c r="A14" t="s">
        <x:v>360</x:v>
      </x:c>
      <x:c r="B14" t="s">
        <x:v>306</x:v>
      </x:c>
      <x:c r="C14" t="s">
        <x:v>307</x:v>
      </x:c>
      <x:c r="D14" t="s">
        <x:v>308</x:v>
      </x:c>
      <x:c r="E14" s="21">
        <x:v>112</x:v>
      </x:c>
      <x:c r="F14" t="s">
        <x:v>456</x:v>
      </x:c>
      <x:c r="G14" s="20"/>
      <x:c r="J14" s="20"/>
    </x:row>
    <x:row r="15" ht="20" customHeight="1">
      <x:c r="A15" t="s">
        <x:v>457</x:v>
      </x:c>
      <x:c r="B15" t="s">
        <x:v>306</x:v>
      </x:c>
      <x:c r="C15" t="s">
        <x:v>307</x:v>
      </x:c>
      <x:c r="D15" t="s">
        <x:v>308</x:v>
      </x:c>
      <x:c r="E15" s="21">
        <x:v>111</x:v>
      </x:c>
      <x:c r="F15" t="s">
        <x:v>458</x:v>
      </x:c>
      <x:c r="G15" s="20"/>
      <x:c r="J15" s="20"/>
    </x:row>
    <x:row r="16" ht="20" customHeight="1">
      <x:c r="A16" t="s">
        <x:v>457</x:v>
      </x:c>
      <x:c r="B16" t="s">
        <x:v>306</x:v>
      </x:c>
      <x:c r="C16" t="s">
        <x:v>307</x:v>
      </x:c>
      <x:c r="D16" t="s">
        <x:v>308</x:v>
      </x:c>
      <x:c r="E16" s="21">
        <x:v>111</x:v>
      </x:c>
      <x:c r="F16" t="s">
        <x:v>459</x:v>
      </x:c>
      <x:c r="G16" s="20"/>
      <x:c r="J16" s="20"/>
    </x:row>
    <x:row r="17" ht="20" customHeight="1">
      <x:c r="A17" t="s">
        <x:v>331</x:v>
      </x:c>
      <x:c r="B17" t="s">
        <x:v>306</x:v>
      </x:c>
      <x:c r="C17" t="s">
        <x:v>307</x:v>
      </x:c>
      <x:c r="D17" t="s">
        <x:v>308</x:v>
      </x:c>
      <x:c r="E17" s="21">
        <x:v>190</x:v>
      </x:c>
      <x:c r="F17" t="s">
        <x:v>322</x:v>
      </x:c>
      <x:c r="H17" s="20"/>
      <x:c r="J17" s="20"/>
    </x:row>
    <x:row r="18" ht="20" customHeight="1">
      <x:c r="A18" t="s">
        <x:v>331</x:v>
      </x:c>
      <x:c r="B18" t="s">
        <x:v>306</x:v>
      </x:c>
      <x:c r="C18" t="s">
        <x:v>307</x:v>
      </x:c>
      <x:c r="D18" t="s">
        <x:v>308</x:v>
      </x:c>
      <x:c r="E18" s="21">
        <x:v>190</x:v>
      </x:c>
      <x:c r="F18" t="s">
        <x:v>322</x:v>
      </x:c>
      <x:c r="H18" s="20"/>
    </x:row>
    <x:row r="19" ht="20" customHeight="1">
      <x:c r="B19" t="s">
        <x:v>306</x:v>
      </x:c>
      <x:c r="C19" t="s">
        <x:v>307</x:v>
      </x:c>
      <x:c r="F19" t="s">
        <x:v>376</x:v>
      </x:c>
      <x:c r="G19" s="20"/>
      <x:c r="H19" s="20"/>
    </x:row>
    <x:row r="20" ht="20" customHeight="1">
      <x:c r="B20" t="s">
        <x:v>306</x:v>
      </x:c>
      <x:c r="C20" t="s">
        <x:v>307</x:v>
      </x:c>
      <x:c r="F20" t="s">
        <x:v>377</x:v>
      </x:c>
      <x:c r="G20" s="20"/>
      <x:c r="H20" s="20"/>
    </x:row>
    <x:row r="21" ht="20" customHeight="1">
      <x:c r="A21" t="s">
        <x:v>460</x:v>
      </x:c>
      <x:c r="B21" t="s">
        <x:v>306</x:v>
      </x:c>
      <x:c r="C21" t="s">
        <x:v>320</x:v>
      </x:c>
      <x:c r="D21" t="s">
        <x:v>308</x:v>
      </x:c>
      <x:c r="E21" s="21">
        <x:v>178</x:v>
      </x:c>
      <x:c r="F21" t="s">
        <x:v>461</x:v>
      </x:c>
      <x:c r="G21" s="20"/>
      <x:c r="J21" s="20"/>
    </x:row>
    <x:row r="22" ht="20" customHeight="1">
      <x:c r="A22" t="s">
        <x:v>460</x:v>
      </x:c>
      <x:c r="B22" t="s">
        <x:v>306</x:v>
      </x:c>
      <x:c r="C22" t="s">
        <x:v>320</x:v>
      </x:c>
      <x:c r="D22" t="s">
        <x:v>308</x:v>
      </x:c>
      <x:c r="E22" s="21">
        <x:v>178</x:v>
      </x:c>
      <x:c r="F22" t="s">
        <x:v>462</x:v>
      </x:c>
      <x:c r="G22" s="20"/>
      <x:c r="J22" s="20"/>
    </x:row>
    <x:row r="23" ht="20" customHeight="1">
      <x:c r="A23" t="s">
        <x:v>319</x:v>
      </x:c>
      <x:c r="B23" t="s">
        <x:v>306</x:v>
      </x:c>
      <x:c r="C23" t="s">
        <x:v>320</x:v>
      </x:c>
      <x:c r="D23" t="s">
        <x:v>308</x:v>
      </x:c>
      <x:c r="E23" s="21">
        <x:v>225</x:v>
      </x:c>
      <x:c r="F23" t="s">
        <x:v>322</x:v>
      </x:c>
      <x:c r="H23" s="20"/>
    </x:row>
    <x:row r="24" ht="20" customHeight="1">
      <x:c r="B24" t="s">
        <x:v>306</x:v>
      </x:c>
      <x:c r="C24" t="s">
        <x:v>320</x:v>
      </x:c>
      <x:c r="F24" t="s">
        <x:v>376</x:v>
      </x:c>
      <x:c r="G24" s="20"/>
      <x:c r="H24" s="20"/>
    </x:row>
    <x:row r="25" ht="20" customHeight="1">
      <x:c r="B25" t="s">
        <x:v>306</x:v>
      </x:c>
      <x:c r="C25" t="s">
        <x:v>320</x:v>
      </x:c>
      <x:c r="F25" t="s">
        <x:v>377</x:v>
      </x:c>
      <x:c r="G25" s="20"/>
      <x:c r="H25" s="20"/>
    </x:row>
    <x:row r="26" ht="20" customHeight="1">
      <x:c r="A26" s="7"/>
      <x:c r="B26" s="7"/>
      <x:c r="C26" s="7"/>
      <x:c r="D26" s="7"/>
      <x:c r="E26" s="9"/>
      <x:c r="F26" s="7"/>
      <x:c r="G26" s="10"/>
      <x:c r="H26" s="7"/>
      <x:c r="I26" s="7"/>
    </x:row>
    <x:row r="27" ht="20" customHeight="1">
      <x:c r="A27" s="7"/>
      <x:c r="B27" s="7"/>
      <x:c r="C27" s="7"/>
      <x:c r="D27" s="7"/>
      <x:c r="E27" s="9"/>
      <x:c r="F27" s="7"/>
      <x:c r="G27" s="10"/>
      <x:c r="H27" s="7"/>
      <x:c r="I27" s="7"/>
    </x:row>
    <x:row r="28" ht="20" customHeight="1">
      <x:c r="A28" s="7"/>
      <x:c r="B28" s="7"/>
      <x:c r="C28" s="7"/>
      <x:c r="D28" s="7"/>
      <x:c r="E28" s="9"/>
      <x:c r="F28" s="7"/>
      <x:c r="G28" s="10"/>
      <x:c r="H28" s="7"/>
      <x:c r="I28" s="7"/>
    </x:row>
    <x:row r="29" ht="20" customHeight="1">
      <x:c r="A29" s="7"/>
      <x:c r="B29" s="7"/>
      <x:c r="C29" s="7"/>
      <x:c r="D29" s="7"/>
      <x:c r="E29" s="9"/>
      <x:c r="F29" s="7"/>
      <x:c r="G29" s="10"/>
      <x:c r="H29" s="7"/>
      <x:c r="I29" s="7"/>
    </x:row>
    <x:row r="30" ht="20" customHeight="1">
      <x:c r="A30" s="7"/>
      <x:c r="B30" s="7"/>
      <x:c r="C30" s="7"/>
      <x:c r="D30" s="7"/>
      <x:c r="E30" s="9"/>
      <x:c r="F30" s="7"/>
      <x:c r="G30" s="10"/>
      <x:c r="H30" s="7"/>
      <x:c r="I30" s="7"/>
    </x:row>
    <x:row r="31" ht="20" customHeight="1">
      <x:c r="A31" s="7"/>
      <x:c r="B31" s="7"/>
      <x:c r="C31" s="7"/>
      <x:c r="D31" s="7"/>
      <x:c r="E31" s="9"/>
      <x:c r="F31" s="7"/>
      <x:c r="G31" s="10"/>
      <x:c r="H31" s="7"/>
      <x:c r="I31" s="7"/>
    </x:row>
    <x:row r="32" ht="20" customHeight="1">
      <x:c r="A32" s="7"/>
      <x:c r="B32" s="7"/>
      <x:c r="C32" s="7"/>
      <x:c r="D32" s="7"/>
      <x:c r="E32" s="9"/>
      <x:c r="F32" s="7"/>
      <x:c r="G32" s="10"/>
      <x:c r="H32" s="7"/>
      <x:c r="I32" s="7"/>
    </x:row>
    <x:row r="33" ht="20" customHeight="1">
      <x:c r="A33" s="7"/>
      <x:c r="B33" s="7"/>
      <x:c r="C33" s="7"/>
      <x:c r="D33" s="7"/>
      <x:c r="E33" s="9"/>
      <x:c r="F33" s="7"/>
      <x:c r="G33" s="10"/>
      <x:c r="H33" s="7"/>
      <x:c r="I33" s="7"/>
    </x:row>
    <x:row r="34" ht="20" customHeight="1">
      <x:c r="A34" s="7"/>
      <x:c r="B34" s="7"/>
      <x:c r="C34" s="7"/>
      <x:c r="D34" s="7"/>
      <x:c r="E34" s="9"/>
      <x:c r="F34" s="7"/>
      <x:c r="G34" s="10"/>
      <x:c r="H34" s="7"/>
      <x:c r="I34" s="7"/>
    </x:row>
    <x:row r="35" ht="20" customHeight="1">
      <x:c r="A35" s="7"/>
      <x:c r="B35" s="7"/>
      <x:c r="C35" s="7"/>
      <x:c r="D35" s="7"/>
      <x:c r="E35" s="9"/>
      <x:c r="F35" s="7"/>
      <x:c r="G35" s="10"/>
      <x:c r="H35" s="7"/>
      <x:c r="I35" s="7"/>
    </x:row>
    <x:row r="36" ht="20" customHeight="1">
      <x:c r="A36" s="7"/>
      <x:c r="B36" s="7"/>
      <x:c r="C36" s="7"/>
      <x:c r="D36" s="7"/>
      <x:c r="E36" s="9"/>
      <x:c r="F36" s="7"/>
      <x:c r="G36" s="10"/>
      <x:c r="H36" s="7"/>
      <x:c r="I36" s="7"/>
    </x:row>
    <x:row r="37" ht="20" customHeight="1">
      <x:c r="A37" s="7"/>
      <x:c r="B37" s="7"/>
      <x:c r="C37" s="7"/>
      <x:c r="D37" s="7"/>
      <x:c r="E37" s="9"/>
      <x:c r="F37" s="7"/>
      <x:c r="G37" s="10"/>
      <x:c r="H37" s="7"/>
      <x:c r="I37" s="7"/>
    </x:row>
    <x:row r="38">
      <x:c r="A38" s="111" t="s">
        <x:v>49</x:v>
      </x:c>
      <x:c r="B38" s="111"/>
      <x:c r="C38" s="111"/>
      <x:c r="D38" s="111"/>
      <x:c r="E38" s="111"/>
      <x:c r="F38" s="111"/>
      <x:c r="G38" s="19" t="n">
        <x:f>SUM(G5:G7)</x:f>
        <x:v>0</x:v>
      </x:c>
      <x:c r="H38" s="7"/>
      <x:c r="I38" s="7"/>
    </x:row>
    <x:row r="41">
      <x:c r="A41" s="112" t="s">
        <x:v>50</x:v>
      </x:c>
      <x:c r="B41" s="112" t="s">
        <x:v>2</x:v>
      </x:c>
      <x:c r="C41" s="124" t="s">
        <x:v>327</x:v>
      </x:c>
    </x:row>
    <x:row r="42">
      <x:c r="A42" s="112"/>
      <x:c r="B42" s="112"/>
      <x:c r="C42" s="124"/>
    </x:row>
    <x:row r="43">
      <x:c r="A43" s="13" t="s">
        <x:v>164</x:v>
      </x:c>
      <x:c r="B43" s="13" t="s">
        <x:v>75</x:v>
      </x:c>
      <x:c r="C43" s="19" t="e">
        <x:f>项目分类明细汇总表1月!$D$23*研发人员工时统计合计!J43</x:f>
        <x:v>#NAME?</x:v>
      </x:c>
    </x:row>
    <x:row r="44">
      <x:c r="A44" s="13" t="s">
        <x:v>165</x:v>
      </x:c>
      <x:c r="B44" s="13" t="s">
        <x:v>76</x:v>
      </x:c>
      <x:c r="C44" s="19" t="e">
        <x:f>项目分类明细汇总表1月!$D$23*研发人员工时统计合计!J44</x:f>
        <x:v>#NAME?</x:v>
      </x:c>
    </x:row>
    <x:row r="45">
      <x:c r="A45" s="13" t="s">
        <x:v>166</x:v>
      </x:c>
      <x:c r="B45" s="13" t="s">
        <x:v>77</x:v>
      </x:c>
      <x:c r="C45" s="19" t="e">
        <x:f>项目分类明细汇总表1月!$D$23*研发人员工时统计合计!J45</x:f>
        <x:v>#NAME?</x:v>
      </x:c>
    </x:row>
    <x:row r="46">
      <x:c r="A46" s="13" t="s">
        <x:v>167</x:v>
      </x:c>
      <x:c r="B46" s="13" t="s">
        <x:v>78</x:v>
      </x:c>
      <x:c r="C46" s="19" t="e">
        <x:f>项目分类明细汇总表1月!$D$23*研发人员工时统计合计!J46</x:f>
        <x:v>#NAME?</x:v>
      </x:c>
    </x:row>
    <x:row r="47">
      <x:c r="A47" s="13" t="s">
        <x:v>168</x:v>
      </x:c>
      <x:c r="B47" s="13" t="s">
        <x:v>79</x:v>
      </x:c>
      <x:c r="C47" s="19" t="e">
        <x:f>项目分类明细汇总表1月!$D$23*研发人员工时统计合计!J47</x:f>
        <x:v>#NAME?</x:v>
      </x:c>
    </x:row>
    <x:row r="48">
      <x:c r="A48" s="13" t="s">
        <x:v>169</x:v>
      </x:c>
      <x:c r="B48" s="13" t="s">
        <x:v>80</x:v>
      </x:c>
      <x:c r="C48" s="19" t="e">
        <x:f>项目分类明细汇总表1月!$D$23*研发人员工时统计合计!J48</x:f>
        <x:v>#NAME?</x:v>
      </x:c>
    </x:row>
    <x:row r="49">
      <x:c r="A49" s="13" t="s">
        <x:v>170</x:v>
      </x:c>
      <x:c r="B49" s="13" t="s">
        <x:v>81</x:v>
      </x:c>
      <x:c r="C49" s="19" t="e">
        <x:f>项目分类明细汇总表1月!$D$23*研发人员工时统计合计!J49</x:f>
        <x:v>#NAME?</x:v>
      </x:c>
    </x:row>
    <x:row r="50">
      <x:c r="A50" s="13" t="s">
        <x:v>171</x:v>
      </x:c>
      <x:c r="B50" s="13" t="s">
        <x:v>82</x:v>
      </x:c>
      <x:c r="C50" s="19" t="e">
        <x:f>项目分类明细汇总表1月!$D$23*研发人员工时统计合计!J50</x:f>
        <x:v>#NAME?</x:v>
      </x:c>
    </x:row>
    <x:row r="51">
      <x:c r="A51" s="13" t="s">
        <x:v>172</x:v>
      </x:c>
      <x:c r="B51" s="13" t="s">
        <x:v>83</x:v>
      </x:c>
      <x:c r="C51" s="19" t="e">
        <x:f>项目分类明细汇总表1月!$D$23*研发人员工时统计合计!J51</x:f>
        <x:v>#NAME?</x:v>
      </x:c>
    </x:row>
    <x:row r="52">
      <x:c r="A52" s="13" t="s">
        <x:v>173</x:v>
      </x:c>
      <x:c r="B52" s="13" t="s">
        <x:v>84</x:v>
      </x:c>
      <x:c r="C52" s="19" t="e">
        <x:f>项目分类明细汇总表1月!$D$23*研发人员工时统计合计!J52</x:f>
        <x:v>#NAME?</x:v>
      </x:c>
    </x:row>
    <x:row r="53">
      <x:c r="A53" s="13" t="s">
        <x:v>174</x:v>
      </x:c>
      <x:c r="B53" s="13" t="s">
        <x:v>85</x:v>
      </x:c>
      <x:c r="C53" s="19" t="e">
        <x:f>项目分类明细汇总表1月!$D$23*研发人员工时统计合计!J53</x:f>
        <x:v>#NAME?</x:v>
      </x:c>
    </x:row>
    <x:row r="54">
      <x:c r="A54" s="13" t="s">
        <x:v>273</x:v>
      </x:c>
      <x:c r="B54" s="13" t="s">
        <x:v>86</x:v>
      </x:c>
      <x:c r="C54" s="19" t="e">
        <x:f>项目分类明细汇总表1月!$D$23*研发人员工时统计合计!J54</x:f>
        <x:v>#NAME?</x:v>
      </x:c>
    </x:row>
    <x:row r="55">
      <x:c r="A55" s="13" t="s">
        <x:v>176</x:v>
      </x:c>
      <x:c r="B55" s="13" t="s">
        <x:v>87</x:v>
      </x:c>
      <x:c r="C55" s="19" t="e">
        <x:f>项目分类明细汇总表1月!$D$23*研发人员工时统计合计!J55</x:f>
        <x:v>#NAME?</x:v>
      </x:c>
    </x:row>
    <x:row r="56">
      <x:c r="A56" s="13" t="s">
        <x:v>177</x:v>
      </x:c>
      <x:c r="B56" s="13" t="s">
        <x:v>88</x:v>
      </x:c>
      <x:c r="C56" s="19" t="e">
        <x:f>项目分类明细汇总表1月!$D$23*研发人员工时统计合计!J56</x:f>
        <x:v>#NAME?</x:v>
      </x:c>
    </x:row>
    <x:row r="57">
      <x:c r="A57" s="13" t="s">
        <x:v>168</x:v>
      </x:c>
      <x:c r="B57" s="13" t="s">
        <x:v>89</x:v>
      </x:c>
      <x:c r="C57" s="19" t="e">
        <x:f>项目分类明细汇总表1月!$D$23*研发人员工时统计合计!J57</x:f>
        <x:v>#NAME?</x:v>
      </x:c>
    </x:row>
    <x:row r="58" ht="17">
      <x:c r="A58" s="13" t="s">
        <x:v>274</x:v>
      </x:c>
      <x:c r="B58" s="15" t="s">
        <x:v>90</x:v>
      </x:c>
      <x:c r="C58" s="19" t="e">
        <x:f>项目分类明细汇总表1月!$D$23*研发人员工时统计合计!J58</x:f>
        <x:v>#NAME?</x:v>
      </x:c>
    </x:row>
    <x:row r="59" ht="17">
      <x:c r="A59" s="13" t="s">
        <x:v>275</x:v>
      </x:c>
      <x:c r="B59" s="15" t="s">
        <x:v>19</x:v>
      </x:c>
      <x:c r="C59" s="19" t="e">
        <x:f>项目分类明细汇总表1月!$D$23*研发人员工时统计合计!J59</x:f>
        <x:v>#NAME?</x:v>
      </x:c>
    </x:row>
    <x:row r="60" ht="17">
      <x:c r="A60" s="13" t="s">
        <x:v>276</x:v>
      </x:c>
      <x:c r="B60" s="15" t="s">
        <x:v>34</x:v>
      </x:c>
      <x:c r="C60" s="19" t="e">
        <x:f>项目分类明细汇总表1月!$D$23*研发人员工时统计合计!J60</x:f>
        <x:v>#NAME?</x:v>
      </x:c>
    </x:row>
    <x:row r="61">
      <x:c r="A61" s="111" t="s">
        <x:v>49</x:v>
      </x:c>
      <x:c r="B61" s="111"/>
      <x:c r="C61" s="19" t="e">
        <x:f>项目分类明细汇总表1月!$D$23*研发人员工时统计合计!J61</x:f>
        <x:v>#NAME?</x:v>
      </x:c>
    </x:row>
  </x:sheetData>
  <x:mergeCells>
    <x:mergeCell ref="A1:I1"/>
    <x:mergeCell ref="A2:C2"/>
    <x:mergeCell ref="D2:I2"/>
    <x:mergeCell ref="A38:F38"/>
    <x:mergeCell ref="A61:B61"/>
    <x:mergeCell ref="A41:A42"/>
    <x:mergeCell ref="B41:B42"/>
    <x:mergeCell ref="C41:C42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baseColWidth="10" defaultColWidth="9" defaultRowHeight="14"/>
  <x:cols>
    <x:col min="1" max="1" width="17.83203125" style="1" customWidth="1"/>
    <x:col min="2" max="2" width="27.83203125" style="1" customWidth="1"/>
    <x:col min="3" max="3" width="39.33203125" style="31" customWidth="1"/>
    <x:col min="4" max="4" width="9" style="31" customWidth="0"/>
    <x:col min="5" max="5" width="9" style="32" customWidth="0"/>
    <x:col min="6" max="6" width="33.6640625" style="18" customWidth="1"/>
    <x:col min="7" max="7" width="18.6640625" style="16" customWidth="1"/>
    <x:col min="8" max="8" width="19.1640625" style="16" customWidth="1"/>
    <x:col min="9" max="9" width="24.5" style="16" customWidth="1"/>
    <x:col min="10" max="16384" width="9" style="1" customWidth="0"/>
  </x:cols>
  <x:sheetData>
    <x:row r="1" ht="34.75" customHeight="1">
      <x:c r="A1" s="133" t="s">
        <x:v>463</x:v>
      </x:c>
      <x:c r="B1" s="133"/>
      <x:c r="C1" s="133"/>
      <x:c r="D1" s="133"/>
      <x:c r="E1" s="133"/>
      <x:c r="F1" s="133"/>
      <x:c r="G1" s="133"/>
      <x:c r="H1" s="133"/>
      <x:c r="I1" s="133"/>
    </x:row>
    <x:row r="2">
      <x:c r="A2" s="114" t="e">
        <x:v>#NAME?</x:v>
      </x:c>
      <x:c r="B2" s="134"/>
      <x:c r="C2" s="134"/>
      <x:c r="D2" s="135"/>
      <x:c r="E2" s="135"/>
      <x:c r="F2" s="135"/>
      <x:c r="G2" s="135"/>
      <x:c r="H2" s="135"/>
      <x:c r="I2" s="135"/>
    </x:row>
    <x:row r="3">
      <x:c r="A3" s="1" t="s">
        <x:v>295</x:v>
      </x:c>
      <x:c r="B3" s="2"/>
      <x:c r="C3" s="3"/>
      <x:c r="D3" s="4" t="s">
        <x:v>296</x:v>
      </x:c>
      <x:c r="E3" s="5"/>
      <x:c r="F3" s="5" t="n">
        <x:f>G40</x:f>
        <x:v>0</x:v>
      </x:c>
      <x:c r="G3" s="5"/>
      <x:c r="H3" s="1"/>
      <x:c r="I3" s="18"/>
    </x:row>
    <x:row r="4">
      <x:c r="A4" s="33" t="s">
        <x:v>297</x:v>
      </x:c>
      <x:c r="B4" s="33" t="s">
        <x:v>298</x:v>
      </x:c>
      <x:c r="C4" s="33" t="s">
        <x:v>299</x:v>
      </x:c>
      <x:c r="D4" s="33" t="s">
        <x:v>300</x:v>
      </x:c>
      <x:c r="E4" s="33" t="s">
        <x:v>301</x:v>
      </x:c>
      <x:c r="F4" s="33" t="s">
        <x:v>302</x:v>
      </x:c>
      <x:c r="G4" s="33" t="s">
        <x:v>303</x:v>
      </x:c>
      <x:c r="H4" s="8" t="s">
        <x:v>93</x:v>
      </x:c>
      <x:c r="I4" s="8" t="s">
        <x:v>304</x:v>
      </x:c>
    </x:row>
    <x:row r="5">
      <x:c r="A5" t="s">
        <x:v>372</x:v>
      </x:c>
      <x:c r="B5" t="s">
        <x:v>306</x:v>
      </x:c>
      <x:c r="C5" t="s">
        <x:v>311</x:v>
      </x:c>
      <x:c r="D5"/>
      <x:c r="E5"/>
      <x:c r="F5" t="s">
        <x:v>373</x:v>
      </x:c>
      <x:c r="G5"/>
      <x:c r="H5"/>
      <x:c r="I5" t="s">
        <x:v>374</x:v>
      </x:c>
      <x:c r="J5"/>
    </x:row>
    <x:row r="6">
      <x:c r="A6" t="s">
        <x:v>329</x:v>
      </x:c>
      <x:c r="B6" t="s">
        <x:v>306</x:v>
      </x:c>
      <x:c r="C6" t="s">
        <x:v>311</x:v>
      </x:c>
      <x:c r="D6" t="s">
        <x:v>308</x:v>
      </x:c>
      <x:c r="E6" s="21">
        <x:v>173</x:v>
      </x:c>
      <x:c r="F6" t="s">
        <x:v>464</x:v>
      </x:c>
      <x:c r="G6" s="20"/>
      <x:c r="H6"/>
      <x:c r="I6" t="s">
        <x:v>434</x:v>
      </x:c>
      <x:c r="J6" s="20">
        <x:v>147708.07</x:v>
      </x:c>
    </x:row>
    <x:row r="7">
      <x:c r="A7" t="s">
        <x:v>329</x:v>
      </x:c>
      <x:c r="B7" t="s">
        <x:v>306</x:v>
      </x:c>
      <x:c r="C7" t="s">
        <x:v>311</x:v>
      </x:c>
      <x:c r="D7" t="s">
        <x:v>308</x:v>
      </x:c>
      <x:c r="E7" s="21">
        <x:v>173</x:v>
      </x:c>
      <x:c r="F7" t="s">
        <x:v>465</x:v>
      </x:c>
      <x:c r="G7" s="20"/>
      <x:c r="H7"/>
      <x:c r="I7" t="s">
        <x:v>434</x:v>
      </x:c>
      <x:c r="J7" s="20">
        <x:v>443327.07</x:v>
      </x:c>
    </x:row>
    <x:row r="8">
      <x:c r="A8" t="s">
        <x:v>329</x:v>
      </x:c>
      <x:c r="B8" t="s">
        <x:v>306</x:v>
      </x:c>
      <x:c r="C8" t="s">
        <x:v>311</x:v>
      </x:c>
      <x:c r="D8" t="s">
        <x:v>308</x:v>
      </x:c>
      <x:c r="E8" s="21">
        <x:v>173</x:v>
      </x:c>
      <x:c r="F8" t="s">
        <x:v>466</x:v>
      </x:c>
      <x:c r="G8" s="20"/>
      <x:c r="H8"/>
      <x:c r="I8" t="s">
        <x:v>434</x:v>
      </x:c>
      <x:c r="J8" s="20">
        <x:v>524147.07</x:v>
      </x:c>
    </x:row>
    <x:row r="9">
      <x:c r="A9" t="s">
        <x:v>329</x:v>
      </x:c>
      <x:c r="B9" t="s">
        <x:v>306</x:v>
      </x:c>
      <x:c r="C9" t="s">
        <x:v>311</x:v>
      </x:c>
      <x:c r="D9" t="s">
        <x:v>308</x:v>
      </x:c>
      <x:c r="E9" s="21">
        <x:v>173</x:v>
      </x:c>
      <x:c r="F9" t="s">
        <x:v>467</x:v>
      </x:c>
      <x:c r="G9" s="20"/>
      <x:c r="H9"/>
      <x:c r="I9" t="s">
        <x:v>434</x:v>
      </x:c>
      <x:c r="J9" s="20">
        <x:v>551773.51</x:v>
      </x:c>
    </x:row>
    <x:row r="10">
      <x:c r="A10" t="s">
        <x:v>329</x:v>
      </x:c>
      <x:c r="B10" t="s">
        <x:v>306</x:v>
      </x:c>
      <x:c r="C10" t="s">
        <x:v>311</x:v>
      </x:c>
      <x:c r="D10" t="s">
        <x:v>308</x:v>
      </x:c>
      <x:c r="E10" s="21">
        <x:v>173</x:v>
      </x:c>
      <x:c r="F10" t="s">
        <x:v>464</x:v>
      </x:c>
      <x:c r="G10" s="20"/>
      <x:c r="H10"/>
      <x:c r="I10" t="s">
        <x:v>434</x:v>
      </x:c>
      <x:c r="J10" s="20">
        <x:v>568603.51</x:v>
      </x:c>
    </x:row>
    <x:row r="11">
      <x:c r="A11" t="s">
        <x:v>329</x:v>
      </x:c>
      <x:c r="B11" t="s">
        <x:v>306</x:v>
      </x:c>
      <x:c r="C11" t="s">
        <x:v>311</x:v>
      </x:c>
      <x:c r="D11" t="s">
        <x:v>308</x:v>
      </x:c>
      <x:c r="E11" s="21">
        <x:v>211</x:v>
      </x:c>
      <x:c r="F11" t="s">
        <x:v>322</x:v>
      </x:c>
      <x:c r="G11"/>
      <x:c r="H11" s="20"/>
      <x:c r="I11" t="s">
        <x:v>434</x:v>
      </x:c>
      <x:c r="J11" s="20">
        <x:v>108446.44</x:v>
      </x:c>
    </x:row>
    <x:row r="12">
      <x:c r="A12" t="s">
        <x:v>329</x:v>
      </x:c>
      <x:c r="B12" t="s">
        <x:v>306</x:v>
      </x:c>
      <x:c r="C12" t="s">
        <x:v>311</x:v>
      </x:c>
      <x:c r="D12" t="s">
        <x:v>308</x:v>
      </x:c>
      <x:c r="E12" s="21">
        <x:v>211</x:v>
      </x:c>
      <x:c r="F12" t="s">
        <x:v>322</x:v>
      </x:c>
      <x:c r="G12"/>
      <x:c r="H12" s="20"/>
      <x:c r="I12" t="s">
        <x:v>434</x:v>
      </x:c>
      <x:c r="J12" s="20">
        <x:v>80820</x:v>
      </x:c>
    </x:row>
    <x:row r="13">
      <x:c r="A13" t="s">
        <x:v>329</x:v>
      </x:c>
      <x:c r="B13" t="s">
        <x:v>306</x:v>
      </x:c>
      <x:c r="C13" t="s">
        <x:v>311</x:v>
      </x:c>
      <x:c r="D13" t="s">
        <x:v>308</x:v>
      </x:c>
      <x:c r="E13" s="21">
        <x:v>211</x:v>
      </x:c>
      <x:c r="F13" t="s">
        <x:v>322</x:v>
      </x:c>
      <x:c r="G13"/>
      <x:c r="H13" s="20"/>
      <x:c r="I13" t="s">
        <x:v>374</x:v>
      </x:c>
      <x:c r="J13"/>
    </x:row>
    <x:row r="14">
      <x:c r="A14"/>
      <x:c r="B14" t="s">
        <x:v>306</x:v>
      </x:c>
      <x:c r="C14" t="s">
        <x:v>311</x:v>
      </x:c>
      <x:c r="D14"/>
      <x:c r="E14"/>
      <x:c r="F14" t="s">
        <x:v>376</x:v>
      </x:c>
      <x:c r="G14" s="20"/>
      <x:c r="H14" s="20"/>
      <x:c r="I14" t="s">
        <x:v>374</x:v>
      </x:c>
      <x:c r="J14"/>
    </x:row>
    <x:row r="15">
      <x:c r="A15"/>
      <x:c r="B15" t="s">
        <x:v>306</x:v>
      </x:c>
      <x:c r="C15" t="s">
        <x:v>311</x:v>
      </x:c>
      <x:c r="D15"/>
      <x:c r="E15"/>
      <x:c r="F15" t="s">
        <x:v>377</x:v>
      </x:c>
      <x:c r="G15" s="20"/>
      <x:c r="H15" s="20"/>
      <x:c r="I15" t="s">
        <x:v>374</x:v>
      </x:c>
      <x:c r="J15"/>
    </x:row>
    <x:row r="16">
      <x:c r="A16" t="s">
        <x:v>357</x:v>
      </x:c>
      <x:c r="B16" t="s">
        <x:v>306</x:v>
      </x:c>
      <x:c r="C16" t="s">
        <x:v>307</x:v>
      </x:c>
      <x:c r="D16" t="s">
        <x:v>308</x:v>
      </x:c>
      <x:c r="E16" s="21">
        <x:v>100</x:v>
      </x:c>
      <x:c r="F16" t="s">
        <x:v>468</x:v>
      </x:c>
      <x:c r="G16" s="20"/>
      <x:c r="H16"/>
      <x:c r="I16" t="s">
        <x:v>434</x:v>
      </x:c>
      <x:c r="J16" s="20">
        <x:v>311875.28000000003</x:v>
      </x:c>
    </x:row>
    <x:row r="17">
      <x:c r="A17" t="s">
        <x:v>357</x:v>
      </x:c>
      <x:c r="B17" t="s">
        <x:v>306</x:v>
      </x:c>
      <x:c r="C17" t="s">
        <x:v>307</x:v>
      </x:c>
      <x:c r="D17" t="s">
        <x:v>308</x:v>
      </x:c>
      <x:c r="E17" s="21">
        <x:v>100</x:v>
      </x:c>
      <x:c r="F17" t="s">
        <x:v>469</x:v>
      </x:c>
      <x:c r="G17" s="20"/>
      <x:c r="H17"/>
      <x:c r="I17" t="s">
        <x:v>434</x:v>
      </x:c>
      <x:c r="J17" s="20">
        <x:v>727109.68</x:v>
      </x:c>
    </x:row>
    <x:row r="18">
      <x:c r="A18" t="s">
        <x:v>357</x:v>
      </x:c>
      <x:c r="B18" t="s">
        <x:v>306</x:v>
      </x:c>
      <x:c r="C18" t="s">
        <x:v>307</x:v>
      </x:c>
      <x:c r="D18" t="s">
        <x:v>308</x:v>
      </x:c>
      <x:c r="E18" s="21">
        <x:v>100</x:v>
      </x:c>
      <x:c r="F18" t="s">
        <x:v>470</x:v>
      </x:c>
      <x:c r="G18" s="20"/>
      <x:c r="H18"/>
      <x:c r="I18" t="s">
        <x:v>434</x:v>
      </x:c>
      <x:c r="J18" s="20">
        <x:v>855665.48</x:v>
      </x:c>
    </x:row>
    <x:row r="19">
      <x:c r="A19" t="s">
        <x:v>331</x:v>
      </x:c>
      <x:c r="B19" t="s">
        <x:v>306</x:v>
      </x:c>
      <x:c r="C19" t="s">
        <x:v>307</x:v>
      </x:c>
      <x:c r="D19" t="s">
        <x:v>308</x:v>
      </x:c>
      <x:c r="E19" s="21">
        <x:v>162</x:v>
      </x:c>
      <x:c r="F19" t="s">
        <x:v>464</x:v>
      </x:c>
      <x:c r="G19" s="20"/>
      <x:c r="H19"/>
      <x:c r="I19" t="s">
        <x:v>434</x:v>
      </x:c>
      <x:c r="J19" s="20">
        <x:v>1032446.48</x:v>
      </x:c>
    </x:row>
    <x:row r="20">
      <x:c r="A20" t="s">
        <x:v>331</x:v>
      </x:c>
      <x:c r="B20" t="s">
        <x:v>306</x:v>
      </x:c>
      <x:c r="C20" t="s">
        <x:v>307</x:v>
      </x:c>
      <x:c r="D20" t="s">
        <x:v>308</x:v>
      </x:c>
      <x:c r="E20" s="21">
        <x:v>162</x:v>
      </x:c>
      <x:c r="F20" t="s">
        <x:v>465</x:v>
      </x:c>
      <x:c r="G20" s="20"/>
      <x:c r="H20"/>
      <x:c r="I20" t="s">
        <x:v>434</x:v>
      </x:c>
      <x:c r="J20" s="20">
        <x:v>1323238.07</x:v>
      </x:c>
    </x:row>
    <x:row r="21">
      <x:c r="A21" t="s">
        <x:v>331</x:v>
      </x:c>
      <x:c r="B21" t="s">
        <x:v>306</x:v>
      </x:c>
      <x:c r="C21" t="s">
        <x:v>307</x:v>
      </x:c>
      <x:c r="D21" t="s">
        <x:v>308</x:v>
      </x:c>
      <x:c r="E21" s="21">
        <x:v>162</x:v>
      </x:c>
      <x:c r="F21" t="s">
        <x:v>466</x:v>
      </x:c>
      <x:c r="G21" s="20"/>
      <x:c r="H21"/>
      <x:c r="I21" t="s">
        <x:v>434</x:v>
      </x:c>
      <x:c r="J21" s="20">
        <x:v>1403693.07</x:v>
      </x:c>
    </x:row>
    <x:row r="22">
      <x:c r="A22" t="s">
        <x:v>331</x:v>
      </x:c>
      <x:c r="B22" t="s">
        <x:v>306</x:v>
      </x:c>
      <x:c r="C22" t="s">
        <x:v>307</x:v>
      </x:c>
      <x:c r="D22" t="s">
        <x:v>308</x:v>
      </x:c>
      <x:c r="E22" s="21">
        <x:v>162</x:v>
      </x:c>
      <x:c r="F22" t="s">
        <x:v>467</x:v>
      </x:c>
      <x:c r="G22" s="20"/>
      <x:c r="H22"/>
      <x:c r="I22" t="s">
        <x:v>434</x:v>
      </x:c>
      <x:c r="J22" s="20">
        <x:v>1443963.07</x:v>
      </x:c>
    </x:row>
    <x:row r="23">
      <x:c r="A23" t="s">
        <x:v>331</x:v>
      </x:c>
      <x:c r="B23" t="s">
        <x:v>306</x:v>
      </x:c>
      <x:c r="C23" t="s">
        <x:v>307</x:v>
      </x:c>
      <x:c r="D23" t="s">
        <x:v>308</x:v>
      </x:c>
      <x:c r="E23" s="21">
        <x:v>164</x:v>
      </x:c>
      <x:c r="F23" t="s">
        <x:v>471</x:v>
      </x:c>
      <x:c r="G23" s="20"/>
      <x:c r="H23"/>
      <x:c r="I23" t="s">
        <x:v>434</x:v>
      </x:c>
      <x:c r="J23" s="20">
        <x:v>1413963.07</x:v>
      </x:c>
    </x:row>
    <x:row r="24">
      <x:c r="A24" t="s">
        <x:v>331</x:v>
      </x:c>
      <x:c r="B24" t="s">
        <x:v>306</x:v>
      </x:c>
      <x:c r="C24" t="s">
        <x:v>307</x:v>
      </x:c>
      <x:c r="D24" t="s">
        <x:v>308</x:v>
      </x:c>
      <x:c r="E24" s="21">
        <x:v>165</x:v>
      </x:c>
      <x:c r="F24" t="s">
        <x:v>472</x:v>
      </x:c>
      <x:c r="G24" s="20"/>
      <x:c r="H24"/>
      <x:c r="I24" t="s">
        <x:v>434</x:v>
      </x:c>
      <x:c r="J24" s="20">
        <x:v>1383963.07</x:v>
      </x:c>
    </x:row>
    <x:row r="25">
      <x:c r="A25" t="s">
        <x:v>331</x:v>
      </x:c>
      <x:c r="B25" t="s">
        <x:v>306</x:v>
      </x:c>
      <x:c r="C25" t="s">
        <x:v>307</x:v>
      </x:c>
      <x:c r="D25" t="s">
        <x:v>308</x:v>
      </x:c>
      <x:c r="E25" s="21">
        <x:v>190</x:v>
      </x:c>
      <x:c r="F25" t="s">
        <x:v>322</x:v>
      </x:c>
      <x:c r="G25"/>
      <x:c r="H25" s="20"/>
      <x:c r="I25" t="s">
        <x:v>434</x:v>
      </x:c>
      <x:c r="J25" s="20">
        <x:v>189280.8</x:v>
      </x:c>
    </x:row>
    <x:row r="26">
      <x:c r="A26" t="s">
        <x:v>331</x:v>
      </x:c>
      <x:c r="B26" t="s">
        <x:v>306</x:v>
      </x:c>
      <x:c r="C26" t="s">
        <x:v>307</x:v>
      </x:c>
      <x:c r="D26" t="s">
        <x:v>308</x:v>
      </x:c>
      <x:c r="E26" s="21">
        <x:v>190</x:v>
      </x:c>
      <x:c r="F26" t="s">
        <x:v>322</x:v>
      </x:c>
      <x:c r="G26"/>
      <x:c r="H26" s="20"/>
      <x:c r="I26" t="s">
        <x:v>434</x:v>
      </x:c>
      <x:c r="J26" s="20">
        <x:v>149010.79999999999</x:v>
      </x:c>
    </x:row>
    <x:row r="27">
      <x:c r="A27" t="s">
        <x:v>331</x:v>
      </x:c>
      <x:c r="B27" t="s">
        <x:v>306</x:v>
      </x:c>
      <x:c r="C27" t="s">
        <x:v>307</x:v>
      </x:c>
      <x:c r="D27" t="s">
        <x:v>308</x:v>
      </x:c>
      <x:c r="E27" s="21">
        <x:v>190</x:v>
      </x:c>
      <x:c r="F27" t="s">
        <x:v>322</x:v>
      </x:c>
      <x:c r="G27"/>
      <x:c r="H27" s="20"/>
      <x:c r="I27" t="s">
        <x:v>434</x:v>
      </x:c>
      <x:c r="J27" s="20">
        <x:v>209010.8</x:v>
      </x:c>
    </x:row>
    <x:row r="28">
      <x:c r="A28" t="s">
        <x:v>331</x:v>
      </x:c>
      <x:c r="B28" t="s">
        <x:v>306</x:v>
      </x:c>
      <x:c r="C28" t="s">
        <x:v>307</x:v>
      </x:c>
      <x:c r="D28" t="s">
        <x:v>308</x:v>
      </x:c>
      <x:c r="E28" s="21">
        <x:v>190</x:v>
      </x:c>
      <x:c r="F28" t="s">
        <x:v>322</x:v>
      </x:c>
      <x:c r="G28"/>
      <x:c r="H28" s="20"/>
      <x:c r="I28" t="s">
        <x:v>374</x:v>
      </x:c>
      <x:c r="J28"/>
    </x:row>
    <x:row r="29">
      <x:c r="A29"/>
      <x:c r="B29" t="s">
        <x:v>306</x:v>
      </x:c>
      <x:c r="C29" t="s">
        <x:v>307</x:v>
      </x:c>
      <x:c r="D29"/>
      <x:c r="E29"/>
      <x:c r="F29" t="s">
        <x:v>376</x:v>
      </x:c>
      <x:c r="G29" s="20"/>
      <x:c r="H29" s="20"/>
      <x:c r="I29" t="s">
        <x:v>374</x:v>
      </x:c>
      <x:c r="J29"/>
    </x:row>
    <x:row r="30">
      <x:c r="A30"/>
      <x:c r="B30" t="s">
        <x:v>306</x:v>
      </x:c>
      <x:c r="C30" t="s">
        <x:v>307</x:v>
      </x:c>
      <x:c r="D30"/>
      <x:c r="E30"/>
      <x:c r="F30" t="s">
        <x:v>377</x:v>
      </x:c>
      <x:c r="G30" s="20"/>
      <x:c r="H30" s="20"/>
      <x:c r="I30" t="s">
        <x:v>374</x:v>
      </x:c>
      <x:c r="J30"/>
    </x:row>
    <x:row r="31">
      <x:c r="A31" t="s">
        <x:v>319</x:v>
      </x:c>
      <x:c r="B31" t="s">
        <x:v>306</x:v>
      </x:c>
      <x:c r="C31" t="s">
        <x:v>320</x:v>
      </x:c>
      <x:c r="D31" t="s">
        <x:v>308</x:v>
      </x:c>
      <x:c r="E31" s="21">
        <x:v>183</x:v>
      </x:c>
      <x:c r="F31" t="s">
        <x:v>464</x:v>
      </x:c>
      <x:c r="G31" s="20"/>
      <x:c r="H31"/>
      <x:c r="I31" t="s">
        <x:v>434</x:v>
      </x:c>
      <x:c r="J31" s="20">
        <x:v>177696.43</x:v>
      </x:c>
    </x:row>
    <x:row r="32">
      <x:c r="A32" t="s">
        <x:v>319</x:v>
      </x:c>
      <x:c r="B32" t="s">
        <x:v>306</x:v>
      </x:c>
      <x:c r="C32" t="s">
        <x:v>320</x:v>
      </x:c>
      <x:c r="D32" t="s">
        <x:v>308</x:v>
      </x:c>
      <x:c r="E32" s="21">
        <x:v>183</x:v>
      </x:c>
      <x:c r="F32" t="s">
        <x:v>465</x:v>
      </x:c>
      <x:c r="G32" s="20"/>
      <x:c r="H32"/>
      <x:c r="I32" t="s">
        <x:v>434</x:v>
      </x:c>
      <x:c r="J32" s="20">
        <x:v>476670.43</x:v>
      </x:c>
    </x:row>
    <x:row r="33">
      <x:c r="A33" t="s">
        <x:v>319</x:v>
      </x:c>
      <x:c r="B33" t="s">
        <x:v>306</x:v>
      </x:c>
      <x:c r="C33" t="s">
        <x:v>320</x:v>
      </x:c>
      <x:c r="D33" t="s">
        <x:v>308</x:v>
      </x:c>
      <x:c r="E33" s="21">
        <x:v>183</x:v>
      </x:c>
      <x:c r="F33" t="s">
        <x:v>466</x:v>
      </x:c>
      <x:c r="G33" s="20"/>
      <x:c r="H33"/>
      <x:c r="I33" t="s">
        <x:v>434</x:v>
      </x:c>
      <x:c r="J33" s="20">
        <x:v>557565.43000000005</x:v>
      </x:c>
    </x:row>
    <x:row r="34">
      <x:c r="A34" t="s">
        <x:v>319</x:v>
      </x:c>
      <x:c r="B34" t="s">
        <x:v>306</x:v>
      </x:c>
      <x:c r="C34" t="s">
        <x:v>320</x:v>
      </x:c>
      <x:c r="D34" t="s">
        <x:v>308</x:v>
      </x:c>
      <x:c r="E34" s="21">
        <x:v>183</x:v>
      </x:c>
      <x:c r="F34" t="s">
        <x:v>467</x:v>
      </x:c>
      <x:c r="G34" s="20"/>
      <x:c r="H34"/>
      <x:c r="I34" t="s">
        <x:v>434</x:v>
      </x:c>
      <x:c r="J34" s="20">
        <x:v>598335.43000000005</x:v>
      </x:c>
    </x:row>
    <x:row r="35">
      <x:c r="A35" t="s">
        <x:v>319</x:v>
      </x:c>
      <x:c r="B35" t="s">
        <x:v>306</x:v>
      </x:c>
      <x:c r="C35" t="s">
        <x:v>320</x:v>
      </x:c>
      <x:c r="D35" t="s">
        <x:v>308</x:v>
      </x:c>
      <x:c r="E35" s="21">
        <x:v>225</x:v>
      </x:c>
      <x:c r="F35" t="s">
        <x:v>322</x:v>
      </x:c>
      <x:c r="G35"/>
      <x:c r="H35" s="20"/>
      <x:c r="I35" t="s">
        <x:v>434</x:v>
      </x:c>
      <x:c r="J35" s="20">
        <x:v>121665</x:v>
      </x:c>
    </x:row>
    <x:row r="36">
      <x:c r="A36" t="s">
        <x:v>319</x:v>
      </x:c>
      <x:c r="B36" t="s">
        <x:v>306</x:v>
      </x:c>
      <x:c r="C36" t="s">
        <x:v>320</x:v>
      </x:c>
      <x:c r="D36" t="s">
        <x:v>308</x:v>
      </x:c>
      <x:c r="E36" s="21">
        <x:v>225</x:v>
      </x:c>
      <x:c r="F36" t="s">
        <x:v>322</x:v>
      </x:c>
      <x:c r="G36"/>
      <x:c r="H36" s="20"/>
      <x:c r="I36" t="s">
        <x:v>434</x:v>
      </x:c>
      <x:c r="J36" s="20">
        <x:v>80895</x:v>
      </x:c>
    </x:row>
    <x:row r="37">
      <x:c r="A37" t="s">
        <x:v>319</x:v>
      </x:c>
      <x:c r="B37" t="s">
        <x:v>306</x:v>
      </x:c>
      <x:c r="C37" t="s">
        <x:v>320</x:v>
      </x:c>
      <x:c r="D37" t="s">
        <x:v>308</x:v>
      </x:c>
      <x:c r="E37" s="21">
        <x:v>225</x:v>
      </x:c>
      <x:c r="F37" t="s">
        <x:v>322</x:v>
      </x:c>
      <x:c r="G37"/>
      <x:c r="H37" s="20"/>
      <x:c r="I37" t="s">
        <x:v>374</x:v>
      </x:c>
      <x:c r="J37"/>
    </x:row>
    <x:row r="38">
      <x:c r="A38"/>
      <x:c r="B38" t="s">
        <x:v>306</x:v>
      </x:c>
      <x:c r="C38" t="s">
        <x:v>320</x:v>
      </x:c>
      <x:c r="D38"/>
      <x:c r="E38"/>
      <x:c r="F38" t="s">
        <x:v>376</x:v>
      </x:c>
      <x:c r="G38" s="20"/>
      <x:c r="H38" s="20"/>
      <x:c r="I38" t="s">
        <x:v>374</x:v>
      </x:c>
      <x:c r="J38"/>
    </x:row>
    <x:row r="39">
      <x:c r="A39"/>
      <x:c r="B39" t="s">
        <x:v>306</x:v>
      </x:c>
      <x:c r="C39" t="s">
        <x:v>320</x:v>
      </x:c>
      <x:c r="D39"/>
      <x:c r="E39"/>
      <x:c r="F39" t="s">
        <x:v>377</x:v>
      </x:c>
      <x:c r="G39" s="20"/>
      <x:c r="H39" s="20"/>
      <x:c r="I39" t="s">
        <x:v>374</x:v>
      </x:c>
      <x:c r="J39"/>
    </x:row>
    <x:row r="40">
      <x:c r="A40" s="139" t="s">
        <x:v>49</x:v>
      </x:c>
      <x:c r="B40" s="140"/>
      <x:c r="C40" s="140"/>
      <x:c r="D40" s="140"/>
      <x:c r="E40" s="140"/>
      <x:c r="F40" s="140"/>
      <x:c r="G40" s="35"/>
      <x:c r="H40" s="35"/>
      <x:c r="I40" s="35"/>
    </x:row>
    <x:row r="42">
      <x:c r="A42" s="112" t="s">
        <x:v>50</x:v>
      </x:c>
      <x:c r="B42" s="112" t="s">
        <x:v>2</x:v>
      </x:c>
      <x:c r="C42" s="124" t="s">
        <x:v>327</x:v>
      </x:c>
    </x:row>
    <x:row r="43">
      <x:c r="A43" s="112"/>
      <x:c r="B43" s="112"/>
      <x:c r="C43" s="124"/>
    </x:row>
    <x:row r="44">
      <x:c r="A44" s="13" t="s">
        <x:v>164</x:v>
      </x:c>
      <x:c r="B44" s="13" t="s">
        <x:v>75</x:v>
      </x:c>
      <x:c r="C44" s="19" t="e">
        <x:f>项目分类明细汇总表1月!$D$24*研发人员工时统计合计!J43</x:f>
        <x:v>#NAME?</x:v>
      </x:c>
    </x:row>
    <x:row r="45">
      <x:c r="A45" s="13" t="s">
        <x:v>165</x:v>
      </x:c>
      <x:c r="B45" s="13" t="s">
        <x:v>76</x:v>
      </x:c>
      <x:c r="C45" s="19" t="e">
        <x:f>项目分类明细汇总表1月!$D$24*研发人员工时统计合计!J44</x:f>
        <x:v>#NAME?</x:v>
      </x:c>
    </x:row>
    <x:row r="46">
      <x:c r="A46" s="13" t="s">
        <x:v>166</x:v>
      </x:c>
      <x:c r="B46" s="13" t="s">
        <x:v>77</x:v>
      </x:c>
      <x:c r="C46" s="19" t="e">
        <x:f>项目分类明细汇总表1月!$D$24*研发人员工时统计合计!J45</x:f>
        <x:v>#NAME?</x:v>
      </x:c>
    </x:row>
    <x:row r="47">
      <x:c r="A47" s="13" t="s">
        <x:v>167</x:v>
      </x:c>
      <x:c r="B47" s="13" t="s">
        <x:v>78</x:v>
      </x:c>
      <x:c r="C47" s="19" t="e">
        <x:f>项目分类明细汇总表1月!$D$24*研发人员工时统计合计!J46</x:f>
        <x:v>#NAME?</x:v>
      </x:c>
    </x:row>
    <x:row r="48">
      <x:c r="A48" s="13" t="s">
        <x:v>168</x:v>
      </x:c>
      <x:c r="B48" s="13" t="s">
        <x:v>79</x:v>
      </x:c>
      <x:c r="C48" s="19" t="e">
        <x:f>项目分类明细汇总表1月!$D$24*研发人员工时统计合计!J47</x:f>
        <x:v>#NAME?</x:v>
      </x:c>
    </x:row>
    <x:row r="49">
      <x:c r="A49" s="13" t="s">
        <x:v>169</x:v>
      </x:c>
      <x:c r="B49" s="13" t="s">
        <x:v>80</x:v>
      </x:c>
      <x:c r="C49" s="19" t="e">
        <x:f>项目分类明细汇总表1月!$D$24*研发人员工时统计合计!J48</x:f>
        <x:v>#NAME?</x:v>
      </x:c>
    </x:row>
    <x:row r="50">
      <x:c r="A50" s="13" t="s">
        <x:v>170</x:v>
      </x:c>
      <x:c r="B50" s="13" t="s">
        <x:v>81</x:v>
      </x:c>
      <x:c r="C50" s="19" t="e">
        <x:f>项目分类明细汇总表1月!$D$24*研发人员工时统计合计!J49</x:f>
        <x:v>#NAME?</x:v>
      </x:c>
    </x:row>
    <x:row r="51">
      <x:c r="A51" s="13" t="s">
        <x:v>171</x:v>
      </x:c>
      <x:c r="B51" s="13" t="s">
        <x:v>82</x:v>
      </x:c>
      <x:c r="C51" s="19" t="e">
        <x:f>项目分类明细汇总表1月!$D$24*研发人员工时统计合计!J50</x:f>
        <x:v>#NAME?</x:v>
      </x:c>
    </x:row>
    <x:row r="52">
      <x:c r="A52" s="13" t="s">
        <x:v>172</x:v>
      </x:c>
      <x:c r="B52" s="13" t="s">
        <x:v>83</x:v>
      </x:c>
      <x:c r="C52" s="19" t="e">
        <x:f>项目分类明细汇总表1月!$D$24*研发人员工时统计合计!J51</x:f>
        <x:v>#NAME?</x:v>
      </x:c>
    </x:row>
    <x:row r="53">
      <x:c r="A53" s="13" t="s">
        <x:v>173</x:v>
      </x:c>
      <x:c r="B53" s="13" t="s">
        <x:v>84</x:v>
      </x:c>
      <x:c r="C53" s="19" t="e">
        <x:f>项目分类明细汇总表1月!$D$24*研发人员工时统计合计!J52</x:f>
        <x:v>#NAME?</x:v>
      </x:c>
    </x:row>
    <x:row r="54">
      <x:c r="A54" s="13" t="s">
        <x:v>174</x:v>
      </x:c>
      <x:c r="B54" s="13" t="s">
        <x:v>85</x:v>
      </x:c>
      <x:c r="C54" s="19" t="e">
        <x:f>项目分类明细汇总表1月!$D$24*研发人员工时统计合计!J53</x:f>
        <x:v>#NAME?</x:v>
      </x:c>
    </x:row>
    <x:row r="55">
      <x:c r="A55" s="13" t="s">
        <x:v>273</x:v>
      </x:c>
      <x:c r="B55" s="13" t="s">
        <x:v>86</x:v>
      </x:c>
      <x:c r="C55" s="19" t="e">
        <x:f>项目分类明细汇总表1月!$D$24*研发人员工时统计合计!J54</x:f>
        <x:v>#NAME?</x:v>
      </x:c>
    </x:row>
    <x:row r="56">
      <x:c r="A56" s="13" t="s">
        <x:v>176</x:v>
      </x:c>
      <x:c r="B56" s="13" t="s">
        <x:v>87</x:v>
      </x:c>
      <x:c r="C56" s="19" t="e">
        <x:f>项目分类明细汇总表1月!$D$24*研发人员工时统计合计!J55</x:f>
        <x:v>#NAME?</x:v>
      </x:c>
    </x:row>
    <x:row r="57">
      <x:c r="A57" s="13" t="s">
        <x:v>177</x:v>
      </x:c>
      <x:c r="B57" s="13" t="s">
        <x:v>88</x:v>
      </x:c>
      <x:c r="C57" s="19" t="e">
        <x:f>项目分类明细汇总表1月!$D$24*研发人员工时统计合计!J56</x:f>
        <x:v>#NAME?</x:v>
      </x:c>
    </x:row>
    <x:row r="58">
      <x:c r="A58" s="13" t="s">
        <x:v>168</x:v>
      </x:c>
      <x:c r="B58" s="13" t="s">
        <x:v>89</x:v>
      </x:c>
      <x:c r="C58" s="19" t="e">
        <x:f>项目分类明细汇总表1月!$D$24*研发人员工时统计合计!J57</x:f>
        <x:v>#NAME?</x:v>
      </x:c>
    </x:row>
    <x:row r="59" ht="17">
      <x:c r="A59" s="13" t="s">
        <x:v>274</x:v>
      </x:c>
      <x:c r="B59" s="15" t="s">
        <x:v>90</x:v>
      </x:c>
      <x:c r="C59" s="19" t="e">
        <x:f>项目分类明细汇总表1月!$D$24*研发人员工时统计合计!J58</x:f>
        <x:v>#NAME?</x:v>
      </x:c>
    </x:row>
    <x:row r="60" ht="17">
      <x:c r="A60" s="13" t="s">
        <x:v>275</x:v>
      </x:c>
      <x:c r="B60" s="15" t="s">
        <x:v>19</x:v>
      </x:c>
      <x:c r="C60" s="19" t="e">
        <x:f>项目分类明细汇总表1月!$D$24*研发人员工时统计合计!J59</x:f>
        <x:v>#NAME?</x:v>
      </x:c>
    </x:row>
    <x:row r="61" ht="17">
      <x:c r="A61" s="13" t="s">
        <x:v>276</x:v>
      </x:c>
      <x:c r="B61" s="15" t="s">
        <x:v>34</x:v>
      </x:c>
      <x:c r="C61" s="19" t="e">
        <x:f>项目分类明细汇总表1月!$D$24*研发人员工时统计合计!J60</x:f>
        <x:v>#NAME?</x:v>
      </x:c>
    </x:row>
    <x:row r="62">
      <x:c r="A62" s="111" t="s">
        <x:v>49</x:v>
      </x:c>
      <x:c r="B62" s="111"/>
      <x:c r="C62" s="19" t="e">
        <x:f>SUM(C44:C61)</x:f>
        <x:v>#NAME?</x:v>
      </x:c>
    </x:row>
  </x:sheetData>
  <x:mergeCells>
    <x:mergeCell ref="A1:I1"/>
    <x:mergeCell ref="A2:C2"/>
    <x:mergeCell ref="D2:I2"/>
    <x:mergeCell ref="A40:F40"/>
    <x:mergeCell ref="A62:B62"/>
    <x:mergeCell ref="A42:A43"/>
    <x:mergeCell ref="B42:B43"/>
    <x:mergeCell ref="C42:C43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baseColWidth="10" defaultColWidth="9" defaultRowHeight="14"/>
  <x:cols>
    <x:col min="1" max="1" width="19.1640625" style="22" customWidth="1"/>
    <x:col min="2" max="2" width="32.33203125" style="22" customWidth="1"/>
    <x:col min="3" max="3" width="26.6640625" style="22" customWidth="1"/>
    <x:col min="4" max="4" width="9.1640625" style="22" customWidth="1"/>
    <x:col min="5" max="5" width="11.5" style="22" customWidth="1"/>
    <x:col min="6" max="6" width="47.33203125" style="22" customWidth="1"/>
    <x:col min="7" max="7" width="19.83203125" style="23" customWidth="1"/>
    <x:col min="8" max="8" width="18.5" style="22" customWidth="1"/>
    <x:col min="9" max="9" width="29.6640625" style="22" customWidth="1"/>
    <x:col min="10" max="10" width="20.83203125" style="22" customWidth="1"/>
    <x:col min="11" max="11" width="25" style="22" customWidth="1"/>
    <x:col min="12" max="16384" width="9" style="22" customWidth="0"/>
  </x:cols>
  <x:sheetData>
    <x:row r="1" s="1" customFormat="1" ht="34.75" customHeight="1">
      <x:c r="A1" s="133" t="s">
        <x:v>473</x:v>
      </x:c>
      <x:c r="B1" s="133"/>
      <x:c r="C1" s="133"/>
      <x:c r="D1" s="133"/>
      <x:c r="E1" s="133"/>
      <x:c r="F1" s="133"/>
      <x:c r="G1" s="133"/>
      <x:c r="H1" s="133"/>
      <x:c r="I1" s="133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</x:row>
    <x:row r="2" s="1" customFormat="1">
      <x:c r="A2" s="114" t="e">
        <x:v>#NAME?</x:v>
      </x:c>
      <x:c r="B2" s="134"/>
      <x:c r="C2" s="134"/>
      <x:c r="D2" s="135"/>
      <x:c r="E2" s="135"/>
      <x:c r="F2" s="135"/>
      <x:c r="G2" s="135"/>
      <x:c r="H2" s="135"/>
      <x:c r="I2" s="135"/>
      <x:c r="J2" s="16"/>
      <x:c r="K2" s="17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  <x:c r="W2" s="16"/>
    </x:row>
    <x:row r="3" s="1" customFormat="1">
      <x:c r="A3" s="1" t="s">
        <x:v>295</x:v>
      </x:c>
      <x:c r="B3" s="2"/>
      <x:c r="C3" s="3"/>
      <x:c r="D3" s="4" t="s">
        <x:v>296</x:v>
      </x:c>
      <x:c r="E3" s="5"/>
      <x:c r="F3" s="6" t="e">
        <x:f>G45</x:f>
        <x:v>#REF!</x:v>
      </x:c>
      <x:c r="G3" s="24" t="s">
        <x:v>474</x:v>
      </x:c>
      <x:c r="I3" s="18"/>
      <x:c r="J3" s="16"/>
      <x:c r="K3" s="16"/>
      <x:c r="L3" s="17"/>
      <x:c r="M3" s="16"/>
      <x:c r="N3" s="16"/>
      <x:c r="O3" s="16"/>
      <x:c r="P3" s="16"/>
      <x:c r="Q3" s="16"/>
      <x:c r="R3" s="16"/>
      <x:c r="S3" s="16"/>
      <x:c r="T3" s="16"/>
      <x:c r="U3" s="16"/>
      <x:c r="V3" s="16"/>
      <x:c r="W3" s="16"/>
    </x:row>
    <x:row r="4" ht="20" customHeight="1">
      <x:c r="A4" s="8" t="s">
        <x:v>297</x:v>
      </x:c>
      <x:c r="B4" s="8" t="s">
        <x:v>298</x:v>
      </x:c>
      <x:c r="C4" s="8" t="s">
        <x:v>299</x:v>
      </x:c>
      <x:c r="D4" s="8" t="s">
        <x:v>300</x:v>
      </x:c>
      <x:c r="E4" s="8" t="s">
        <x:v>301</x:v>
      </x:c>
      <x:c r="F4" s="8" t="s">
        <x:v>302</x:v>
      </x:c>
      <x:c r="G4" s="25" t="s">
        <x:v>303</x:v>
      </x:c>
      <x:c r="H4" s="8" t="s">
        <x:v>93</x:v>
      </x:c>
      <x:c r="I4" s="8" t="s">
        <x:v>304</x:v>
      </x:c>
      <x:c r="J4" s="8" t="s">
        <x:v>475</x:v>
      </x:c>
    </x:row>
    <x:row r="5" ht="20" customHeight="1">
      <x:c r="A5" s="8"/>
      <x:c r="B5" s="8">
        <x:v>2026</x:v>
      </x:c>
      <x:c r="C5" s="8">
        <x:v>1</x:v>
      </x:c>
      <x:c r="D5" s="8"/>
      <x:c r="E5" s="8"/>
      <x:c r="F5" s="26" t="s">
        <x:v>120</x:v>
      </x:c>
      <x:c r="G5" s="27"/>
      <x:c r="H5" s="8"/>
      <x:c r="I5" s="8"/>
      <x:c r="J5" s="8"/>
    </x:row>
    <x:row r="6" ht="20" customHeight="1">
      <x:c r="A6" s="8"/>
      <x:c r="B6" s="8">
        <x:v>2026</x:v>
      </x:c>
      <x:c r="C6" s="8">
        <x:v>1</x:v>
      </x:c>
      <x:c r="D6" s="8"/>
      <x:c r="E6" s="8"/>
      <x:c r="F6" s="26" t="s">
        <x:v>121</x:v>
      </x:c>
      <x:c r="G6" s="27"/>
      <x:c r="H6" s="8"/>
      <x:c r="I6" s="8"/>
      <x:c r="J6" s="8"/>
    </x:row>
    <x:row r="7" ht="20" customHeight="1">
      <x:c r="A7" s="8"/>
      <x:c r="B7" s="8">
        <x:v>2026</x:v>
      </x:c>
      <x:c r="C7" s="8">
        <x:v>1</x:v>
      </x:c>
      <x:c r="D7" s="8"/>
      <x:c r="E7" s="8"/>
      <x:c r="F7" s="26" t="s">
        <x:v>122</x:v>
      </x:c>
      <x:c r="G7" s="28"/>
      <x:c r="H7" s="8"/>
      <x:c r="I7" s="8"/>
      <x:c r="J7" s="8"/>
    </x:row>
    <x:row r="8" ht="20" customHeight="1">
      <x:c r="A8" s="8"/>
      <x:c r="B8" s="8">
        <x:v>2026</x:v>
      </x:c>
      <x:c r="C8" s="8">
        <x:v>1</x:v>
      </x:c>
      <x:c r="D8" s="8"/>
      <x:c r="E8" s="8"/>
      <x:c r="F8" s="26" t="s">
        <x:v>123</x:v>
      </x:c>
      <x:c r="G8" s="27"/>
      <x:c r="H8" s="8"/>
      <x:c r="I8" s="8"/>
      <x:c r="J8" s="8"/>
    </x:row>
    <x:row r="9" ht="20" customHeight="1">
      <x:c r="A9" s="8"/>
      <x:c r="B9" s="8">
        <x:v>2026</x:v>
      </x:c>
      <x:c r="C9" s="8">
        <x:v>1</x:v>
      </x:c>
      <x:c r="D9" s="8"/>
      <x:c r="E9" s="8"/>
      <x:c r="F9" s="26" t="s">
        <x:v>124</x:v>
      </x:c>
      <x:c r="G9" s="27"/>
      <x:c r="H9" s="8"/>
      <x:c r="I9" s="8"/>
      <x:c r="J9" s="8"/>
    </x:row>
    <x:row r="10" ht="20" customHeight="1">
      <x:c r="A10" s="8"/>
      <x:c r="B10" s="8">
        <x:v>2026</x:v>
      </x:c>
      <x:c r="C10" s="8">
        <x:v>1</x:v>
      </x:c>
      <x:c r="D10" s="8"/>
      <x:c r="E10" s="8"/>
      <x:c r="F10" s="26" t="s">
        <x:v>125</x:v>
      </x:c>
      <x:c r="G10" s="27"/>
      <x:c r="H10" s="8"/>
      <x:c r="I10" s="8"/>
      <x:c r="J10" s="8"/>
    </x:row>
    <x:row r="11" ht="20" customHeight="1">
      <x:c r="A11" s="8"/>
      <x:c r="B11" s="8">
        <x:v>2026</x:v>
      </x:c>
      <x:c r="C11" s="8">
        <x:v>1</x:v>
      </x:c>
      <x:c r="D11" s="8"/>
      <x:c r="E11" s="8"/>
      <x:c r="F11" s="26" t="s">
        <x:v>126</x:v>
      </x:c>
      <x:c r="G11" s="27"/>
      <x:c r="H11" s="8"/>
      <x:c r="I11" s="8"/>
      <x:c r="J11" s="8"/>
    </x:row>
    <x:row r="12" ht="20" customHeight="1">
      <x:c r="A12" s="8"/>
      <x:c r="B12" s="8">
        <x:v>2026</x:v>
      </x:c>
      <x:c r="C12" s="8">
        <x:v>1</x:v>
      </x:c>
      <x:c r="D12" s="8"/>
      <x:c r="E12" s="8"/>
      <x:c r="F12" s="26" t="s">
        <x:v>127</x:v>
      </x:c>
      <x:c r="G12" s="28"/>
      <x:c r="H12" s="8"/>
      <x:c r="I12" s="8"/>
      <x:c r="J12" s="8"/>
    </x:row>
    <x:row r="13" ht="20" customHeight="1">
      <x:c r="A13" s="8"/>
      <x:c r="B13" s="8">
        <x:v>2026</x:v>
      </x:c>
      <x:c r="C13" s="8">
        <x:v>1</x:v>
      </x:c>
      <x:c r="D13" s="8"/>
      <x:c r="E13" s="8"/>
      <x:c r="F13" s="26" t="s">
        <x:v>128</x:v>
      </x:c>
      <x:c r="G13" s="27"/>
      <x:c r="H13" s="8"/>
      <x:c r="I13" s="8"/>
      <x:c r="J13" s="8"/>
    </x:row>
    <x:row r="14" ht="20" customHeight="1">
      <x:c r="A14" s="8"/>
      <x:c r="B14" s="8">
        <x:v>2026</x:v>
      </x:c>
      <x:c r="C14" s="8">
        <x:v>1</x:v>
      </x:c>
      <x:c r="D14" s="8"/>
      <x:c r="E14" s="8"/>
      <x:c r="F14" s="26" t="s">
        <x:v>129</x:v>
      </x:c>
      <x:c r="G14" s="27"/>
      <x:c r="H14" s="8"/>
      <x:c r="I14" s="8"/>
      <x:c r="J14" s="8"/>
    </x:row>
    <x:row r="15" ht="20" customHeight="1">
      <x:c r="A15" s="8"/>
      <x:c r="B15" s="8">
        <x:v>2026</x:v>
      </x:c>
      <x:c r="C15" s="8">
        <x:v>1</x:v>
      </x:c>
      <x:c r="D15" s="8"/>
      <x:c r="E15" s="8"/>
      <x:c r="F15" s="26" t="s">
        <x:v>96</x:v>
      </x:c>
      <x:c r="G15" s="28"/>
      <x:c r="H15" s="8"/>
      <x:c r="I15" s="8"/>
      <x:c r="J15" s="8"/>
    </x:row>
    <x:row r="16" ht="20" customHeight="1">
      <x:c r="A16" s="8"/>
      <x:c r="B16" s="8"/>
      <x:c r="C16" s="8"/>
      <x:c r="D16" s="8"/>
      <x:c r="E16" s="8"/>
      <x:c r="F16" s="8"/>
      <x:c r="G16" s="25"/>
      <x:c r="H16" s="8"/>
      <x:c r="I16" s="8"/>
      <x:c r="J16" s="8"/>
    </x:row>
    <x:row r="17" ht="20" customHeight="1">
      <x:c r="A17" s="8"/>
      <x:c r="B17" s="8"/>
      <x:c r="C17" s="8"/>
      <x:c r="D17" s="8"/>
      <x:c r="E17" s="8"/>
      <x:c r="F17" s="8"/>
      <x:c r="G17" s="25"/>
      <x:c r="H17" s="8"/>
      <x:c r="I17" s="8"/>
      <x:c r="J17" s="8"/>
    </x:row>
    <x:row r="18" ht="20" customHeight="1">
      <x:c r="A18" s="8"/>
      <x:c r="B18" s="8"/>
      <x:c r="C18" s="8"/>
      <x:c r="D18" s="8"/>
      <x:c r="E18" s="8"/>
      <x:c r="F18" s="8"/>
      <x:c r="G18" s="25"/>
      <x:c r="H18" s="8"/>
      <x:c r="I18" s="8"/>
      <x:c r="J18" s="8"/>
    </x:row>
    <x:row r="19" ht="20" customHeight="1">
      <x:c r="A19" s="8"/>
      <x:c r="B19" s="8"/>
      <x:c r="C19" s="8"/>
      <x:c r="D19" s="8"/>
      <x:c r="E19" s="8"/>
      <x:c r="F19" s="8"/>
      <x:c r="G19" s="25"/>
      <x:c r="H19" s="8"/>
      <x:c r="I19" s="8"/>
      <x:c r="J19" s="8"/>
    </x:row>
    <x:row r="20" ht="20" customHeight="1">
      <x:c r="A20" s="8"/>
      <x:c r="B20" s="8"/>
      <x:c r="C20" s="8"/>
      <x:c r="D20" s="8"/>
      <x:c r="E20" s="8"/>
      <x:c r="F20" s="8"/>
      <x:c r="G20" s="25"/>
      <x:c r="H20" s="8"/>
      <x:c r="I20" s="8"/>
      <x:c r="J20" s="8"/>
    </x:row>
    <x:row r="21" ht="20" customHeight="1">
      <x:c r="A21" s="8"/>
      <x:c r="B21" s="8"/>
      <x:c r="C21" s="8"/>
      <x:c r="D21" s="8"/>
      <x:c r="E21" s="8"/>
      <x:c r="F21" s="8"/>
      <x:c r="G21" s="25"/>
      <x:c r="H21" s="8"/>
      <x:c r="I21" s="8"/>
      <x:c r="J21" s="8"/>
    </x:row>
    <x:row r="22" ht="20" customHeight="1">
      <x:c r="A22" s="8"/>
      <x:c r="B22" s="8"/>
      <x:c r="C22" s="8"/>
      <x:c r="D22" s="8"/>
      <x:c r="E22" s="8"/>
      <x:c r="F22" s="8"/>
      <x:c r="G22" s="25"/>
      <x:c r="H22" s="8"/>
      <x:c r="I22" s="8"/>
      <x:c r="J22" s="8"/>
    </x:row>
    <x:row r="23" ht="20" customHeight="1">
      <x:c r="A23" s="8"/>
      <x:c r="B23" s="8"/>
      <x:c r="C23" s="8"/>
      <x:c r="D23" s="8"/>
      <x:c r="E23" s="8"/>
      <x:c r="F23" s="8"/>
      <x:c r="G23" s="25"/>
      <x:c r="H23" s="8"/>
      <x:c r="I23" s="8"/>
      <x:c r="J23" s="8"/>
    </x:row>
    <x:row r="24" ht="20" customHeight="1">
      <x:c r="A24" s="8"/>
      <x:c r="B24" s="8"/>
      <x:c r="C24" s="8"/>
      <x:c r="D24" s="8"/>
      <x:c r="E24" s="8"/>
      <x:c r="F24" s="8"/>
      <x:c r="G24" s="25"/>
      <x:c r="H24" s="8"/>
      <x:c r="I24" s="8"/>
      <x:c r="J24" s="8"/>
    </x:row>
    <x:row r="25" ht="20" customHeight="1">
      <x:c r="A25" s="8"/>
      <x:c r="B25" s="8"/>
      <x:c r="C25" s="8"/>
      <x:c r="D25" s="8"/>
      <x:c r="E25" s="8"/>
      <x:c r="F25" s="8"/>
      <x:c r="G25" s="25"/>
      <x:c r="H25" s="8"/>
      <x:c r="I25" s="8"/>
      <x:c r="J25" s="8"/>
    </x:row>
    <x:row r="26" ht="20" customHeight="1">
      <x:c r="A26" s="8"/>
      <x:c r="B26" s="8"/>
      <x:c r="C26" s="8"/>
      <x:c r="D26" s="8"/>
      <x:c r="E26" s="8"/>
      <x:c r="F26" s="8"/>
      <x:c r="G26" s="25"/>
      <x:c r="H26" s="8"/>
      <x:c r="I26" s="8"/>
      <x:c r="J26" s="8"/>
    </x:row>
    <x:row r="27" ht="20" customHeight="1">
      <x:c r="A27" s="8"/>
      <x:c r="B27" s="8"/>
      <x:c r="C27" s="8"/>
      <x:c r="D27" s="8"/>
      <x:c r="E27" s="8"/>
      <x:c r="F27" s="8"/>
      <x:c r="G27" s="25"/>
      <x:c r="H27" s="8"/>
      <x:c r="I27" s="8"/>
      <x:c r="J27" s="8"/>
    </x:row>
    <x:row r="28" ht="20" customHeight="1">
      <x:c r="A28" s="8"/>
      <x:c r="B28" s="8"/>
      <x:c r="C28" s="8"/>
      <x:c r="D28" s="8"/>
      <x:c r="E28" s="8"/>
      <x:c r="F28" s="8"/>
      <x:c r="G28" s="25"/>
      <x:c r="H28" s="8"/>
      <x:c r="I28" s="8"/>
      <x:c r="J28" s="8"/>
    </x:row>
    <x:row r="29" ht="20" customHeight="1">
      <x:c r="A29" s="8"/>
      <x:c r="B29" s="8"/>
      <x:c r="C29" s="8"/>
      <x:c r="D29" s="8"/>
      <x:c r="E29" s="8"/>
      <x:c r="F29" s="8"/>
      <x:c r="G29" s="25"/>
      <x:c r="H29" s="8"/>
      <x:c r="I29" s="8"/>
      <x:c r="J29" s="8"/>
    </x:row>
    <x:row r="30" ht="20" customHeight="1">
      <x:c r="A30" s="8"/>
      <x:c r="B30" s="8"/>
      <x:c r="C30" s="8"/>
      <x:c r="D30" s="8"/>
      <x:c r="E30" s="8"/>
      <x:c r="F30" s="8"/>
      <x:c r="G30" s="25"/>
      <x:c r="H30" s="8"/>
      <x:c r="I30" s="8"/>
      <x:c r="J30" s="8"/>
    </x:row>
    <x:row r="31" ht="20" customHeight="1">
      <x:c r="A31" s="8"/>
      <x:c r="B31" s="8"/>
      <x:c r="C31" s="8"/>
      <x:c r="D31" s="8"/>
      <x:c r="E31" s="8"/>
      <x:c r="F31" s="8"/>
      <x:c r="G31" s="25"/>
      <x:c r="H31" s="8"/>
      <x:c r="I31" s="8"/>
      <x:c r="J31" s="8"/>
    </x:row>
    <x:row r="32" ht="20" customHeight="1">
      <x:c r="A32" s="8"/>
      <x:c r="B32" s="8"/>
      <x:c r="C32" s="8"/>
      <x:c r="D32" s="8"/>
      <x:c r="E32" s="8"/>
      <x:c r="F32" s="8"/>
      <x:c r="G32" s="25"/>
      <x:c r="H32" s="8"/>
      <x:c r="I32" s="8"/>
      <x:c r="J32" s="8"/>
    </x:row>
    <x:row r="33" ht="20" customHeight="1">
      <x:c r="A33" s="8"/>
      <x:c r="B33" s="8"/>
      <x:c r="C33" s="8"/>
      <x:c r="D33" s="8"/>
      <x:c r="E33" s="8"/>
      <x:c r="F33" s="8"/>
      <x:c r="G33" s="25"/>
      <x:c r="H33" s="8"/>
      <x:c r="I33" s="8"/>
      <x:c r="J33" s="8"/>
    </x:row>
    <x:row r="34" ht="20" customHeight="1">
      <x:c r="A34" s="8"/>
      <x:c r="B34" s="8"/>
      <x:c r="C34" s="8"/>
      <x:c r="D34" s="8"/>
      <x:c r="E34" s="8"/>
      <x:c r="F34" s="8"/>
      <x:c r="G34" s="25"/>
      <x:c r="H34" s="8"/>
      <x:c r="I34" s="8"/>
      <x:c r="J34" s="8"/>
    </x:row>
    <x:row r="35" ht="20" customHeight="1">
      <x:c r="A35" s="8"/>
      <x:c r="B35" s="8"/>
      <x:c r="C35" s="8"/>
      <x:c r="D35" s="8"/>
      <x:c r="E35" s="8"/>
      <x:c r="F35" s="8"/>
      <x:c r="G35" s="25"/>
      <x:c r="H35" s="8"/>
      <x:c r="I35" s="8"/>
      <x:c r="J35" s="8"/>
    </x:row>
    <x:row r="36" ht="20" customHeight="1">
      <x:c r="A36" s="8"/>
      <x:c r="B36" s="8"/>
      <x:c r="C36" s="8"/>
      <x:c r="D36" s="8"/>
      <x:c r="E36" s="8"/>
      <x:c r="F36" s="8"/>
      <x:c r="G36" s="25"/>
      <x:c r="H36" s="8"/>
      <x:c r="I36" s="8"/>
      <x:c r="J36" s="8"/>
    </x:row>
    <x:row r="37" ht="20" customHeight="1">
      <x:c r="A37" s="8"/>
      <x:c r="B37" s="8"/>
      <x:c r="C37" s="8"/>
      <x:c r="D37" s="8"/>
      <x:c r="E37" s="8"/>
      <x:c r="F37" s="8"/>
      <x:c r="G37" s="25"/>
      <x:c r="H37" s="8"/>
      <x:c r="I37" s="8"/>
      <x:c r="J37" s="8"/>
    </x:row>
    <x:row r="38" ht="20" customHeight="1">
      <x:c r="A38" s="8"/>
      <x:c r="B38" s="8"/>
      <x:c r="C38" s="8"/>
      <x:c r="D38" s="8"/>
      <x:c r="E38" s="8"/>
      <x:c r="F38" s="8"/>
      <x:c r="G38" s="25"/>
      <x:c r="H38" s="8"/>
      <x:c r="I38" s="8"/>
      <x:c r="J38" s="8"/>
    </x:row>
    <x:row r="39" ht="20" customHeight="1">
      <x:c r="A39" s="8"/>
      <x:c r="B39" s="8"/>
      <x:c r="C39" s="8"/>
      <x:c r="D39" s="8"/>
      <x:c r="E39" s="8"/>
      <x:c r="F39" s="8"/>
      <x:c r="G39" s="25"/>
      <x:c r="H39" s="8"/>
      <x:c r="I39" s="8"/>
      <x:c r="J39" s="8"/>
    </x:row>
    <x:row r="40" ht="20" customHeight="1">
      <x:c r="A40" s="8"/>
      <x:c r="B40" s="8"/>
      <x:c r="C40" s="8"/>
      <x:c r="D40" s="8"/>
      <x:c r="E40" s="8"/>
      <x:c r="F40" s="8"/>
      <x:c r="G40" s="25"/>
      <x:c r="H40" s="8"/>
      <x:c r="I40" s="8"/>
      <x:c r="J40" s="8"/>
    </x:row>
    <x:row r="41" ht="20" customHeight="1">
      <x:c r="A41" s="8"/>
      <x:c r="B41" s="8"/>
      <x:c r="C41" s="8"/>
      <x:c r="D41" s="8"/>
      <x:c r="E41" s="8"/>
      <x:c r="F41" s="8"/>
      <x:c r="G41" s="25"/>
      <x:c r="H41" s="8"/>
      <x:c r="I41" s="8"/>
      <x:c r="J41" s="8"/>
    </x:row>
    <x:row r="42" ht="20" customHeight="1">
      <x:c r="A42" s="8"/>
      <x:c r="B42" s="8"/>
      <x:c r="C42" s="8"/>
      <x:c r="D42" s="8"/>
      <x:c r="E42" s="8"/>
      <x:c r="F42" s="8"/>
      <x:c r="G42" s="25"/>
      <x:c r="H42" s="8"/>
      <x:c r="I42" s="8"/>
      <x:c r="J42" s="8"/>
    </x:row>
    <x:row r="43" ht="20" customHeight="1">
      <x:c r="A43" s="8"/>
      <x:c r="B43" s="8"/>
      <x:c r="C43" s="8"/>
      <x:c r="D43" s="8"/>
      <x:c r="E43" s="8"/>
      <x:c r="F43" s="8"/>
      <x:c r="G43" s="25"/>
      <x:c r="H43" s="8"/>
      <x:c r="I43" s="8"/>
      <x:c r="J43" s="8"/>
    </x:row>
    <x:row r="44" ht="20" customHeight="1">
      <x:c r="A44" s="8"/>
      <x:c r="B44" s="8"/>
      <x:c r="C44" s="8"/>
      <x:c r="D44" s="8"/>
      <x:c r="E44" s="8"/>
      <x:c r="F44" s="8"/>
      <x:c r="G44" s="25"/>
      <x:c r="H44" s="8"/>
      <x:c r="I44" s="8"/>
      <x:c r="J44" s="8"/>
    </x:row>
    <x:row r="45">
      <x:c r="A45" s="126" t="s">
        <x:v>49</x:v>
      </x:c>
      <x:c r="B45" s="126"/>
      <x:c r="C45" s="126"/>
      <x:c r="D45" s="126"/>
      <x:c r="E45" s="126"/>
      <x:c r="F45" s="126"/>
      <x:c r="G45" s="30" t="e">
        <x:f>SUBTOTAL(9,#REF!)</x:f>
        <x:v>#REF!</x:v>
      </x:c>
      <x:c r="H45" s="8"/>
      <x:c r="I45" s="8"/>
      <x:c r="J45" s="8"/>
    </x:row>
    <x:row r="48">
      <x:c r="A48" s="112" t="s">
        <x:v>50</x:v>
      </x:c>
      <x:c r="B48" s="112" t="s">
        <x:v>2</x:v>
      </x:c>
      <x:c r="C48" s="124" t="s">
        <x:v>476</x:v>
      </x:c>
      <x:c r="E48" s="112" t="s">
        <x:v>50</x:v>
      </x:c>
      <x:c r="F48" s="112" t="s">
        <x:v>2</x:v>
      </x:c>
      <x:c r="G48" s="124" t="s">
        <x:v>477</x:v>
      </x:c>
      <x:c r="I48" s="112" t="s">
        <x:v>50</x:v>
      </x:c>
      <x:c r="J48" s="112" t="s">
        <x:v>2</x:v>
      </x:c>
      <x:c r="K48" s="124" t="s">
        <x:v>478</x:v>
      </x:c>
    </x:row>
    <x:row r="49">
      <x:c r="A49" s="112"/>
      <x:c r="B49" s="112"/>
      <x:c r="C49" s="124"/>
      <x:c r="E49" s="112"/>
      <x:c r="F49" s="112"/>
      <x:c r="G49" s="124"/>
      <x:c r="I49" s="112"/>
      <x:c r="J49" s="112"/>
      <x:c r="K49" s="124"/>
    </x:row>
    <x:row r="50">
      <x:c r="A50" s="13" t="s">
        <x:v>164</x:v>
      </x:c>
      <x:c r="B50" s="13" t="s">
        <x:v>75</x:v>
      </x:c>
      <x:c r="C50" s="19"/>
      <x:c r="E50" s="13" t="s">
        <x:v>164</x:v>
      </x:c>
      <x:c r="F50" s="13" t="s">
        <x:v>75</x:v>
      </x:c>
      <x:c r="G50" s="19" t="e">
        <x:f>$D$52*研发人员工时统计合计!J43</x:f>
        <x:v>#NAME?</x:v>
      </x:c>
      <x:c r="H50" s="22" t="e">
        <x:v>#N/A</x:v>
      </x:c>
      <x:c r="I50" s="13" t="s">
        <x:v>164</x:v>
      </x:c>
      <x:c r="J50" s="13" t="s">
        <x:v>75</x:v>
      </x:c>
      <x:c r="K50" s="19" t="e">
        <x:f>C50+G50</x:f>
        <x:v>#NAME?</x:v>
      </x:c>
    </x:row>
    <x:row r="51">
      <x:c r="A51" s="13" t="s">
        <x:v>165</x:v>
      </x:c>
      <x:c r="B51" s="13" t="s">
        <x:v>76</x:v>
      </x:c>
      <x:c r="C51" s="19"/>
      <x:c r="E51" s="13" t="s">
        <x:v>165</x:v>
      </x:c>
      <x:c r="F51" s="13" t="s">
        <x:v>76</x:v>
      </x:c>
      <x:c r="G51" s="19" t="e">
        <x:f>$D$52*研发人员工时统计合计!J44</x:f>
        <x:v>#NAME?</x:v>
      </x:c>
      <x:c r="H51" s="22" t="e">
        <x:v>#N/A</x:v>
      </x:c>
      <x:c r="I51" s="13" t="s">
        <x:v>165</x:v>
      </x:c>
      <x:c r="J51" s="13" t="s">
        <x:v>76</x:v>
      </x:c>
      <x:c r="K51" s="19" t="e">
        <x:f t="shared" ref="K51:K67" si="0">C51+G51</x:f>
        <x:v>#NAME?</x:v>
      </x:c>
    </x:row>
    <x:row r="52">
      <x:c r="A52" s="13" t="s">
        <x:v>166</x:v>
      </x:c>
      <x:c r="B52" s="13" t="s">
        <x:v>77</x:v>
      </x:c>
      <x:c r="C52" s="19" t="n">
        <x:f>G14</x:f>
        <x:v>0</x:v>
      </x:c>
      <x:c r="D52" s="22" t="n">
        <x:f>G7+G12+G15</x:f>
        <x:v>0</x:v>
      </x:c>
      <x:c r="E52" s="13" t="s">
        <x:v>166</x:v>
      </x:c>
      <x:c r="F52" s="13" t="s">
        <x:v>77</x:v>
      </x:c>
      <x:c r="G52" s="19" t="e">
        <x:f>$D$52*研发人员工时统计合计!J45</x:f>
        <x:v>#NAME?</x:v>
      </x:c>
      <x:c r="H52" s="22" t="e">
        <x:v>#N/A</x:v>
      </x:c>
      <x:c r="I52" s="13" t="s">
        <x:v>166</x:v>
      </x:c>
      <x:c r="J52" s="13" t="s">
        <x:v>77</x:v>
      </x:c>
      <x:c r="K52" s="19">
        <x:f t="shared" si="0"/>
        <x:v>0</x:v>
      </x:c>
    </x:row>
    <x:row r="53">
      <x:c r="A53" s="13" t="s">
        <x:v>167</x:v>
      </x:c>
      <x:c r="B53" s="13" t="s">
        <x:v>78</x:v>
      </x:c>
      <x:c r="C53" s="19" t="n">
        <x:f>G13</x:f>
        <x:v>0</x:v>
      </x:c>
      <x:c r="E53" s="13" t="s">
        <x:v>167</x:v>
      </x:c>
      <x:c r="F53" s="13" t="s">
        <x:v>78</x:v>
      </x:c>
      <x:c r="G53" s="19" t="e">
        <x:f>$D$52*研发人员工时统计合计!J46</x:f>
        <x:v>#NAME?</x:v>
      </x:c>
      <x:c r="H53" s="22" t="e">
        <x:v>#N/A</x:v>
      </x:c>
      <x:c r="I53" s="13" t="s">
        <x:v>167</x:v>
      </x:c>
      <x:c r="J53" s="13" t="s">
        <x:v>78</x:v>
      </x:c>
      <x:c r="K53" s="19">
        <x:f t="shared" si="0"/>
        <x:v>0</x:v>
      </x:c>
    </x:row>
    <x:row r="54">
      <x:c r="A54" s="13" t="s">
        <x:v>168</x:v>
      </x:c>
      <x:c r="B54" s="13" t="s">
        <x:v>79</x:v>
      </x:c>
      <x:c r="C54" s="19" t="n">
        <x:f>G10</x:f>
        <x:v>0</x:v>
      </x:c>
      <x:c r="E54" s="13" t="s">
        <x:v>168</x:v>
      </x:c>
      <x:c r="F54" s="13" t="s">
        <x:v>79</x:v>
      </x:c>
      <x:c r="G54" s="19" t="e">
        <x:f>$D$52*研发人员工时统计合计!J47</x:f>
        <x:v>#NAME?</x:v>
      </x:c>
      <x:c r="H54" s="22" t="e">
        <x:v>#N/A</x:v>
      </x:c>
      <x:c r="I54" s="13" t="s">
        <x:v>168</x:v>
      </x:c>
      <x:c r="J54" s="13" t="s">
        <x:v>79</x:v>
      </x:c>
      <x:c r="K54" s="19">
        <x:f t="shared" si="0"/>
        <x:v>0</x:v>
      </x:c>
    </x:row>
    <x:row r="55">
      <x:c r="A55" s="13" t="s">
        <x:v>169</x:v>
      </x:c>
      <x:c r="B55" s="13" t="s">
        <x:v>80</x:v>
      </x:c>
      <x:c r="C55" s="19"/>
      <x:c r="E55" s="13" t="s">
        <x:v>169</x:v>
      </x:c>
      <x:c r="F55" s="13" t="s">
        <x:v>80</x:v>
      </x:c>
      <x:c r="G55" s="19" t="e">
        <x:f>$D$52*研发人员工时统计合计!J48</x:f>
        <x:v>#NAME?</x:v>
      </x:c>
      <x:c r="H55" s="22" t="e">
        <x:v>#N/A</x:v>
      </x:c>
      <x:c r="I55" s="13" t="s">
        <x:v>169</x:v>
      </x:c>
      <x:c r="J55" s="13" t="s">
        <x:v>80</x:v>
      </x:c>
      <x:c r="K55" s="19">
        <x:f t="shared" si="0"/>
        <x:v>0</x:v>
      </x:c>
    </x:row>
    <x:row r="56">
      <x:c r="A56" s="13" t="s">
        <x:v>170</x:v>
      </x:c>
      <x:c r="B56" s="13" t="s">
        <x:v>81</x:v>
      </x:c>
      <x:c r="C56" s="19" t="n">
        <x:f>G9</x:f>
        <x:v>0</x:v>
      </x:c>
      <x:c r="E56" s="13" t="s">
        <x:v>170</x:v>
      </x:c>
      <x:c r="F56" s="13" t="s">
        <x:v>81</x:v>
      </x:c>
      <x:c r="G56" s="19" t="e">
        <x:f>$D$52*研发人员工时统计合计!J49</x:f>
        <x:v>#NAME?</x:v>
      </x:c>
      <x:c r="H56" s="22" t="e">
        <x:v>#N/A</x:v>
      </x:c>
      <x:c r="I56" s="13" t="s">
        <x:v>170</x:v>
      </x:c>
      <x:c r="J56" s="13" t="s">
        <x:v>81</x:v>
      </x:c>
      <x:c r="K56" s="19">
        <x:f t="shared" si="0"/>
        <x:v>0</x:v>
      </x:c>
    </x:row>
    <x:row r="57">
      <x:c r="A57" s="13" t="s">
        <x:v>171</x:v>
      </x:c>
      <x:c r="B57" s="13" t="s">
        <x:v>82</x:v>
      </x:c>
      <x:c r="C57" s="19" t="n">
        <x:f>G8</x:f>
        <x:v>0</x:v>
      </x:c>
      <x:c r="E57" s="13" t="s">
        <x:v>171</x:v>
      </x:c>
      <x:c r="F57" s="13" t="s">
        <x:v>82</x:v>
      </x:c>
      <x:c r="G57" s="19" t="e">
        <x:f>$D$52*研发人员工时统计合计!J50</x:f>
        <x:v>#NAME?</x:v>
      </x:c>
      <x:c r="H57" s="22" t="e">
        <x:v>#N/A</x:v>
      </x:c>
      <x:c r="I57" s="13" t="s">
        <x:v>171</x:v>
      </x:c>
      <x:c r="J57" s="13" t="s">
        <x:v>82</x:v>
      </x:c>
      <x:c r="K57" s="19">
        <x:f t="shared" si="0"/>
        <x:v>0</x:v>
      </x:c>
    </x:row>
    <x:row r="58">
      <x:c r="A58" s="13" t="s">
        <x:v>172</x:v>
      </x:c>
      <x:c r="B58" s="13" t="s">
        <x:v>83</x:v>
      </x:c>
      <x:c r="C58" s="19"/>
      <x:c r="E58" s="13" t="s">
        <x:v>172</x:v>
      </x:c>
      <x:c r="F58" s="13" t="s">
        <x:v>83</x:v>
      </x:c>
      <x:c r="G58" s="19" t="e">
        <x:f>$D$52*研发人员工时统计合计!J51</x:f>
        <x:v>#NAME?</x:v>
      </x:c>
      <x:c r="H58" s="22" t="e">
        <x:v>#N/A</x:v>
      </x:c>
      <x:c r="I58" s="13" t="s">
        <x:v>172</x:v>
      </x:c>
      <x:c r="J58" s="13" t="s">
        <x:v>83</x:v>
      </x:c>
      <x:c r="K58" s="19">
        <x:f t="shared" si="0"/>
        <x:v>0</x:v>
      </x:c>
    </x:row>
    <x:row r="59">
      <x:c r="A59" s="13" t="s">
        <x:v>173</x:v>
      </x:c>
      <x:c r="B59" s="13" t="s">
        <x:v>84</x:v>
      </x:c>
      <x:c r="C59" s="19"/>
      <x:c r="E59" s="13" t="s">
        <x:v>173</x:v>
      </x:c>
      <x:c r="F59" s="13" t="s">
        <x:v>84</x:v>
      </x:c>
      <x:c r="G59" s="19" t="e">
        <x:f>$D$52*研发人员工时统计合计!J52</x:f>
        <x:v>#NAME?</x:v>
      </x:c>
      <x:c r="H59" s="22" t="e">
        <x:v>#N/A</x:v>
      </x:c>
      <x:c r="I59" s="13" t="s">
        <x:v>173</x:v>
      </x:c>
      <x:c r="J59" s="13" t="s">
        <x:v>84</x:v>
      </x:c>
      <x:c r="K59" s="19">
        <x:f t="shared" si="0"/>
        <x:v>0</x:v>
      </x:c>
    </x:row>
    <x:row r="60">
      <x:c r="A60" s="13" t="s">
        <x:v>174</x:v>
      </x:c>
      <x:c r="B60" s="13" t="s">
        <x:v>85</x:v>
      </x:c>
      <x:c r="C60" s="19"/>
      <x:c r="E60" s="13" t="s">
        <x:v>174</x:v>
      </x:c>
      <x:c r="F60" s="13" t="s">
        <x:v>85</x:v>
      </x:c>
      <x:c r="G60" s="19" t="e">
        <x:f>$D$52*研发人员工时统计合计!J53</x:f>
        <x:v>#NAME?</x:v>
      </x:c>
      <x:c r="H60" s="22" t="e">
        <x:v>#N/A</x:v>
      </x:c>
      <x:c r="I60" s="13" t="s">
        <x:v>174</x:v>
      </x:c>
      <x:c r="J60" s="13" t="s">
        <x:v>85</x:v>
      </x:c>
      <x:c r="K60" s="19">
        <x:f t="shared" si="0"/>
        <x:v>0</x:v>
      </x:c>
    </x:row>
    <x:row r="61">
      <x:c r="A61" s="13" t="s">
        <x:v>273</x:v>
      </x:c>
      <x:c r="B61" s="13" t="s">
        <x:v>86</x:v>
      </x:c>
      <x:c r="C61" s="19"/>
      <x:c r="E61" s="13" t="s">
        <x:v>273</x:v>
      </x:c>
      <x:c r="F61" s="13" t="s">
        <x:v>86</x:v>
      </x:c>
      <x:c r="G61" s="19" t="e">
        <x:f>$D$52*研发人员工时统计合计!J54</x:f>
        <x:v>#NAME?</x:v>
      </x:c>
      <x:c r="H61" s="22" t="e">
        <x:v>#N/A</x:v>
      </x:c>
      <x:c r="I61" s="13" t="s">
        <x:v>273</x:v>
      </x:c>
      <x:c r="J61" s="13" t="s">
        <x:v>86</x:v>
      </x:c>
      <x:c r="K61" s="19">
        <x:f t="shared" si="0"/>
        <x:v>0</x:v>
      </x:c>
    </x:row>
    <x:row r="62">
      <x:c r="A62" s="13" t="s">
        <x:v>176</x:v>
      </x:c>
      <x:c r="B62" s="13" t="s">
        <x:v>87</x:v>
      </x:c>
      <x:c r="C62" s="19"/>
      <x:c r="E62" s="13" t="s">
        <x:v>176</x:v>
      </x:c>
      <x:c r="F62" s="13" t="s">
        <x:v>87</x:v>
      </x:c>
      <x:c r="G62" s="19" t="e">
        <x:f>$D$52*研发人员工时统计合计!J55</x:f>
        <x:v>#NAME?</x:v>
      </x:c>
      <x:c r="H62" s="22" t="e">
        <x:v>#N/A</x:v>
      </x:c>
      <x:c r="I62" s="13" t="s">
        <x:v>176</x:v>
      </x:c>
      <x:c r="J62" s="13" t="s">
        <x:v>87</x:v>
      </x:c>
      <x:c r="K62" s="19">
        <x:f t="shared" si="0"/>
        <x:v>0</x:v>
      </x:c>
    </x:row>
    <x:row r="63">
      <x:c r="A63" s="13" t="s">
        <x:v>177</x:v>
      </x:c>
      <x:c r="B63" s="13" t="s">
        <x:v>88</x:v>
      </x:c>
      <x:c r="C63" s="19"/>
      <x:c r="E63" s="13" t="s">
        <x:v>177</x:v>
      </x:c>
      <x:c r="F63" s="13" t="s">
        <x:v>88</x:v>
      </x:c>
      <x:c r="G63" s="19" t="e">
        <x:f>$D$52*研发人员工时统计合计!J56</x:f>
        <x:v>#NAME?</x:v>
      </x:c>
      <x:c r="H63" s="22" t="e">
        <x:v>#N/A</x:v>
      </x:c>
      <x:c r="I63" s="13" t="s">
        <x:v>177</x:v>
      </x:c>
      <x:c r="J63" s="13" t="s">
        <x:v>88</x:v>
      </x:c>
      <x:c r="K63" s="19">
        <x:f t="shared" si="0"/>
        <x:v>0</x:v>
      </x:c>
    </x:row>
    <x:row r="64">
      <x:c r="A64" s="13" t="s">
        <x:v>168</x:v>
      </x:c>
      <x:c r="B64" s="13" t="s">
        <x:v>89</x:v>
      </x:c>
      <x:c r="C64" s="19"/>
      <x:c r="E64" s="13" t="s">
        <x:v>168</x:v>
      </x:c>
      <x:c r="F64" s="13" t="s">
        <x:v>89</x:v>
      </x:c>
      <x:c r="G64" s="19" t="e">
        <x:f>$D$52*研发人员工时统计合计!J57</x:f>
        <x:v>#NAME?</x:v>
      </x:c>
      <x:c r="H64" s="22" t="e">
        <x:v>#N/A</x:v>
      </x:c>
      <x:c r="I64" s="13" t="s">
        <x:v>168</x:v>
      </x:c>
      <x:c r="J64" s="13" t="s">
        <x:v>89</x:v>
      </x:c>
      <x:c r="K64" s="19">
        <x:f t="shared" si="0"/>
        <x:v>0</x:v>
      </x:c>
    </x:row>
    <x:row r="65" ht="17">
      <x:c r="A65" s="13" t="s">
        <x:v>274</x:v>
      </x:c>
      <x:c r="B65" s="15" t="s">
        <x:v>90</x:v>
      </x:c>
      <x:c r="C65" s="19" t="n">
        <x:f>G6</x:f>
        <x:v>0</x:v>
      </x:c>
      <x:c r="E65" s="13" t="s">
        <x:v>274</x:v>
      </x:c>
      <x:c r="F65" s="15" t="s">
        <x:v>90</x:v>
      </x:c>
      <x:c r="G65" s="19" t="e">
        <x:f>$D$52*研发人员工时统计合计!J58</x:f>
        <x:v>#NAME?</x:v>
      </x:c>
      <x:c r="H65" s="22" t="e">
        <x:v>#N/A</x:v>
      </x:c>
      <x:c r="I65" s="13" t="s">
        <x:v>274</x:v>
      </x:c>
      <x:c r="J65" s="15" t="s">
        <x:v>90</x:v>
      </x:c>
      <x:c r="K65" s="19">
        <x:f t="shared" si="0"/>
        <x:v>0</x:v>
      </x:c>
    </x:row>
    <x:row r="66" ht="17">
      <x:c r="A66" s="13" t="s">
        <x:v>275</x:v>
      </x:c>
      <x:c r="B66" s="15" t="s">
        <x:v>19</x:v>
      </x:c>
      <x:c r="C66" s="19" t="n">
        <x:f>G5</x:f>
        <x:v>0</x:v>
      </x:c>
      <x:c r="E66" s="13" t="s">
        <x:v>275</x:v>
      </x:c>
      <x:c r="F66" s="15" t="s">
        <x:v>19</x:v>
      </x:c>
      <x:c r="G66" s="19" t="e">
        <x:f>$D$52*研发人员工时统计合计!J59</x:f>
        <x:v>#NAME?</x:v>
      </x:c>
      <x:c r="H66" s="22" t="e">
        <x:v>#N/A</x:v>
      </x:c>
      <x:c r="I66" s="13" t="s">
        <x:v>275</x:v>
      </x:c>
      <x:c r="J66" s="15" t="s">
        <x:v>19</x:v>
      </x:c>
      <x:c r="K66" s="19">
        <x:f t="shared" si="0"/>
        <x:v>0</x:v>
      </x:c>
    </x:row>
    <x:row r="67" ht="17">
      <x:c r="A67" s="13" t="s">
        <x:v>276</x:v>
      </x:c>
      <x:c r="B67" s="15" t="s">
        <x:v>34</x:v>
      </x:c>
      <x:c r="C67" s="19" t="n">
        <x:f>G11</x:f>
        <x:v>0</x:v>
      </x:c>
      <x:c r="E67" s="13" t="s">
        <x:v>276</x:v>
      </x:c>
      <x:c r="F67" s="15" t="s">
        <x:v>34</x:v>
      </x:c>
      <x:c r="G67" s="19" t="e">
        <x:f>$D$52*研发人员工时统计合计!J60</x:f>
        <x:v>#NAME?</x:v>
      </x:c>
      <x:c r="H67" s="22" t="e">
        <x:v>#N/A</x:v>
      </x:c>
      <x:c r="I67" s="13" t="s">
        <x:v>276</x:v>
      </x:c>
      <x:c r="J67" s="15" t="s">
        <x:v>34</x:v>
      </x:c>
      <x:c r="K67" s="19">
        <x:f t="shared" si="0"/>
        <x:v>0</x:v>
      </x:c>
    </x:row>
    <x:row r="68">
      <x:c r="A68" s="111" t="s">
        <x:v>49</x:v>
      </x:c>
      <x:c r="B68" s="111"/>
      <x:c r="C68" s="19" t="n">
        <x:f>SUM(C50:C67)</x:f>
        <x:v>0</x:v>
      </x:c>
      <x:c r="E68" s="111" t="s">
        <x:v>49</x:v>
      </x:c>
      <x:c r="F68" s="111"/>
      <x:c r="G68" s="19" t="e">
        <x:f>SUBTOTAL(9,G50:G67)</x:f>
        <x:v>#NAME?</x:v>
      </x:c>
      <x:c r="I68" s="111" t="s">
        <x:v>49</x:v>
      </x:c>
      <x:c r="J68" s="111"/>
      <x:c r="K68" s="19" t="e">
        <x:f>SUM(K50:K67)</x:f>
        <x:v>#NAME?</x:v>
      </x:c>
    </x:row>
    <x:row r="69">
      <x:c r="G69" s="22"/>
    </x:row>
  </x:sheetData>
  <x:mergeCells>
    <x:mergeCell ref="A68:B68"/>
    <x:mergeCell ref="E68:F68"/>
    <x:mergeCell ref="I68:J68"/>
    <x:mergeCell ref="A48:A49"/>
    <x:mergeCell ref="B48:B49"/>
    <x:mergeCell ref="C48:C49"/>
    <x:mergeCell ref="E48:E49"/>
    <x:mergeCell ref="F48:F49"/>
    <x:mergeCell ref="G48:G49"/>
    <x:mergeCell ref="I48:I49"/>
    <x:mergeCell ref="J48:J49"/>
    <x:mergeCell ref="K48:K49"/>
    <x:mergeCell ref="A1:I1"/>
    <x:mergeCell ref="A2:C2"/>
    <x:mergeCell ref="D2:I2"/>
    <x:mergeCell ref="A45:F45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baseColWidth="10" defaultColWidth="9" defaultRowHeight="14"/>
  <x:cols>
    <x:col min="1" max="1" width="13.83203125" customWidth="1"/>
    <x:col min="2" max="2" width="47.83203125" customWidth="1"/>
    <x:col min="3" max="3" width="61.83203125" customWidth="1"/>
    <x:col min="4" max="5" width="11.6640625" customWidth="1"/>
    <x:col min="6" max="6" width="70" customWidth="1"/>
    <x:col min="7" max="7" width="19.1640625" customWidth="1"/>
  </x:cols>
  <x:sheetData>
    <x:row r="1" s="1" customFormat="1" ht="34.75" customHeight="1">
      <x:c r="A1" s="133" t="s">
        <x:v>479</x:v>
      </x:c>
      <x:c r="B1" s="133"/>
      <x:c r="C1" s="133"/>
      <x:c r="D1" s="133"/>
      <x:c r="E1" s="133"/>
      <x:c r="F1" s="133"/>
      <x:c r="G1" s="133"/>
      <x:c r="H1" s="133"/>
      <x:c r="I1" s="133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</x:row>
    <x:row r="2" s="1" customFormat="1">
      <x:c r="A2" s="114" t="e">
        <x:v>#NAME?</x:v>
      </x:c>
      <x:c r="B2" s="134"/>
      <x:c r="C2" s="134"/>
      <x:c r="D2" s="135"/>
      <x:c r="E2" s="135"/>
      <x:c r="F2" s="135"/>
      <x:c r="G2" s="135"/>
      <x:c r="H2" s="135"/>
      <x:c r="I2" s="135"/>
      <x:c r="J2" s="16"/>
      <x:c r="K2" s="17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  <x:c r="W2" s="16"/>
    </x:row>
    <x:row r="3" s="1" customFormat="1">
      <x:c r="A3" s="1" t="s">
        <x:v>295</x:v>
      </x:c>
      <x:c r="B3" s="2"/>
      <x:c r="C3" s="3"/>
      <x:c r="D3" s="4" t="s">
        <x:v>296</x:v>
      </x:c>
      <x:c r="E3" s="5"/>
      <x:c r="F3" s="6" t="n">
        <x:f>G80</x:f>
        <x:v>0</x:v>
      </x:c>
      <x:c r="G3" s="5"/>
      <x:c r="I3" s="18"/>
      <x:c r="J3" s="16"/>
      <x:c r="K3" s="16"/>
      <x:c r="L3" s="17"/>
      <x:c r="M3" s="16"/>
      <x:c r="N3" s="16"/>
      <x:c r="O3" s="16"/>
      <x:c r="P3" s="16"/>
      <x:c r="Q3" s="16"/>
      <x:c r="R3" s="16"/>
      <x:c r="S3" s="16"/>
      <x:c r="T3" s="16"/>
      <x:c r="U3" s="16"/>
      <x:c r="V3" s="16"/>
      <x:c r="W3" s="16"/>
    </x:row>
    <x:row r="4" ht="20" customHeight="1">
      <x:c r="A4" s="7" t="s">
        <x:v>297</x:v>
      </x:c>
      <x:c r="B4" s="7" t="s">
        <x:v>298</x:v>
      </x:c>
      <x:c r="C4" s="7" t="s">
        <x:v>299</x:v>
      </x:c>
      <x:c r="D4" s="7" t="s">
        <x:v>300</x:v>
      </x:c>
      <x:c r="E4" s="7" t="s">
        <x:v>301</x:v>
      </x:c>
      <x:c r="F4" s="7" t="s">
        <x:v>302</x:v>
      </x:c>
      <x:c r="G4" s="7" t="s">
        <x:v>303</x:v>
      </x:c>
      <x:c r="H4" s="8" t="s">
        <x:v>93</x:v>
      </x:c>
      <x:c r="I4" s="8" t="s">
        <x:v>304</x:v>
      </x:c>
    </x:row>
    <x:row r="5" ht="20" customHeight="1">
      <x:c r="A5" t="s">
        <x:v>372</x:v>
      </x:c>
      <x:c r="B5" t="s">
        <x:v>306</x:v>
      </x:c>
      <x:c r="C5" t="s">
        <x:v>311</x:v>
      </x:c>
      <x:c r="D5" t="s">
        <x:v>480</x:v>
      </x:c>
      <x:c r="F5" t="s">
        <x:v>373</x:v>
      </x:c>
    </x:row>
    <x:row r="6" ht="20" customHeight="1">
      <x:c r="A6" t="s">
        <x:v>329</x:v>
      </x:c>
      <x:c r="B6" t="s">
        <x:v>306</x:v>
      </x:c>
      <x:c r="C6" t="s">
        <x:v>311</x:v>
      </x:c>
      <x:c r="D6" t="s">
        <x:v>480</x:v>
      </x:c>
      <x:c r="E6" s="21">
        <x:v>170</x:v>
      </x:c>
      <x:c r="F6" t="s">
        <x:v>481</x:v>
      </x:c>
      <x:c r="G6" s="20"/>
      <x:c r="J6" s="20"/>
    </x:row>
    <x:row r="7" ht="20" customHeight="1">
      <x:c r="A7" t="s">
        <x:v>329</x:v>
      </x:c>
      <x:c r="B7" t="s">
        <x:v>306</x:v>
      </x:c>
      <x:c r="C7" t="s">
        <x:v>311</x:v>
      </x:c>
      <x:c r="D7" t="s">
        <x:v>480</x:v>
      </x:c>
      <x:c r="E7" s="21">
        <x:v>170</x:v>
      </x:c>
      <x:c r="F7" t="s">
        <x:v>482</x:v>
      </x:c>
      <x:c r="G7" s="20"/>
      <x:c r="J7" s="20"/>
    </x:row>
    <x:row r="8" ht="20" customHeight="1">
      <x:c r="A8" t="s">
        <x:v>329</x:v>
      </x:c>
      <x:c r="B8" t="s">
        <x:v>306</x:v>
      </x:c>
      <x:c r="C8" t="s">
        <x:v>311</x:v>
      </x:c>
      <x:c r="D8" t="s">
        <x:v>480</x:v>
      </x:c>
      <x:c r="E8" s="21">
        <x:v>170</x:v>
      </x:c>
      <x:c r="F8" t="s">
        <x:v>483</x:v>
      </x:c>
      <x:c r="G8" s="20"/>
      <x:c r="J8" s="20"/>
    </x:row>
    <x:row r="9" ht="20" customHeight="1">
      <x:c r="A9" t="s">
        <x:v>329</x:v>
      </x:c>
      <x:c r="B9" t="s">
        <x:v>306</x:v>
      </x:c>
      <x:c r="C9" t="s">
        <x:v>311</x:v>
      </x:c>
      <x:c r="D9" t="s">
        <x:v>480</x:v>
      </x:c>
      <x:c r="E9" s="21">
        <x:v>170</x:v>
      </x:c>
      <x:c r="F9" t="s">
        <x:v>484</x:v>
      </x:c>
      <x:c r="G9" s="20"/>
      <x:c r="J9" s="20"/>
    </x:row>
    <x:row r="10" ht="20" customHeight="1">
      <x:c r="A10" t="s">
        <x:v>329</x:v>
      </x:c>
      <x:c r="B10" t="s">
        <x:v>306</x:v>
      </x:c>
      <x:c r="C10" t="s">
        <x:v>311</x:v>
      </x:c>
      <x:c r="D10" t="s">
        <x:v>480</x:v>
      </x:c>
      <x:c r="E10" s="21">
        <x:v>170</x:v>
      </x:c>
      <x:c r="F10" t="s">
        <x:v>485</x:v>
      </x:c>
      <x:c r="G10" s="20"/>
      <x:c r="J10" s="20"/>
    </x:row>
    <x:row r="11" ht="20" customHeight="1">
      <x:c r="A11" t="s">
        <x:v>329</x:v>
      </x:c>
      <x:c r="B11" t="s">
        <x:v>306</x:v>
      </x:c>
      <x:c r="C11" t="s">
        <x:v>311</x:v>
      </x:c>
      <x:c r="D11" t="s">
        <x:v>480</x:v>
      </x:c>
      <x:c r="E11" s="21">
        <x:v>170</x:v>
      </x:c>
      <x:c r="F11" t="s">
        <x:v>486</x:v>
      </x:c>
      <x:c r="G11" s="20"/>
      <x:c r="J11" s="20"/>
    </x:row>
    <x:row r="12" ht="20" customHeight="1">
      <x:c r="A12" t="s">
        <x:v>329</x:v>
      </x:c>
      <x:c r="B12" t="s">
        <x:v>306</x:v>
      </x:c>
      <x:c r="C12" t="s">
        <x:v>311</x:v>
      </x:c>
      <x:c r="D12" t="s">
        <x:v>480</x:v>
      </x:c>
      <x:c r="E12" s="21">
        <x:v>170</x:v>
      </x:c>
      <x:c r="F12" t="s">
        <x:v>486</x:v>
      </x:c>
      <x:c r="G12" s="20"/>
      <x:c r="J12" s="20"/>
    </x:row>
    <x:row r="13" ht="20" customHeight="1">
      <x:c r="A13" t="s">
        <x:v>329</x:v>
      </x:c>
      <x:c r="B13" t="s">
        <x:v>306</x:v>
      </x:c>
      <x:c r="C13" t="s">
        <x:v>311</x:v>
      </x:c>
      <x:c r="D13" t="s">
        <x:v>480</x:v>
      </x:c>
      <x:c r="E13" s="21">
        <x:v>170</x:v>
      </x:c>
      <x:c r="F13" t="s">
        <x:v>487</x:v>
      </x:c>
      <x:c r="G13" s="20"/>
      <x:c r="J13" s="20"/>
    </x:row>
    <x:row r="14" ht="20" customHeight="1">
      <x:c r="A14" t="s">
        <x:v>329</x:v>
      </x:c>
      <x:c r="B14" t="s">
        <x:v>306</x:v>
      </x:c>
      <x:c r="C14" t="s">
        <x:v>311</x:v>
      </x:c>
      <x:c r="D14" t="s">
        <x:v>480</x:v>
      </x:c>
      <x:c r="E14" s="21">
        <x:v>170</x:v>
      </x:c>
      <x:c r="F14" t="s">
        <x:v>488</x:v>
      </x:c>
      <x:c r="G14" s="20"/>
      <x:c r="J14" s="20"/>
    </x:row>
    <x:row r="15" ht="20" customHeight="1">
      <x:c r="A15" t="s">
        <x:v>329</x:v>
      </x:c>
      <x:c r="B15" t="s">
        <x:v>306</x:v>
      </x:c>
      <x:c r="C15" t="s">
        <x:v>311</x:v>
      </x:c>
      <x:c r="D15" t="s">
        <x:v>480</x:v>
      </x:c>
      <x:c r="E15" s="21">
        <x:v>170</x:v>
      </x:c>
      <x:c r="F15" t="s">
        <x:v>489</x:v>
      </x:c>
      <x:c r="G15" s="20"/>
      <x:c r="J15" s="20"/>
    </x:row>
    <x:row r="16" ht="20" customHeight="1">
      <x:c r="A16" t="s">
        <x:v>329</x:v>
      </x:c>
      <x:c r="B16" t="s">
        <x:v>306</x:v>
      </x:c>
      <x:c r="C16" t="s">
        <x:v>311</x:v>
      </x:c>
      <x:c r="D16" t="s">
        <x:v>480</x:v>
      </x:c>
      <x:c r="E16" s="21">
        <x:v>170</x:v>
      </x:c>
      <x:c r="F16" t="s">
        <x:v>490</x:v>
      </x:c>
      <x:c r="G16" s="20"/>
      <x:c r="J16" s="20"/>
    </x:row>
    <x:row r="17" ht="20" customHeight="1">
      <x:c r="A17" t="s">
        <x:v>329</x:v>
      </x:c>
      <x:c r="B17" t="s">
        <x:v>306</x:v>
      </x:c>
      <x:c r="C17" t="s">
        <x:v>311</x:v>
      </x:c>
      <x:c r="D17" t="s">
        <x:v>480</x:v>
      </x:c>
      <x:c r="E17" s="21">
        <x:v>170</x:v>
      </x:c>
      <x:c r="F17" t="s">
        <x:v>491</x:v>
      </x:c>
      <x:c r="G17" s="20"/>
      <x:c r="J17" s="20"/>
    </x:row>
    <x:row r="18" ht="20" customHeight="1">
      <x:c r="A18" t="s">
        <x:v>329</x:v>
      </x:c>
      <x:c r="B18" t="s">
        <x:v>306</x:v>
      </x:c>
      <x:c r="C18" t="s">
        <x:v>311</x:v>
      </x:c>
      <x:c r="D18" t="s">
        <x:v>480</x:v>
      </x:c>
      <x:c r="E18" s="21">
        <x:v>170</x:v>
      </x:c>
      <x:c r="F18" t="s">
        <x:v>492</x:v>
      </x:c>
      <x:c r="G18" s="20"/>
      <x:c r="J18" s="20"/>
    </x:row>
    <x:row r="19" ht="20" customHeight="1">
      <x:c r="A19" t="s">
        <x:v>329</x:v>
      </x:c>
      <x:c r="B19" t="s">
        <x:v>306</x:v>
      </x:c>
      <x:c r="C19" t="s">
        <x:v>311</x:v>
      </x:c>
      <x:c r="D19" t="s">
        <x:v>480</x:v>
      </x:c>
      <x:c r="E19" s="21">
        <x:v>170</x:v>
      </x:c>
      <x:c r="F19" t="s">
        <x:v>493</x:v>
      </x:c>
      <x:c r="G19" s="20"/>
      <x:c r="J19" s="20"/>
    </x:row>
    <x:row r="20" ht="20" customHeight="1">
      <x:c r="A20" t="s">
        <x:v>329</x:v>
      </x:c>
      <x:c r="B20" t="s">
        <x:v>306</x:v>
      </x:c>
      <x:c r="C20" t="s">
        <x:v>311</x:v>
      </x:c>
      <x:c r="D20" t="s">
        <x:v>480</x:v>
      </x:c>
      <x:c r="E20" s="21">
        <x:v>170</x:v>
      </x:c>
      <x:c r="F20" t="s">
        <x:v>494</x:v>
      </x:c>
      <x:c r="G20" s="20"/>
      <x:c r="J20" s="20"/>
    </x:row>
    <x:row r="21" ht="20" customHeight="1">
      <x:c r="A21" t="s">
        <x:v>329</x:v>
      </x:c>
      <x:c r="B21" t="s">
        <x:v>306</x:v>
      </x:c>
      <x:c r="C21" t="s">
        <x:v>311</x:v>
      </x:c>
      <x:c r="D21" t="s">
        <x:v>480</x:v>
      </x:c>
      <x:c r="E21" s="21">
        <x:v>211</x:v>
      </x:c>
      <x:c r="F21" t="s">
        <x:v>322</x:v>
      </x:c>
      <x:c r="H21" s="20"/>
    </x:row>
    <x:row r="22" ht="20" customHeight="1">
      <x:c r="B22" t="s">
        <x:v>306</x:v>
      </x:c>
      <x:c r="C22" t="s">
        <x:v>311</x:v>
      </x:c>
      <x:c r="D22" t="s">
        <x:v>480</x:v>
      </x:c>
      <x:c r="F22" t="s">
        <x:v>376</x:v>
      </x:c>
      <x:c r="G22" s="20"/>
      <x:c r="H22" s="20"/>
    </x:row>
    <x:row r="23" ht="20" customHeight="1">
      <x:c r="B23" t="s">
        <x:v>306</x:v>
      </x:c>
      <x:c r="C23" t="s">
        <x:v>311</x:v>
      </x:c>
      <x:c r="D23" t="s">
        <x:v>480</x:v>
      </x:c>
      <x:c r="F23" t="s">
        <x:v>377</x:v>
      </x:c>
      <x:c r="G23" s="20"/>
      <x:c r="H23" s="20"/>
    </x:row>
    <x:row r="24" ht="20" customHeight="1">
      <x:c r="A24" t="s">
        <x:v>331</x:v>
      </x:c>
      <x:c r="B24" t="s">
        <x:v>306</x:v>
      </x:c>
      <x:c r="C24" t="s">
        <x:v>307</x:v>
      </x:c>
      <x:c r="D24" t="s">
        <x:v>480</x:v>
      </x:c>
      <x:c r="E24" s="21">
        <x:v>153</x:v>
      </x:c>
      <x:c r="F24" t="s">
        <x:v>481</x:v>
      </x:c>
      <x:c r="G24" s="20"/>
      <x:c r="J24" s="20"/>
    </x:row>
    <x:row r="25" ht="20" customHeight="1">
      <x:c r="A25" t="s">
        <x:v>331</x:v>
      </x:c>
      <x:c r="B25" t="s">
        <x:v>306</x:v>
      </x:c>
      <x:c r="C25" t="s">
        <x:v>307</x:v>
      </x:c>
      <x:c r="D25" t="s">
        <x:v>480</x:v>
      </x:c>
      <x:c r="E25" s="21">
        <x:v>153</x:v>
      </x:c>
      <x:c r="F25" t="s">
        <x:v>482</x:v>
      </x:c>
      <x:c r="G25" s="20"/>
      <x:c r="J25" s="20"/>
    </x:row>
    <x:row r="26" ht="20" customHeight="1">
      <x:c r="A26" t="s">
        <x:v>331</x:v>
      </x:c>
      <x:c r="B26" t="s">
        <x:v>306</x:v>
      </x:c>
      <x:c r="C26" t="s">
        <x:v>307</x:v>
      </x:c>
      <x:c r="D26" t="s">
        <x:v>480</x:v>
      </x:c>
      <x:c r="E26" s="21">
        <x:v>153</x:v>
      </x:c>
      <x:c r="F26" t="s">
        <x:v>483</x:v>
      </x:c>
      <x:c r="G26" s="20"/>
      <x:c r="J26" s="20"/>
    </x:row>
    <x:row r="27" ht="20" customHeight="1">
      <x:c r="A27" t="s">
        <x:v>331</x:v>
      </x:c>
      <x:c r="B27" t="s">
        <x:v>306</x:v>
      </x:c>
      <x:c r="C27" t="s">
        <x:v>307</x:v>
      </x:c>
      <x:c r="D27" t="s">
        <x:v>480</x:v>
      </x:c>
      <x:c r="E27" s="21">
        <x:v>153</x:v>
      </x:c>
      <x:c r="F27" t="s">
        <x:v>484</x:v>
      </x:c>
      <x:c r="G27" s="20"/>
      <x:c r="J27" s="20"/>
    </x:row>
    <x:row r="28" ht="20" customHeight="1">
      <x:c r="A28" t="s">
        <x:v>331</x:v>
      </x:c>
      <x:c r="B28" t="s">
        <x:v>306</x:v>
      </x:c>
      <x:c r="C28" t="s">
        <x:v>307</x:v>
      </x:c>
      <x:c r="D28" t="s">
        <x:v>480</x:v>
      </x:c>
      <x:c r="E28" s="21">
        <x:v>153</x:v>
      </x:c>
      <x:c r="F28" t="s">
        <x:v>485</x:v>
      </x:c>
      <x:c r="G28" s="20"/>
      <x:c r="J28" s="20"/>
    </x:row>
    <x:row r="29" ht="20" customHeight="1">
      <x:c r="A29" t="s">
        <x:v>331</x:v>
      </x:c>
      <x:c r="B29" t="s">
        <x:v>306</x:v>
      </x:c>
      <x:c r="C29" t="s">
        <x:v>307</x:v>
      </x:c>
      <x:c r="D29" t="s">
        <x:v>480</x:v>
      </x:c>
      <x:c r="E29" s="21">
        <x:v>153</x:v>
      </x:c>
      <x:c r="F29" t="s">
        <x:v>486</x:v>
      </x:c>
      <x:c r="G29" s="20"/>
      <x:c r="J29" s="20"/>
    </x:row>
    <x:row r="30" ht="20" customHeight="1">
      <x:c r="A30" t="s">
        <x:v>331</x:v>
      </x:c>
      <x:c r="B30" t="s">
        <x:v>306</x:v>
      </x:c>
      <x:c r="C30" t="s">
        <x:v>307</x:v>
      </x:c>
      <x:c r="D30" t="s">
        <x:v>480</x:v>
      </x:c>
      <x:c r="E30" s="21">
        <x:v>153</x:v>
      </x:c>
      <x:c r="F30" t="s">
        <x:v>486</x:v>
      </x:c>
      <x:c r="G30" s="20"/>
      <x:c r="J30" s="20"/>
    </x:row>
    <x:row r="31" ht="20" customHeight="1">
      <x:c r="A31" t="s">
        <x:v>331</x:v>
      </x:c>
      <x:c r="B31" t="s">
        <x:v>306</x:v>
      </x:c>
      <x:c r="C31" t="s">
        <x:v>307</x:v>
      </x:c>
      <x:c r="D31" t="s">
        <x:v>480</x:v>
      </x:c>
      <x:c r="E31" s="21">
        <x:v>153</x:v>
      </x:c>
      <x:c r="F31" t="s">
        <x:v>487</x:v>
      </x:c>
      <x:c r="G31" s="20"/>
      <x:c r="J31" s="20"/>
    </x:row>
    <x:row r="32" ht="20" customHeight="1">
      <x:c r="A32" t="s">
        <x:v>331</x:v>
      </x:c>
      <x:c r="B32" t="s">
        <x:v>306</x:v>
      </x:c>
      <x:c r="C32" t="s">
        <x:v>307</x:v>
      </x:c>
      <x:c r="D32" t="s">
        <x:v>480</x:v>
      </x:c>
      <x:c r="E32" s="21">
        <x:v>153</x:v>
      </x:c>
      <x:c r="F32" t="s">
        <x:v>488</x:v>
      </x:c>
      <x:c r="G32" s="20"/>
      <x:c r="J32" s="20"/>
    </x:row>
    <x:row r="33" ht="20" customHeight="1">
      <x:c r="A33" t="s">
        <x:v>331</x:v>
      </x:c>
      <x:c r="B33" t="s">
        <x:v>306</x:v>
      </x:c>
      <x:c r="C33" t="s">
        <x:v>307</x:v>
      </x:c>
      <x:c r="D33" t="s">
        <x:v>480</x:v>
      </x:c>
      <x:c r="E33" s="21">
        <x:v>153</x:v>
      </x:c>
      <x:c r="F33" t="s">
        <x:v>489</x:v>
      </x:c>
      <x:c r="G33" s="20"/>
      <x:c r="J33" s="20"/>
    </x:row>
    <x:row r="34" ht="20" customHeight="1">
      <x:c r="A34" t="s">
        <x:v>331</x:v>
      </x:c>
      <x:c r="B34" t="s">
        <x:v>306</x:v>
      </x:c>
      <x:c r="C34" t="s">
        <x:v>307</x:v>
      </x:c>
      <x:c r="D34" t="s">
        <x:v>480</x:v>
      </x:c>
      <x:c r="E34" s="21">
        <x:v>153</x:v>
      </x:c>
      <x:c r="F34" t="s">
        <x:v>490</x:v>
      </x:c>
      <x:c r="G34" s="20"/>
      <x:c r="J34" s="20"/>
    </x:row>
    <x:row r="35" ht="20" customHeight="1">
      <x:c r="A35" t="s">
        <x:v>331</x:v>
      </x:c>
      <x:c r="B35" t="s">
        <x:v>306</x:v>
      </x:c>
      <x:c r="C35" t="s">
        <x:v>307</x:v>
      </x:c>
      <x:c r="D35" t="s">
        <x:v>480</x:v>
      </x:c>
      <x:c r="E35" s="21">
        <x:v>153</x:v>
      </x:c>
      <x:c r="F35" t="s">
        <x:v>491</x:v>
      </x:c>
      <x:c r="G35" s="20"/>
      <x:c r="J35" s="20"/>
    </x:row>
    <x:row r="36" ht="20" customHeight="1">
      <x:c r="A36" t="s">
        <x:v>331</x:v>
      </x:c>
      <x:c r="B36" t="s">
        <x:v>306</x:v>
      </x:c>
      <x:c r="C36" t="s">
        <x:v>307</x:v>
      </x:c>
      <x:c r="D36" t="s">
        <x:v>480</x:v>
      </x:c>
      <x:c r="E36" s="21">
        <x:v>153</x:v>
      </x:c>
      <x:c r="F36" t="s">
        <x:v>492</x:v>
      </x:c>
      <x:c r="G36" s="20"/>
      <x:c r="J36" s="20"/>
    </x:row>
    <x:row r="37" ht="20" customHeight="1">
      <x:c r="A37" t="s">
        <x:v>331</x:v>
      </x:c>
      <x:c r="B37" t="s">
        <x:v>306</x:v>
      </x:c>
      <x:c r="C37" t="s">
        <x:v>307</x:v>
      </x:c>
      <x:c r="D37" t="s">
        <x:v>480</x:v>
      </x:c>
      <x:c r="E37" s="21">
        <x:v>153</x:v>
      </x:c>
      <x:c r="F37" t="s">
        <x:v>493</x:v>
      </x:c>
      <x:c r="G37" s="20"/>
      <x:c r="J37" s="20"/>
    </x:row>
    <x:row r="38" ht="20" customHeight="1">
      <x:c r="A38" t="s">
        <x:v>331</x:v>
      </x:c>
      <x:c r="B38" t="s">
        <x:v>306</x:v>
      </x:c>
      <x:c r="C38" t="s">
        <x:v>307</x:v>
      </x:c>
      <x:c r="D38" t="s">
        <x:v>480</x:v>
      </x:c>
      <x:c r="E38" s="21">
        <x:v>153</x:v>
      </x:c>
      <x:c r="F38" t="s">
        <x:v>494</x:v>
      </x:c>
      <x:c r="G38" s="20"/>
      <x:c r="J38" s="20"/>
    </x:row>
    <x:row r="39" ht="20" customHeight="1">
      <x:c r="A39" t="s">
        <x:v>331</x:v>
      </x:c>
      <x:c r="B39" t="s">
        <x:v>306</x:v>
      </x:c>
      <x:c r="C39" t="s">
        <x:v>307</x:v>
      </x:c>
      <x:c r="D39" t="s">
        <x:v>480</x:v>
      </x:c>
      <x:c r="E39" s="21">
        <x:v>153</x:v>
      </x:c>
      <x:c r="F39" t="s">
        <x:v>495</x:v>
      </x:c>
      <x:c r="G39" s="20"/>
      <x:c r="J39" s="20"/>
    </x:row>
    <x:row r="40" ht="20" customHeight="1">
      <x:c r="A40" t="s">
        <x:v>331</x:v>
      </x:c>
      <x:c r="B40" t="s">
        <x:v>306</x:v>
      </x:c>
      <x:c r="C40" t="s">
        <x:v>307</x:v>
      </x:c>
      <x:c r="D40" t="s">
        <x:v>480</x:v>
      </x:c>
      <x:c r="E40" s="21">
        <x:v>190</x:v>
      </x:c>
      <x:c r="F40" t="s">
        <x:v>322</x:v>
      </x:c>
      <x:c r="H40" s="20"/>
    </x:row>
    <x:row r="41" ht="20" customHeight="1">
      <x:c r="B41" t="s">
        <x:v>306</x:v>
      </x:c>
      <x:c r="C41" t="s">
        <x:v>307</x:v>
      </x:c>
      <x:c r="D41" t="s">
        <x:v>480</x:v>
      </x:c>
      <x:c r="F41" t="s">
        <x:v>376</x:v>
      </x:c>
      <x:c r="G41" s="20"/>
      <x:c r="H41" s="20"/>
    </x:row>
    <x:row r="42" ht="20" customHeight="1">
      <x:c r="B42" t="s">
        <x:v>306</x:v>
      </x:c>
      <x:c r="C42" t="s">
        <x:v>307</x:v>
      </x:c>
      <x:c r="D42" t="s">
        <x:v>480</x:v>
      </x:c>
      <x:c r="F42" t="s">
        <x:v>377</x:v>
      </x:c>
      <x:c r="G42" s="20"/>
      <x:c r="H42" s="20"/>
    </x:row>
    <x:row r="43" ht="20" customHeight="1">
      <x:c r="A43" t="s">
        <x:v>319</x:v>
      </x:c>
      <x:c r="B43" t="s">
        <x:v>306</x:v>
      </x:c>
      <x:c r="C43" t="s">
        <x:v>320</x:v>
      </x:c>
      <x:c r="D43" t="s">
        <x:v>480</x:v>
      </x:c>
      <x:c r="E43" s="21">
        <x:v>190</x:v>
      </x:c>
      <x:c r="F43" t="s">
        <x:v>481</x:v>
      </x:c>
      <x:c r="G43" s="20"/>
      <x:c r="J43" s="20"/>
    </x:row>
    <x:row r="44" ht="20" customHeight="1">
      <x:c r="A44" t="s">
        <x:v>319</x:v>
      </x:c>
      <x:c r="B44" t="s">
        <x:v>306</x:v>
      </x:c>
      <x:c r="C44" t="s">
        <x:v>320</x:v>
      </x:c>
      <x:c r="D44" t="s">
        <x:v>480</x:v>
      </x:c>
      <x:c r="E44" s="21">
        <x:v>190</x:v>
      </x:c>
      <x:c r="F44" t="s">
        <x:v>482</x:v>
      </x:c>
      <x:c r="G44" s="20"/>
      <x:c r="J44" s="20"/>
    </x:row>
    <x:row r="45" ht="20" customHeight="1">
      <x:c r="A45" t="s">
        <x:v>319</x:v>
      </x:c>
      <x:c r="B45" t="s">
        <x:v>306</x:v>
      </x:c>
      <x:c r="C45" t="s">
        <x:v>320</x:v>
      </x:c>
      <x:c r="D45" t="s">
        <x:v>480</x:v>
      </x:c>
      <x:c r="E45" s="21">
        <x:v>190</x:v>
      </x:c>
      <x:c r="F45" t="s">
        <x:v>483</x:v>
      </x:c>
      <x:c r="G45" s="20"/>
      <x:c r="J45" s="20"/>
    </x:row>
    <x:row r="46" ht="20" customHeight="1">
      <x:c r="A46" t="s">
        <x:v>319</x:v>
      </x:c>
      <x:c r="B46" t="s">
        <x:v>306</x:v>
      </x:c>
      <x:c r="C46" t="s">
        <x:v>320</x:v>
      </x:c>
      <x:c r="D46" t="s">
        <x:v>480</x:v>
      </x:c>
      <x:c r="E46" s="21">
        <x:v>190</x:v>
      </x:c>
      <x:c r="F46" t="s">
        <x:v>484</x:v>
      </x:c>
      <x:c r="G46" s="20"/>
      <x:c r="J46" s="20"/>
    </x:row>
    <x:row r="47" ht="20" customHeight="1">
      <x:c r="A47" t="s">
        <x:v>319</x:v>
      </x:c>
      <x:c r="B47" t="s">
        <x:v>306</x:v>
      </x:c>
      <x:c r="C47" t="s">
        <x:v>320</x:v>
      </x:c>
      <x:c r="D47" t="s">
        <x:v>480</x:v>
      </x:c>
      <x:c r="E47" s="21">
        <x:v>190</x:v>
      </x:c>
      <x:c r="F47" t="s">
        <x:v>485</x:v>
      </x:c>
      <x:c r="G47" s="20"/>
      <x:c r="J47" s="20"/>
    </x:row>
    <x:row r="48" ht="20" customHeight="1">
      <x:c r="A48" t="s">
        <x:v>319</x:v>
      </x:c>
      <x:c r="B48" t="s">
        <x:v>306</x:v>
      </x:c>
      <x:c r="C48" t="s">
        <x:v>320</x:v>
      </x:c>
      <x:c r="D48" t="s">
        <x:v>480</x:v>
      </x:c>
      <x:c r="E48" s="21">
        <x:v>190</x:v>
      </x:c>
      <x:c r="F48" t="s">
        <x:v>486</x:v>
      </x:c>
      <x:c r="G48" s="20"/>
      <x:c r="J48" s="20"/>
    </x:row>
    <x:row r="49" ht="20" customHeight="1">
      <x:c r="A49" t="s">
        <x:v>319</x:v>
      </x:c>
      <x:c r="B49" t="s">
        <x:v>306</x:v>
      </x:c>
      <x:c r="C49" t="s">
        <x:v>320</x:v>
      </x:c>
      <x:c r="D49" t="s">
        <x:v>480</x:v>
      </x:c>
      <x:c r="E49" s="21">
        <x:v>190</x:v>
      </x:c>
      <x:c r="F49" t="s">
        <x:v>486</x:v>
      </x:c>
      <x:c r="G49" s="20"/>
      <x:c r="J49" s="20"/>
    </x:row>
    <x:row r="50" ht="20" customHeight="1">
      <x:c r="A50" t="s">
        <x:v>319</x:v>
      </x:c>
      <x:c r="B50" t="s">
        <x:v>306</x:v>
      </x:c>
      <x:c r="C50" t="s">
        <x:v>320</x:v>
      </x:c>
      <x:c r="D50" t="s">
        <x:v>480</x:v>
      </x:c>
      <x:c r="E50" s="21">
        <x:v>190</x:v>
      </x:c>
      <x:c r="F50" t="s">
        <x:v>487</x:v>
      </x:c>
      <x:c r="G50" s="20"/>
      <x:c r="J50" s="20"/>
    </x:row>
    <x:row r="51" ht="20" customHeight="1">
      <x:c r="A51" t="s">
        <x:v>319</x:v>
      </x:c>
      <x:c r="B51" t="s">
        <x:v>306</x:v>
      </x:c>
      <x:c r="C51" t="s">
        <x:v>320</x:v>
      </x:c>
      <x:c r="D51" t="s">
        <x:v>480</x:v>
      </x:c>
      <x:c r="E51" s="21">
        <x:v>190</x:v>
      </x:c>
      <x:c r="F51" t="s">
        <x:v>488</x:v>
      </x:c>
      <x:c r="G51" s="20"/>
      <x:c r="J51" s="20"/>
    </x:row>
    <x:row r="52" ht="20" customHeight="1">
      <x:c r="A52" t="s">
        <x:v>319</x:v>
      </x:c>
      <x:c r="B52" t="s">
        <x:v>306</x:v>
      </x:c>
      <x:c r="C52" t="s">
        <x:v>320</x:v>
      </x:c>
      <x:c r="D52" t="s">
        <x:v>480</x:v>
      </x:c>
      <x:c r="E52" s="21">
        <x:v>190</x:v>
      </x:c>
      <x:c r="F52" t="s">
        <x:v>489</x:v>
      </x:c>
      <x:c r="G52" s="20"/>
      <x:c r="J52" s="20"/>
    </x:row>
    <x:row r="53" ht="20" customHeight="1">
      <x:c r="A53" t="s">
        <x:v>319</x:v>
      </x:c>
      <x:c r="B53" t="s">
        <x:v>306</x:v>
      </x:c>
      <x:c r="C53" t="s">
        <x:v>320</x:v>
      </x:c>
      <x:c r="D53" t="s">
        <x:v>480</x:v>
      </x:c>
      <x:c r="E53" s="21">
        <x:v>190</x:v>
      </x:c>
      <x:c r="F53" t="s">
        <x:v>490</x:v>
      </x:c>
      <x:c r="G53" s="20"/>
      <x:c r="J53" s="20"/>
    </x:row>
    <x:row r="54" ht="20" customHeight="1">
      <x:c r="A54" t="s">
        <x:v>319</x:v>
      </x:c>
      <x:c r="B54" t="s">
        <x:v>306</x:v>
      </x:c>
      <x:c r="C54" t="s">
        <x:v>320</x:v>
      </x:c>
      <x:c r="D54" t="s">
        <x:v>480</x:v>
      </x:c>
      <x:c r="E54" s="21">
        <x:v>190</x:v>
      </x:c>
      <x:c r="F54" t="s">
        <x:v>491</x:v>
      </x:c>
      <x:c r="G54" s="20"/>
      <x:c r="J54" s="20"/>
    </x:row>
    <x:row r="55" ht="20" customHeight="1">
      <x:c r="A55" t="s">
        <x:v>319</x:v>
      </x:c>
      <x:c r="B55" t="s">
        <x:v>306</x:v>
      </x:c>
      <x:c r="C55" t="s">
        <x:v>320</x:v>
      </x:c>
      <x:c r="D55" t="s">
        <x:v>480</x:v>
      </x:c>
      <x:c r="E55" s="21">
        <x:v>190</x:v>
      </x:c>
      <x:c r="F55" t="s">
        <x:v>492</x:v>
      </x:c>
      <x:c r="G55" s="20"/>
      <x:c r="J55" s="20"/>
    </x:row>
    <x:row r="56" ht="20" customHeight="1">
      <x:c r="A56" t="s">
        <x:v>319</x:v>
      </x:c>
      <x:c r="B56" t="s">
        <x:v>306</x:v>
      </x:c>
      <x:c r="C56" t="s">
        <x:v>320</x:v>
      </x:c>
      <x:c r="D56" t="s">
        <x:v>480</x:v>
      </x:c>
      <x:c r="E56" s="21">
        <x:v>190</x:v>
      </x:c>
      <x:c r="F56" t="s">
        <x:v>493</x:v>
      </x:c>
      <x:c r="G56" s="20"/>
      <x:c r="J56" s="20"/>
    </x:row>
    <x:row r="57" ht="20" customHeight="1">
      <x:c r="A57" t="s">
        <x:v>319</x:v>
      </x:c>
      <x:c r="B57" t="s">
        <x:v>306</x:v>
      </x:c>
      <x:c r="C57" t="s">
        <x:v>320</x:v>
      </x:c>
      <x:c r="D57" t="s">
        <x:v>480</x:v>
      </x:c>
      <x:c r="E57" s="21">
        <x:v>190</x:v>
      </x:c>
      <x:c r="F57" t="s">
        <x:v>494</x:v>
      </x:c>
      <x:c r="G57" s="20"/>
      <x:c r="J57" s="20"/>
    </x:row>
    <x:row r="58" ht="20" customHeight="1">
      <x:c r="A58" t="s">
        <x:v>319</x:v>
      </x:c>
      <x:c r="B58" t="s">
        <x:v>306</x:v>
      </x:c>
      <x:c r="C58" t="s">
        <x:v>320</x:v>
      </x:c>
      <x:c r="D58" t="s">
        <x:v>480</x:v>
      </x:c>
      <x:c r="E58" s="21">
        <x:v>190</x:v>
      </x:c>
      <x:c r="F58" t="s">
        <x:v>495</x:v>
      </x:c>
      <x:c r="G58" s="20"/>
      <x:c r="J58" s="20"/>
    </x:row>
    <x:row r="59" ht="20" customHeight="1">
      <x:c r="A59" t="s">
        <x:v>319</x:v>
      </x:c>
      <x:c r="B59" t="s">
        <x:v>306</x:v>
      </x:c>
      <x:c r="C59" t="s">
        <x:v>320</x:v>
      </x:c>
      <x:c r="D59" t="s">
        <x:v>480</x:v>
      </x:c>
      <x:c r="E59" s="21">
        <x:v>225</x:v>
      </x:c>
      <x:c r="F59" t="s">
        <x:v>322</x:v>
      </x:c>
      <x:c r="H59" s="20"/>
    </x:row>
    <x:row r="60" ht="20" customHeight="1">
      <x:c r="B60" t="s">
        <x:v>306</x:v>
      </x:c>
      <x:c r="C60" t="s">
        <x:v>320</x:v>
      </x:c>
      <x:c r="D60" t="s">
        <x:v>480</x:v>
      </x:c>
      <x:c r="F60" t="s">
        <x:v>376</x:v>
      </x:c>
      <x:c r="G60" s="20"/>
      <x:c r="H60" s="20"/>
    </x:row>
    <x:row r="61" ht="20" customHeight="1">
      <x:c r="B61" t="s">
        <x:v>306</x:v>
      </x:c>
      <x:c r="C61" t="s">
        <x:v>320</x:v>
      </x:c>
      <x:c r="D61" t="s">
        <x:v>480</x:v>
      </x:c>
      <x:c r="F61" t="s">
        <x:v>377</x:v>
      </x:c>
      <x:c r="G61" s="20"/>
      <x:c r="H61" s="20"/>
    </x:row>
    <x:row r="62" ht="20" customHeight="1">
      <x:c r="A62" s="7"/>
      <x:c r="B62" s="7"/>
      <x:c r="C62" s="7"/>
      <x:c r="D62" s="7"/>
      <x:c r="E62" s="9"/>
      <x:c r="F62" s="7"/>
      <x:c r="G62" s="10"/>
      <x:c r="H62" s="7"/>
      <x:c r="I62" s="7"/>
    </x:row>
    <x:row r="63" ht="20" customHeight="1">
      <x:c r="A63" s="7"/>
      <x:c r="B63" s="7"/>
      <x:c r="C63" s="7"/>
      <x:c r="D63" s="7"/>
      <x:c r="E63" s="9"/>
      <x:c r="F63" s="7"/>
      <x:c r="G63" s="10"/>
      <x:c r="H63" s="7"/>
      <x:c r="I63" s="7"/>
    </x:row>
    <x:row r="64" ht="20" customHeight="1">
      <x:c r="A64" s="7"/>
      <x:c r="B64" s="7"/>
      <x:c r="C64" s="7"/>
      <x:c r="D64" s="7"/>
      <x:c r="E64" s="9"/>
      <x:c r="F64" s="7"/>
      <x:c r="G64" s="10"/>
      <x:c r="H64" s="7"/>
      <x:c r="I64" s="7"/>
    </x:row>
    <x:row r="65" ht="20" customHeight="1">
      <x:c r="A65" s="7"/>
      <x:c r="B65" s="7"/>
      <x:c r="C65" s="7"/>
      <x:c r="D65" s="7"/>
      <x:c r="E65" s="9"/>
      <x:c r="F65" s="7"/>
      <x:c r="G65" s="10"/>
      <x:c r="H65" s="7"/>
      <x:c r="I65" s="7"/>
    </x:row>
    <x:row r="66" ht="20" customHeight="1">
      <x:c r="A66" s="7"/>
      <x:c r="B66" s="7"/>
      <x:c r="C66" s="7"/>
      <x:c r="D66" s="7"/>
      <x:c r="E66" s="9"/>
      <x:c r="F66" s="7"/>
      <x:c r="G66" s="10"/>
      <x:c r="H66" s="7"/>
      <x:c r="I66" s="7"/>
    </x:row>
    <x:row r="67" ht="20" customHeight="1">
      <x:c r="A67" s="7"/>
      <x:c r="B67" s="7"/>
      <x:c r="C67" s="7"/>
      <x:c r="D67" s="7"/>
      <x:c r="E67" s="9"/>
      <x:c r="F67" s="7"/>
      <x:c r="G67" s="10"/>
      <x:c r="H67" s="7"/>
      <x:c r="I67" s="7"/>
    </x:row>
    <x:row r="68" ht="20" customHeight="1">
      <x:c r="A68" s="7"/>
      <x:c r="B68" s="7"/>
      <x:c r="C68" s="7"/>
      <x:c r="D68" s="7"/>
      <x:c r="E68" s="9"/>
      <x:c r="F68" s="7"/>
      <x:c r="G68" s="10"/>
      <x:c r="H68" s="7"/>
      <x:c r="I68" s="7"/>
    </x:row>
    <x:row r="69" ht="20" customHeight="1">
      <x:c r="A69" s="7"/>
      <x:c r="B69" s="7"/>
      <x:c r="C69" s="7"/>
      <x:c r="D69" s="7"/>
      <x:c r="E69" s="9"/>
      <x:c r="F69" s="7"/>
      <x:c r="G69" s="10"/>
      <x:c r="H69" s="7"/>
      <x:c r="I69" s="7"/>
    </x:row>
    <x:row r="70" ht="20" customHeight="1">
      <x:c r="A70" s="7"/>
      <x:c r="B70" s="7"/>
      <x:c r="C70" s="7"/>
      <x:c r="D70" s="7"/>
      <x:c r="E70" s="9"/>
      <x:c r="F70" s="7"/>
      <x:c r="G70" s="10"/>
      <x:c r="H70" s="7"/>
      <x:c r="I70" s="7"/>
    </x:row>
    <x:row r="71" ht="20" customHeight="1">
      <x:c r="A71" s="7"/>
      <x:c r="B71" s="7"/>
      <x:c r="C71" s="7"/>
      <x:c r="D71" s="7"/>
      <x:c r="E71" s="9"/>
      <x:c r="F71" s="7"/>
      <x:c r="G71" s="10"/>
      <x:c r="H71" s="7"/>
      <x:c r="I71" s="7"/>
    </x:row>
    <x:row r="72" ht="20" customHeight="1">
      <x:c r="A72" s="7"/>
      <x:c r="B72" s="7"/>
      <x:c r="C72" s="7"/>
      <x:c r="D72" s="7"/>
      <x:c r="E72" s="9"/>
      <x:c r="F72" s="7"/>
      <x:c r="G72" s="10"/>
      <x:c r="H72" s="7"/>
      <x:c r="I72" s="7"/>
    </x:row>
    <x:row r="73" ht="20" customHeight="1">
      <x:c r="A73" s="7"/>
      <x:c r="B73" s="7"/>
      <x:c r="C73" s="7"/>
      <x:c r="D73" s="7"/>
      <x:c r="E73" s="9"/>
      <x:c r="F73" s="7"/>
      <x:c r="G73" s="10"/>
      <x:c r="H73" s="7"/>
      <x:c r="I73" s="7"/>
    </x:row>
    <x:row r="74" ht="20" customHeight="1">
      <x:c r="A74" s="7"/>
      <x:c r="B74" s="7"/>
      <x:c r="C74" s="7"/>
      <x:c r="D74" s="7"/>
      <x:c r="E74" s="9"/>
      <x:c r="F74" s="7"/>
      <x:c r="G74" s="10"/>
      <x:c r="H74" s="7"/>
      <x:c r="I74" s="7"/>
    </x:row>
    <x:row r="75" ht="20" customHeight="1">
      <x:c r="A75" s="7"/>
      <x:c r="B75" s="7"/>
      <x:c r="C75" s="7"/>
      <x:c r="D75" s="7"/>
      <x:c r="E75" s="9"/>
      <x:c r="F75" s="7"/>
      <x:c r="G75" s="10"/>
      <x:c r="H75" s="7"/>
      <x:c r="I75" s="7"/>
    </x:row>
    <x:row r="76" ht="20" customHeight="1">
      <x:c r="A76" s="7"/>
      <x:c r="B76" s="7"/>
      <x:c r="C76" s="7"/>
      <x:c r="D76" s="7"/>
      <x:c r="E76" s="9"/>
      <x:c r="F76" s="7"/>
      <x:c r="G76" s="10"/>
      <x:c r="H76" s="7"/>
      <x:c r="I76" s="7"/>
    </x:row>
    <x:row r="77" ht="20" customHeight="1">
      <x:c r="A77" s="7"/>
      <x:c r="B77" s="7"/>
      <x:c r="C77" s="7"/>
      <x:c r="D77" s="7"/>
      <x:c r="E77" s="9"/>
      <x:c r="F77" s="7"/>
      <x:c r="G77" s="10"/>
      <x:c r="H77" s="7"/>
      <x:c r="I77" s="7"/>
    </x:row>
    <x:row r="78" ht="20" customHeight="1">
      <x:c r="A78" s="7"/>
      <x:c r="B78" s="7"/>
      <x:c r="C78" s="7"/>
      <x:c r="D78" s="7"/>
      <x:c r="E78" s="9"/>
      <x:c r="F78" s="7"/>
      <x:c r="G78" s="10"/>
      <x:c r="H78" s="7"/>
      <x:c r="I78" s="7"/>
    </x:row>
    <x:row r="79" ht="20" customHeight="1">
      <x:c r="A79" s="7"/>
      <x:c r="B79" s="7"/>
      <x:c r="C79" s="7"/>
      <x:c r="D79" s="7"/>
      <x:c r="E79" s="9"/>
      <x:c r="F79" s="7"/>
      <x:c r="G79" s="10"/>
      <x:c r="H79" s="7"/>
      <x:c r="I79" s="7"/>
    </x:row>
    <x:row r="80">
      <x:c r="A80" s="111" t="s">
        <x:v>49</x:v>
      </x:c>
      <x:c r="B80" s="111"/>
      <x:c r="C80" s="111"/>
      <x:c r="D80" s="111"/>
      <x:c r="E80" s="111"/>
      <x:c r="F80" s="111"/>
      <x:c r="G80" s="7" t="n">
        <x:f>SUM(G5:G19)</x:f>
        <x:v>0</x:v>
      </x:c>
      <x:c r="H80" s="7"/>
      <x:c r="I80" s="7"/>
    </x:row>
    <x:row r="83">
      <x:c r="A83" s="112" t="s">
        <x:v>50</x:v>
      </x:c>
      <x:c r="B83" s="112" t="s">
        <x:v>2</x:v>
      </x:c>
      <x:c r="C83" s="124" t="s">
        <x:v>327</x:v>
      </x:c>
    </x:row>
    <x:row r="84">
      <x:c r="A84" s="112"/>
      <x:c r="B84" s="112"/>
      <x:c r="C84" s="124"/>
    </x:row>
    <x:row r="85">
      <x:c r="A85" s="13" t="s">
        <x:v>164</x:v>
      </x:c>
      <x:c r="B85" s="13" t="s">
        <x:v>75</x:v>
      </x:c>
      <x:c r="C85" s="19" t="e">
        <x:f>项目分类明细汇总表1月!$D$37*研发人员工时统计合计!J43</x:f>
        <x:v>#NAME?</x:v>
      </x:c>
    </x:row>
    <x:row r="86">
      <x:c r="A86" s="13" t="s">
        <x:v>165</x:v>
      </x:c>
      <x:c r="B86" s="13" t="s">
        <x:v>76</x:v>
      </x:c>
      <x:c r="C86" s="19" t="e">
        <x:f>项目分类明细汇总表1月!$D$37*研发人员工时统计合计!J44</x:f>
        <x:v>#NAME?</x:v>
      </x:c>
    </x:row>
    <x:row r="87">
      <x:c r="A87" s="13" t="s">
        <x:v>166</x:v>
      </x:c>
      <x:c r="B87" s="13" t="s">
        <x:v>77</x:v>
      </x:c>
      <x:c r="C87" s="19" t="e">
        <x:f>项目分类明细汇总表1月!$D$37*研发人员工时统计合计!J45</x:f>
        <x:v>#NAME?</x:v>
      </x:c>
    </x:row>
    <x:row r="88">
      <x:c r="A88" s="13" t="s">
        <x:v>167</x:v>
      </x:c>
      <x:c r="B88" s="13" t="s">
        <x:v>78</x:v>
      </x:c>
      <x:c r="C88" s="19" t="e">
        <x:f>项目分类明细汇总表1月!$D$37*研发人员工时统计合计!J46</x:f>
        <x:v>#NAME?</x:v>
      </x:c>
    </x:row>
    <x:row r="89">
      <x:c r="A89" s="13" t="s">
        <x:v>168</x:v>
      </x:c>
      <x:c r="B89" s="13" t="s">
        <x:v>79</x:v>
      </x:c>
      <x:c r="C89" s="19" t="e">
        <x:f>项目分类明细汇总表1月!$D$37*研发人员工时统计合计!J47</x:f>
        <x:v>#NAME?</x:v>
      </x:c>
    </x:row>
    <x:row r="90">
      <x:c r="A90" s="13" t="s">
        <x:v>169</x:v>
      </x:c>
      <x:c r="B90" s="13" t="s">
        <x:v>80</x:v>
      </x:c>
      <x:c r="C90" s="19" t="e">
        <x:f>项目分类明细汇总表1月!$D$37*研发人员工时统计合计!J48</x:f>
        <x:v>#NAME?</x:v>
      </x:c>
    </x:row>
    <x:row r="91">
      <x:c r="A91" s="13" t="s">
        <x:v>170</x:v>
      </x:c>
      <x:c r="B91" s="13" t="s">
        <x:v>81</x:v>
      </x:c>
      <x:c r="C91" s="19" t="e">
        <x:f>项目分类明细汇总表1月!$D$37*研发人员工时统计合计!J49</x:f>
        <x:v>#NAME?</x:v>
      </x:c>
    </x:row>
    <x:row r="92">
      <x:c r="A92" s="13" t="s">
        <x:v>171</x:v>
      </x:c>
      <x:c r="B92" s="13" t="s">
        <x:v>82</x:v>
      </x:c>
      <x:c r="C92" s="19" t="e">
        <x:f>项目分类明细汇总表1月!$D$37*研发人员工时统计合计!J50</x:f>
        <x:v>#NAME?</x:v>
      </x:c>
    </x:row>
    <x:row r="93">
      <x:c r="A93" s="13" t="s">
        <x:v>172</x:v>
      </x:c>
      <x:c r="B93" s="13" t="s">
        <x:v>83</x:v>
      </x:c>
      <x:c r="C93" s="19" t="e">
        <x:f>项目分类明细汇总表1月!$D$37*研发人员工时统计合计!J51</x:f>
        <x:v>#NAME?</x:v>
      </x:c>
    </x:row>
    <x:row r="94">
      <x:c r="A94" s="13" t="s">
        <x:v>173</x:v>
      </x:c>
      <x:c r="B94" s="13" t="s">
        <x:v>84</x:v>
      </x:c>
      <x:c r="C94" s="19" t="e">
        <x:f>项目分类明细汇总表1月!$D$37*研发人员工时统计合计!J52</x:f>
        <x:v>#NAME?</x:v>
      </x:c>
    </x:row>
    <x:row r="95">
      <x:c r="A95" s="13" t="s">
        <x:v>174</x:v>
      </x:c>
      <x:c r="B95" s="13" t="s">
        <x:v>85</x:v>
      </x:c>
      <x:c r="C95" s="19" t="e">
        <x:f>项目分类明细汇总表1月!$D$37*研发人员工时统计合计!J53</x:f>
        <x:v>#NAME?</x:v>
      </x:c>
    </x:row>
    <x:row r="96">
      <x:c r="A96" s="13" t="s">
        <x:v>273</x:v>
      </x:c>
      <x:c r="B96" s="13" t="s">
        <x:v>86</x:v>
      </x:c>
      <x:c r="C96" s="19" t="e">
        <x:f>项目分类明细汇总表1月!$D$37*研发人员工时统计合计!J54</x:f>
        <x:v>#NAME?</x:v>
      </x:c>
    </x:row>
    <x:row r="97">
      <x:c r="A97" s="13" t="s">
        <x:v>176</x:v>
      </x:c>
      <x:c r="B97" s="13" t="s">
        <x:v>87</x:v>
      </x:c>
      <x:c r="C97" s="19" t="e">
        <x:f>项目分类明细汇总表1月!$D$37*研发人员工时统计合计!J55</x:f>
        <x:v>#NAME?</x:v>
      </x:c>
    </x:row>
    <x:row r="98">
      <x:c r="A98" s="13" t="s">
        <x:v>177</x:v>
      </x:c>
      <x:c r="B98" s="13" t="s">
        <x:v>88</x:v>
      </x:c>
      <x:c r="C98" s="19" t="e">
        <x:f>项目分类明细汇总表1月!$D$37*研发人员工时统计合计!J56</x:f>
        <x:v>#NAME?</x:v>
      </x:c>
    </x:row>
    <x:row r="99">
      <x:c r="A99" s="13" t="s">
        <x:v>168</x:v>
      </x:c>
      <x:c r="B99" s="13" t="s">
        <x:v>89</x:v>
      </x:c>
      <x:c r="C99" s="19" t="e">
        <x:f>项目分类明细汇总表1月!$D$37*研发人员工时统计合计!J57</x:f>
        <x:v>#NAME?</x:v>
      </x:c>
    </x:row>
    <x:row r="100" ht="17">
      <x:c r="A100" s="13" t="s">
        <x:v>274</x:v>
      </x:c>
      <x:c r="B100" s="15" t="s">
        <x:v>90</x:v>
      </x:c>
      <x:c r="C100" s="19" t="e">
        <x:f>项目分类明细汇总表1月!$D$37*研发人员工时统计合计!J58</x:f>
        <x:v>#NAME?</x:v>
      </x:c>
    </x:row>
    <x:row r="101" ht="17">
      <x:c r="A101" s="13" t="s">
        <x:v>275</x:v>
      </x:c>
      <x:c r="B101" s="15" t="s">
        <x:v>19</x:v>
      </x:c>
      <x:c r="C101" s="19" t="e">
        <x:f>项目分类明细汇总表1月!$D$37*研发人员工时统计合计!J59</x:f>
        <x:v>#NAME?</x:v>
      </x:c>
    </x:row>
    <x:row r="102" ht="17">
      <x:c r="A102" s="13" t="s">
        <x:v>276</x:v>
      </x:c>
      <x:c r="B102" s="15" t="s">
        <x:v>34</x:v>
      </x:c>
      <x:c r="C102" s="19" t="e">
        <x:f>项目分类明细汇总表1月!$D$37*研发人员工时统计合计!J60</x:f>
        <x:v>#NAME?</x:v>
      </x:c>
    </x:row>
    <x:row r="103">
      <x:c r="A103" s="111" t="s">
        <x:v>49</x:v>
      </x:c>
      <x:c r="B103" s="111"/>
      <x:c r="C103" s="19" t="e">
        <x:f>项目分类明细汇总表1月!$D$37*研发人员工时统计合计!J61</x:f>
        <x:v>#NAME?</x:v>
      </x:c>
    </x:row>
  </x:sheetData>
  <x:mergeCells>
    <x:mergeCell ref="A1:I1"/>
    <x:mergeCell ref="A2:C2"/>
    <x:mergeCell ref="D2:I2"/>
    <x:mergeCell ref="A80:F80"/>
    <x:mergeCell ref="A103:B103"/>
    <x:mergeCell ref="A83:A84"/>
    <x:mergeCell ref="B83:B84"/>
    <x:mergeCell ref="C83:C84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baseColWidth="10" defaultColWidth="9" defaultRowHeight="14"/>
  <x:cols>
    <x:col min="1" max="1" width="19.1640625" customWidth="1"/>
    <x:col min="2" max="2" width="32" customWidth="1"/>
    <x:col min="3" max="3" width="30.83203125" customWidth="1"/>
    <x:col min="4" max="4" width="14.83203125" customWidth="1"/>
    <x:col min="5" max="5" width="11.6640625" customWidth="1"/>
    <x:col min="6" max="6" width="63.83203125" customWidth="1"/>
    <x:col min="7" max="7" width="14.6640625" customWidth="1"/>
  </x:cols>
  <x:sheetData>
    <x:row r="1" s="1" customFormat="1" ht="34.75" customHeight="1">
      <x:c r="A1" s="133" t="s">
        <x:v>496</x:v>
      </x:c>
      <x:c r="B1" s="133"/>
      <x:c r="C1" s="133"/>
      <x:c r="D1" s="133"/>
      <x:c r="E1" s="133"/>
      <x:c r="F1" s="133"/>
      <x:c r="G1" s="133"/>
      <x:c r="H1" s="133"/>
      <x:c r="I1" s="133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</x:row>
    <x:row r="2" s="1" customFormat="1">
      <x:c r="A2" s="114" t="e">
        <x:v>#NAME?</x:v>
      </x:c>
      <x:c r="B2" s="134"/>
      <x:c r="C2" s="134"/>
      <x:c r="D2" s="135"/>
      <x:c r="E2" s="135"/>
      <x:c r="F2" s="135"/>
      <x:c r="G2" s="135"/>
      <x:c r="H2" s="135"/>
      <x:c r="I2" s="135"/>
      <x:c r="J2" s="16"/>
      <x:c r="K2" s="17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  <x:c r="W2" s="16"/>
    </x:row>
    <x:row r="3" s="1" customFormat="1">
      <x:c r="A3" s="1" t="s">
        <x:v>295</x:v>
      </x:c>
      <x:c r="B3" s="2"/>
      <x:c r="C3" s="3"/>
      <x:c r="D3" s="4" t="s">
        <x:v>296</x:v>
      </x:c>
      <x:c r="E3" s="5"/>
      <x:c r="F3" s="6" t="n">
        <x:f>G8</x:f>
        <x:v>0</x:v>
      </x:c>
      <x:c r="G3" s="5"/>
      <x:c r="I3" s="18"/>
      <x:c r="J3" s="16"/>
      <x:c r="K3" s="16"/>
      <x:c r="L3" s="17"/>
      <x:c r="M3" s="16"/>
      <x:c r="N3" s="16"/>
      <x:c r="O3" s="16"/>
      <x:c r="P3" s="16"/>
      <x:c r="Q3" s="16"/>
      <x:c r="R3" s="16"/>
      <x:c r="S3" s="16"/>
      <x:c r="T3" s="16"/>
      <x:c r="U3" s="16"/>
      <x:c r="V3" s="16"/>
      <x:c r="W3" s="16"/>
    </x:row>
    <x:row r="4" ht="20" customHeight="1">
      <x:c r="A4" s="7" t="s">
        <x:v>297</x:v>
      </x:c>
      <x:c r="B4" s="7" t="s">
        <x:v>298</x:v>
      </x:c>
      <x:c r="C4" s="7" t="s">
        <x:v>299</x:v>
      </x:c>
      <x:c r="D4" s="7" t="s">
        <x:v>300</x:v>
      </x:c>
      <x:c r="E4" s="7" t="s">
        <x:v>301</x:v>
      </x:c>
      <x:c r="F4" s="7" t="s">
        <x:v>302</x:v>
      </x:c>
      <x:c r="G4" s="7" t="s">
        <x:v>303</x:v>
      </x:c>
      <x:c r="H4" s="8" t="s">
        <x:v>93</x:v>
      </x:c>
      <x:c r="I4" s="8" t="s">
        <x:v>304</x:v>
      </x:c>
    </x:row>
    <x:row r="5" ht="20" customHeight="1">
      <x:c r="A5" s="7"/>
      <x:c r="B5" s="7"/>
      <x:c r="C5" s="7"/>
      <x:c r="D5" s="7"/>
      <x:c r="E5" s="9"/>
      <x:c r="F5" s="7"/>
      <x:c r="G5" s="10"/>
      <x:c r="H5" s="7"/>
      <x:c r="I5" s="7"/>
    </x:row>
    <x:row r="6" ht="20" customHeight="1">
      <x:c r="A6" s="7"/>
      <x:c r="B6" s="7"/>
      <x:c r="C6" s="7"/>
      <x:c r="D6" s="7"/>
      <x:c r="E6" s="9"/>
      <x:c r="F6" s="7"/>
      <x:c r="G6" s="10"/>
      <x:c r="H6" s="7"/>
      <x:c r="I6" s="7"/>
    </x:row>
    <x:row r="7" ht="20" customHeight="1">
      <x:c r="A7" s="7"/>
      <x:c r="B7" s="7"/>
      <x:c r="C7" s="7"/>
      <x:c r="D7" s="7"/>
      <x:c r="E7" s="9"/>
      <x:c r="F7" s="7"/>
      <x:c r="G7" s="10"/>
      <x:c r="H7" s="7"/>
      <x:c r="I7" s="7"/>
    </x:row>
    <x:row r="8">
      <x:c r="A8" s="111" t="s">
        <x:v>49</x:v>
      </x:c>
      <x:c r="B8" s="111"/>
      <x:c r="C8" s="111"/>
      <x:c r="D8" s="111"/>
      <x:c r="E8" s="111"/>
      <x:c r="F8" s="111"/>
      <x:c r="G8" s="7" t="n">
        <x:f>SUM(G5:G7)</x:f>
        <x:v>0</x:v>
      </x:c>
      <x:c r="H8" s="7"/>
      <x:c r="I8" s="7"/>
    </x:row>
    <x:row r="10">
      <x:c r="A10" s="112" t="s">
        <x:v>50</x:v>
      </x:c>
      <x:c r="B10" s="112" t="s">
        <x:v>2</x:v>
      </x:c>
      <x:c r="C10" s="124" t="s">
        <x:v>327</x:v>
      </x:c>
    </x:row>
    <x:row r="11">
      <x:c r="A11" s="112"/>
      <x:c r="B11" s="112"/>
      <x:c r="C11" s="124"/>
    </x:row>
    <x:row r="12">
      <x:c r="A12" s="13" t="s">
        <x:v>164</x:v>
      </x:c>
      <x:c r="B12" s="13" t="s">
        <x:v>75</x:v>
      </x:c>
      <x:c r="C12" s="14"/>
    </x:row>
    <x:row r="13">
      <x:c r="A13" s="13" t="s">
        <x:v>165</x:v>
      </x:c>
      <x:c r="B13" s="13" t="s">
        <x:v>76</x:v>
      </x:c>
      <x:c r="C13" s="14"/>
    </x:row>
    <x:row r="14">
      <x:c r="A14" s="13" t="s">
        <x:v>166</x:v>
      </x:c>
      <x:c r="B14" s="13" t="s">
        <x:v>77</x:v>
      </x:c>
      <x:c r="C14" s="14"/>
    </x:row>
    <x:row r="15">
      <x:c r="A15" s="13" t="s">
        <x:v>167</x:v>
      </x:c>
      <x:c r="B15" s="13" t="s">
        <x:v>78</x:v>
      </x:c>
      <x:c r="C15" s="14"/>
    </x:row>
    <x:row r="16">
      <x:c r="A16" s="13" t="s">
        <x:v>168</x:v>
      </x:c>
      <x:c r="B16" s="13" t="s">
        <x:v>79</x:v>
      </x:c>
      <x:c r="C16" s="14"/>
    </x:row>
    <x:row r="17">
      <x:c r="A17" s="13" t="s">
        <x:v>169</x:v>
      </x:c>
      <x:c r="B17" s="13" t="s">
        <x:v>80</x:v>
      </x:c>
      <x:c r="C17" s="14"/>
    </x:row>
    <x:row r="18">
      <x:c r="A18" s="13" t="s">
        <x:v>170</x:v>
      </x:c>
      <x:c r="B18" s="13" t="s">
        <x:v>81</x:v>
      </x:c>
      <x:c r="C18" s="14"/>
    </x:row>
    <x:row r="19">
      <x:c r="A19" s="13" t="s">
        <x:v>171</x:v>
      </x:c>
      <x:c r="B19" s="13" t="s">
        <x:v>82</x:v>
      </x:c>
      <x:c r="C19" s="14"/>
    </x:row>
    <x:row r="20">
      <x:c r="A20" s="13" t="s">
        <x:v>172</x:v>
      </x:c>
      <x:c r="B20" s="13" t="s">
        <x:v>83</x:v>
      </x:c>
      <x:c r="C20" s="14"/>
    </x:row>
    <x:row r="21">
      <x:c r="A21" s="13" t="s">
        <x:v>173</x:v>
      </x:c>
      <x:c r="B21" s="13" t="s">
        <x:v>84</x:v>
      </x:c>
      <x:c r="C21" s="14"/>
    </x:row>
    <x:row r="22">
      <x:c r="A22" s="13" t="s">
        <x:v>174</x:v>
      </x:c>
      <x:c r="B22" s="13" t="s">
        <x:v>85</x:v>
      </x:c>
      <x:c r="C22" s="14"/>
    </x:row>
    <x:row r="23">
      <x:c r="A23" s="13" t="s">
        <x:v>273</x:v>
      </x:c>
      <x:c r="B23" s="13" t="s">
        <x:v>86</x:v>
      </x:c>
      <x:c r="C23" s="14"/>
    </x:row>
    <x:row r="24">
      <x:c r="A24" s="13" t="s">
        <x:v>176</x:v>
      </x:c>
      <x:c r="B24" s="13" t="s">
        <x:v>87</x:v>
      </x:c>
      <x:c r="C24" s="14"/>
    </x:row>
    <x:row r="25">
      <x:c r="A25" s="13" t="s">
        <x:v>177</x:v>
      </x:c>
      <x:c r="B25" s="13" t="s">
        <x:v>88</x:v>
      </x:c>
      <x:c r="C25" s="14"/>
    </x:row>
    <x:row r="26">
      <x:c r="A26" s="13" t="s">
        <x:v>168</x:v>
      </x:c>
      <x:c r="B26" s="13" t="s">
        <x:v>89</x:v>
      </x:c>
      <x:c r="C26" s="14"/>
    </x:row>
    <x:row r="27" ht="17">
      <x:c r="A27" s="13" t="s">
        <x:v>274</x:v>
      </x:c>
      <x:c r="B27" s="15" t="s">
        <x:v>90</x:v>
      </x:c>
      <x:c r="C27" s="14"/>
    </x:row>
    <x:row r="28" ht="17">
      <x:c r="A28" s="13" t="s">
        <x:v>275</x:v>
      </x:c>
      <x:c r="B28" s="15" t="s">
        <x:v>19</x:v>
      </x:c>
      <x:c r="C28" s="14"/>
    </x:row>
    <x:row r="29" ht="17">
      <x:c r="A29" s="13" t="s">
        <x:v>276</x:v>
      </x:c>
      <x:c r="B29" s="15" t="s">
        <x:v>34</x:v>
      </x:c>
      <x:c r="C29" s="14"/>
    </x:row>
    <x:row r="30">
      <x:c r="A30" s="111" t="s">
        <x:v>49</x:v>
      </x:c>
      <x:c r="B30" s="111"/>
      <x:c r="C30" s="14" t="n">
        <x:f>SUM(C12:C29)</x:f>
        <x:v>0</x:v>
      </x:c>
    </x:row>
  </x:sheetData>
  <x:mergeCells>
    <x:mergeCell ref="A1:I1"/>
    <x:mergeCell ref="A2:C2"/>
    <x:mergeCell ref="D2:I2"/>
    <x:mergeCell ref="A8:F8"/>
    <x:mergeCell ref="A30:B30"/>
    <x:mergeCell ref="A10:A11"/>
    <x:mergeCell ref="B10:B11"/>
    <x:mergeCell ref="C10:C11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baseColWidth="10" defaultColWidth="13.5" defaultRowHeight="14"/>
  <x:cols>
    <x:col min="1" max="1" width="13.5" customWidth="1"/>
    <x:col min="2" max="2" width="40.6640625" customWidth="1"/>
    <x:col min="3" max="3" width="49.83203125" customWidth="1"/>
    <x:col min="4" max="5" width="13.5" customWidth="1"/>
    <x:col min="6" max="6" width="47" customWidth="1"/>
    <x:col min="7" max="7" width="16" customWidth="1"/>
    <x:col min="8" max="16378" width="13.5" customWidth="1"/>
  </x:cols>
  <x:sheetData>
    <x:row r="1" s="1" customFormat="1" ht="34.75" customHeight="1">
      <x:c r="A1" s="133" t="s">
        <x:v>497</x:v>
      </x:c>
      <x:c r="B1" s="133"/>
      <x:c r="C1" s="133"/>
      <x:c r="D1" s="133"/>
      <x:c r="E1" s="133"/>
      <x:c r="F1" s="133"/>
      <x:c r="G1" s="133"/>
      <x:c r="H1" s="133"/>
      <x:c r="I1" s="133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</x:row>
    <x:row r="2" s="1" customFormat="1">
      <x:c r="A2" s="114" t="e">
        <x:v>#NAME?</x:v>
      </x:c>
      <x:c r="B2" s="134"/>
      <x:c r="C2" s="134"/>
      <x:c r="D2" s="135"/>
      <x:c r="E2" s="135"/>
      <x:c r="F2" s="135"/>
      <x:c r="G2" s="135"/>
      <x:c r="H2" s="135"/>
      <x:c r="I2" s="135"/>
      <x:c r="J2" s="16"/>
      <x:c r="K2" s="17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  <x:c r="W2" s="16"/>
    </x:row>
    <x:row r="3" s="1" customFormat="1">
      <x:c r="A3" s="1" t="s">
        <x:v>295</x:v>
      </x:c>
      <x:c r="B3" s="2"/>
      <x:c r="C3" s="3"/>
      <x:c r="D3" s="4" t="s">
        <x:v>296</x:v>
      </x:c>
      <x:c r="E3" s="5"/>
      <x:c r="F3" s="6" t="n">
        <x:f>G47</x:f>
        <x:v>0</x:v>
      </x:c>
      <x:c r="G3" s="5"/>
      <x:c r="I3" s="18"/>
      <x:c r="J3" s="16"/>
      <x:c r="K3" s="16"/>
      <x:c r="L3" s="17"/>
      <x:c r="M3" s="16"/>
      <x:c r="N3" s="16"/>
      <x:c r="O3" s="16"/>
      <x:c r="P3" s="16"/>
      <x:c r="Q3" s="16"/>
      <x:c r="R3" s="16"/>
      <x:c r="S3" s="16"/>
      <x:c r="T3" s="16"/>
      <x:c r="U3" s="16"/>
      <x:c r="V3" s="16"/>
      <x:c r="W3" s="16"/>
    </x:row>
    <x:row r="4" ht="20" customHeight="1">
      <x:c r="A4" s="7" t="s">
        <x:v>297</x:v>
      </x:c>
      <x:c r="B4" s="7" t="s">
        <x:v>298</x:v>
      </x:c>
      <x:c r="C4" s="7" t="s">
        <x:v>299</x:v>
      </x:c>
      <x:c r="D4" s="7" t="s">
        <x:v>300</x:v>
      </x:c>
      <x:c r="E4" s="7" t="s">
        <x:v>301</x:v>
      </x:c>
      <x:c r="F4" s="7" t="s">
        <x:v>302</x:v>
      </x:c>
      <x:c r="G4" s="7" t="s">
        <x:v>303</x:v>
      </x:c>
      <x:c r="H4" s="8" t="s">
        <x:v>93</x:v>
      </x:c>
      <x:c r="I4" s="8" t="s">
        <x:v>304</x:v>
      </x:c>
    </x:row>
    <x:row r="5" ht="20" customHeight="1">
      <x:c r="A5" t="s">
        <x:v>372</x:v>
      </x:c>
      <x:c r="B5" t="s">
        <x:v>306</x:v>
      </x:c>
      <x:c r="C5" t="s">
        <x:v>311</x:v>
      </x:c>
      <x:c r="F5" t="s">
        <x:v>373</x:v>
      </x:c>
    </x:row>
    <x:row r="6" ht="20" customHeight="1">
      <x:c r="A6" t="s">
        <x:v>329</x:v>
      </x:c>
      <x:c r="B6" t="s">
        <x:v>306</x:v>
      </x:c>
      <x:c r="C6" t="s">
        <x:v>311</x:v>
      </x:c>
      <x:c r="D6" t="s">
        <x:v>308</x:v>
      </x:c>
      <x:c r="E6" s="21">
        <x:v>171</x:v>
      </x:c>
      <x:c r="F6" t="s">
        <x:v>498</x:v>
      </x:c>
      <x:c r="G6" s="20"/>
      <x:c r="J6" s="20"/>
    </x:row>
    <x:row r="7" ht="20" customHeight="1">
      <x:c r="A7" t="s">
        <x:v>329</x:v>
      </x:c>
      <x:c r="B7" t="s">
        <x:v>306</x:v>
      </x:c>
      <x:c r="C7" t="s">
        <x:v>311</x:v>
      </x:c>
      <x:c r="D7" t="s">
        <x:v>308</x:v>
      </x:c>
      <x:c r="E7" s="21">
        <x:v>171</x:v>
      </x:c>
      <x:c r="F7" t="s">
        <x:v>499</x:v>
      </x:c>
      <x:c r="G7" s="20"/>
      <x:c r="J7" s="20"/>
    </x:row>
    <x:row r="8" ht="20" customHeight="1">
      <x:c r="A8" t="s">
        <x:v>329</x:v>
      </x:c>
      <x:c r="B8" t="s">
        <x:v>306</x:v>
      </x:c>
      <x:c r="C8" t="s">
        <x:v>311</x:v>
      </x:c>
      <x:c r="D8" t="s">
        <x:v>308</x:v>
      </x:c>
      <x:c r="E8" s="21">
        <x:v>211</x:v>
      </x:c>
      <x:c r="F8" t="s">
        <x:v>322</x:v>
      </x:c>
      <x:c r="H8" s="20"/>
    </x:row>
    <x:row r="9" ht="20" customHeight="1">
      <x:c r="B9" t="s">
        <x:v>306</x:v>
      </x:c>
      <x:c r="C9" t="s">
        <x:v>311</x:v>
      </x:c>
      <x:c r="F9" t="s">
        <x:v>376</x:v>
      </x:c>
      <x:c r="G9" s="20"/>
      <x:c r="H9" s="20"/>
    </x:row>
    <x:row r="10" ht="20" customHeight="1">
      <x:c r="B10" t="s">
        <x:v>306</x:v>
      </x:c>
      <x:c r="C10" t="s">
        <x:v>311</x:v>
      </x:c>
      <x:c r="F10" t="s">
        <x:v>377</x:v>
      </x:c>
      <x:c r="G10" s="20"/>
      <x:c r="H10" s="20"/>
    </x:row>
    <x:row r="11" ht="20" customHeight="1">
      <x:c r="A11" t="s">
        <x:v>331</x:v>
      </x:c>
      <x:c r="B11" t="s">
        <x:v>306</x:v>
      </x:c>
      <x:c r="C11" t="s">
        <x:v>307</x:v>
      </x:c>
      <x:c r="D11" t="s">
        <x:v>308</x:v>
      </x:c>
      <x:c r="E11" s="21">
        <x:v>155</x:v>
      </x:c>
      <x:c r="F11" t="s">
        <x:v>498</x:v>
      </x:c>
      <x:c r="G11" s="20"/>
      <x:c r="J11" s="20"/>
    </x:row>
    <x:row r="12" ht="20" customHeight="1">
      <x:c r="A12" t="s">
        <x:v>331</x:v>
      </x:c>
      <x:c r="B12" t="s">
        <x:v>306</x:v>
      </x:c>
      <x:c r="C12" t="s">
        <x:v>307</x:v>
      </x:c>
      <x:c r="D12" t="s">
        <x:v>308</x:v>
      </x:c>
      <x:c r="E12" s="21">
        <x:v>155</x:v>
      </x:c>
      <x:c r="F12" t="s">
        <x:v>499</x:v>
      </x:c>
      <x:c r="G12" s="20"/>
      <x:c r="J12" s="20"/>
    </x:row>
    <x:row r="13" ht="20" customHeight="1">
      <x:c r="A13" t="s">
        <x:v>331</x:v>
      </x:c>
      <x:c r="B13" t="s">
        <x:v>306</x:v>
      </x:c>
      <x:c r="C13" t="s">
        <x:v>307</x:v>
      </x:c>
      <x:c r="D13" t="s">
        <x:v>308</x:v>
      </x:c>
      <x:c r="E13" s="21">
        <x:v>190</x:v>
      </x:c>
      <x:c r="F13" t="s">
        <x:v>322</x:v>
      </x:c>
      <x:c r="H13" s="20"/>
    </x:row>
    <x:row r="14" ht="20" customHeight="1">
      <x:c r="B14" t="s">
        <x:v>306</x:v>
      </x:c>
      <x:c r="C14" t="s">
        <x:v>307</x:v>
      </x:c>
      <x:c r="F14" t="s">
        <x:v>376</x:v>
      </x:c>
      <x:c r="G14" s="20"/>
      <x:c r="H14" s="20"/>
    </x:row>
    <x:row r="15" ht="20" customHeight="1">
      <x:c r="B15" t="s">
        <x:v>306</x:v>
      </x:c>
      <x:c r="C15" t="s">
        <x:v>307</x:v>
      </x:c>
      <x:c r="F15" t="s">
        <x:v>377</x:v>
      </x:c>
      <x:c r="G15" s="20"/>
      <x:c r="H15" s="20"/>
    </x:row>
    <x:row r="16" ht="20" customHeight="1">
      <x:c r="A16" t="s">
        <x:v>319</x:v>
      </x:c>
      <x:c r="B16" t="s">
        <x:v>306</x:v>
      </x:c>
      <x:c r="C16" t="s">
        <x:v>320</x:v>
      </x:c>
      <x:c r="D16" t="s">
        <x:v>308</x:v>
      </x:c>
      <x:c r="E16" s="21">
        <x:v>189</x:v>
      </x:c>
      <x:c r="F16" t="s">
        <x:v>498</x:v>
      </x:c>
      <x:c r="G16" s="20"/>
      <x:c r="J16" s="20"/>
    </x:row>
    <x:row r="17" ht="20" customHeight="1">
      <x:c r="A17" t="s">
        <x:v>319</x:v>
      </x:c>
      <x:c r="B17" t="s">
        <x:v>306</x:v>
      </x:c>
      <x:c r="C17" t="s">
        <x:v>320</x:v>
      </x:c>
      <x:c r="D17" t="s">
        <x:v>308</x:v>
      </x:c>
      <x:c r="E17" s="21">
        <x:v>189</x:v>
      </x:c>
      <x:c r="F17" t="s">
        <x:v>499</x:v>
      </x:c>
      <x:c r="G17" s="20"/>
      <x:c r="J17" s="20"/>
    </x:row>
    <x:row r="18" ht="20" customHeight="1">
      <x:c r="A18" t="s">
        <x:v>319</x:v>
      </x:c>
      <x:c r="B18" t="s">
        <x:v>306</x:v>
      </x:c>
      <x:c r="C18" t="s">
        <x:v>320</x:v>
      </x:c>
      <x:c r="D18" t="s">
        <x:v>308</x:v>
      </x:c>
      <x:c r="E18" s="21">
        <x:v>225</x:v>
      </x:c>
      <x:c r="F18" t="s">
        <x:v>322</x:v>
      </x:c>
      <x:c r="H18" s="20"/>
    </x:row>
    <x:row r="19" ht="20" customHeight="1">
      <x:c r="B19" t="s">
        <x:v>306</x:v>
      </x:c>
      <x:c r="C19" t="s">
        <x:v>320</x:v>
      </x:c>
      <x:c r="F19" t="s">
        <x:v>376</x:v>
      </x:c>
      <x:c r="G19" s="20"/>
      <x:c r="H19" s="20"/>
    </x:row>
    <x:row r="20" ht="20" customHeight="1">
      <x:c r="B20" t="s">
        <x:v>306</x:v>
      </x:c>
      <x:c r="C20" t="s">
        <x:v>320</x:v>
      </x:c>
      <x:c r="F20" t="s">
        <x:v>377</x:v>
      </x:c>
      <x:c r="G20" s="20"/>
      <x:c r="H20" s="20"/>
    </x:row>
    <x:row r="21" ht="20" customHeight="1">
      <x:c r="A21" s="7"/>
      <x:c r="B21" s="7"/>
      <x:c r="C21" s="7"/>
      <x:c r="D21" s="7"/>
      <x:c r="E21" s="9"/>
      <x:c r="F21" s="7"/>
      <x:c r="G21" s="10"/>
      <x:c r="H21" s="7"/>
      <x:c r="I21" s="7"/>
    </x:row>
    <x:row r="22" ht="20" customHeight="1">
      <x:c r="A22" s="7"/>
      <x:c r="B22" s="7"/>
      <x:c r="C22" s="7"/>
      <x:c r="D22" s="7"/>
      <x:c r="E22" s="9"/>
      <x:c r="F22" s="7"/>
      <x:c r="G22" s="10"/>
      <x:c r="H22" s="7"/>
      <x:c r="I22" s="7"/>
    </x:row>
    <x:row r="23" ht="20" customHeight="1">
      <x:c r="A23" s="7"/>
      <x:c r="B23" s="7"/>
      <x:c r="C23" s="7"/>
      <x:c r="D23" s="7"/>
      <x:c r="E23" s="9"/>
      <x:c r="F23" s="7"/>
      <x:c r="G23" s="10"/>
      <x:c r="H23" s="7"/>
      <x:c r="I23" s="7"/>
    </x:row>
    <x:row r="24" ht="20" customHeight="1">
      <x:c r="A24" s="7"/>
      <x:c r="B24" s="7"/>
      <x:c r="C24" s="7"/>
      <x:c r="D24" s="7"/>
      <x:c r="E24" s="9"/>
      <x:c r="F24" s="7"/>
      <x:c r="G24" s="10"/>
      <x:c r="H24" s="7"/>
      <x:c r="I24" s="7"/>
    </x:row>
    <x:row r="25" ht="20" customHeight="1">
      <x:c r="A25" s="7"/>
      <x:c r="B25" s="7"/>
      <x:c r="C25" s="7"/>
      <x:c r="D25" s="7"/>
      <x:c r="E25" s="9"/>
      <x:c r="F25" s="7"/>
      <x:c r="G25" s="10"/>
      <x:c r="H25" s="7"/>
      <x:c r="I25" s="7"/>
    </x:row>
    <x:row r="26" ht="20" customHeight="1">
      <x:c r="A26" s="7"/>
      <x:c r="B26" s="7"/>
      <x:c r="C26" s="7"/>
      <x:c r="D26" s="7"/>
      <x:c r="E26" s="9"/>
      <x:c r="F26" s="7"/>
      <x:c r="G26" s="10"/>
      <x:c r="H26" s="7"/>
      <x:c r="I26" s="7"/>
    </x:row>
    <x:row r="27" ht="20" customHeight="1">
      <x:c r="A27" s="7"/>
      <x:c r="B27" s="7"/>
      <x:c r="C27" s="7"/>
      <x:c r="D27" s="7"/>
      <x:c r="E27" s="9"/>
      <x:c r="F27" s="7"/>
      <x:c r="G27" s="10"/>
      <x:c r="H27" s="7"/>
      <x:c r="I27" s="7"/>
    </x:row>
    <x:row r="28" ht="20" customHeight="1">
      <x:c r="A28" s="7"/>
      <x:c r="B28" s="7"/>
      <x:c r="C28" s="7"/>
      <x:c r="D28" s="7"/>
      <x:c r="E28" s="9"/>
      <x:c r="F28" s="7"/>
      <x:c r="G28" s="10"/>
      <x:c r="H28" s="7"/>
      <x:c r="I28" s="7"/>
    </x:row>
    <x:row r="29" ht="20" customHeight="1">
      <x:c r="A29" s="7"/>
      <x:c r="B29" s="7"/>
      <x:c r="C29" s="7"/>
      <x:c r="D29" s="7"/>
      <x:c r="E29" s="9"/>
      <x:c r="F29" s="7"/>
      <x:c r="G29" s="10"/>
      <x:c r="H29" s="7"/>
      <x:c r="I29" s="7"/>
    </x:row>
    <x:row r="30" ht="20" customHeight="1">
      <x:c r="A30" s="7"/>
      <x:c r="B30" s="7"/>
      <x:c r="C30" s="7"/>
      <x:c r="D30" s="7"/>
      <x:c r="E30" s="9"/>
      <x:c r="F30" s="7"/>
      <x:c r="G30" s="10"/>
      <x:c r="H30" s="7"/>
      <x:c r="I30" s="7"/>
    </x:row>
    <x:row r="31" ht="20" customHeight="1">
      <x:c r="A31" s="7"/>
      <x:c r="B31" s="7"/>
      <x:c r="C31" s="7"/>
      <x:c r="D31" s="7"/>
      <x:c r="E31" s="9"/>
      <x:c r="F31" s="7"/>
      <x:c r="G31" s="10"/>
      <x:c r="H31" s="7"/>
      <x:c r="I31" s="7"/>
    </x:row>
    <x:row r="32" ht="20" customHeight="1">
      <x:c r="A32" s="7"/>
      <x:c r="B32" s="7"/>
      <x:c r="C32" s="7"/>
      <x:c r="D32" s="7"/>
      <x:c r="E32" s="9"/>
      <x:c r="F32" s="7"/>
      <x:c r="G32" s="10"/>
      <x:c r="H32" s="7"/>
      <x:c r="I32" s="7"/>
    </x:row>
    <x:row r="33" ht="20" customHeight="1">
      <x:c r="A33" s="7"/>
      <x:c r="B33" s="7"/>
      <x:c r="C33" s="7"/>
      <x:c r="D33" s="7"/>
      <x:c r="E33" s="9"/>
      <x:c r="F33" s="7"/>
      <x:c r="G33" s="10"/>
      <x:c r="H33" s="7"/>
      <x:c r="I33" s="7"/>
    </x:row>
    <x:row r="34" ht="20" customHeight="1">
      <x:c r="A34" s="7"/>
      <x:c r="B34" s="7"/>
      <x:c r="C34" s="7"/>
      <x:c r="D34" s="7"/>
      <x:c r="E34" s="9"/>
      <x:c r="F34" s="7"/>
      <x:c r="G34" s="10"/>
      <x:c r="H34" s="7"/>
      <x:c r="I34" s="7"/>
    </x:row>
    <x:row r="35" ht="20" customHeight="1">
      <x:c r="A35" s="7"/>
      <x:c r="B35" s="7"/>
      <x:c r="C35" s="7"/>
      <x:c r="D35" s="7"/>
      <x:c r="E35" s="9"/>
      <x:c r="F35" s="7"/>
      <x:c r="G35" s="10"/>
      <x:c r="H35" s="7"/>
      <x:c r="I35" s="7"/>
    </x:row>
    <x:row r="36" ht="20" customHeight="1">
      <x:c r="A36" s="7"/>
      <x:c r="B36" s="7"/>
      <x:c r="C36" s="7"/>
      <x:c r="D36" s="7"/>
      <x:c r="E36" s="9"/>
      <x:c r="F36" s="7"/>
      <x:c r="G36" s="10"/>
      <x:c r="H36" s="7"/>
      <x:c r="I36" s="7"/>
    </x:row>
    <x:row r="37" ht="20" customHeight="1">
      <x:c r="A37" s="7"/>
      <x:c r="B37" s="7"/>
      <x:c r="C37" s="7"/>
      <x:c r="D37" s="7"/>
      <x:c r="E37" s="9"/>
      <x:c r="F37" s="7"/>
      <x:c r="G37" s="10"/>
      <x:c r="H37" s="7"/>
      <x:c r="I37" s="7"/>
    </x:row>
    <x:row r="38" ht="20" customHeight="1">
      <x:c r="A38" s="7"/>
      <x:c r="B38" s="7"/>
      <x:c r="C38" s="7"/>
      <x:c r="D38" s="7"/>
      <x:c r="E38" s="9"/>
      <x:c r="F38" s="7"/>
      <x:c r="G38" s="10"/>
      <x:c r="H38" s="7"/>
      <x:c r="I38" s="7"/>
    </x:row>
    <x:row r="39" ht="20" customHeight="1">
      <x:c r="A39" s="7"/>
      <x:c r="B39" s="7"/>
      <x:c r="C39" s="7"/>
      <x:c r="D39" s="7"/>
      <x:c r="E39" s="9"/>
      <x:c r="F39" s="7"/>
      <x:c r="G39" s="10"/>
      <x:c r="H39" s="7"/>
      <x:c r="I39" s="7"/>
    </x:row>
    <x:row r="40" ht="20" customHeight="1">
      <x:c r="A40" s="7"/>
      <x:c r="B40" s="7"/>
      <x:c r="C40" s="7"/>
      <x:c r="D40" s="7"/>
      <x:c r="E40" s="9"/>
      <x:c r="F40" s="7"/>
      <x:c r="G40" s="10"/>
      <x:c r="H40" s="7"/>
      <x:c r="I40" s="7"/>
    </x:row>
    <x:row r="41" ht="20" customHeight="1">
      <x:c r="A41" s="7"/>
      <x:c r="B41" s="7"/>
      <x:c r="C41" s="7"/>
      <x:c r="D41" s="7"/>
      <x:c r="E41" s="9"/>
      <x:c r="F41" s="7"/>
      <x:c r="G41" s="10"/>
      <x:c r="H41" s="7"/>
      <x:c r="I41" s="7"/>
    </x:row>
    <x:row r="42" ht="20" customHeight="1">
      <x:c r="A42" s="7"/>
      <x:c r="B42" s="7"/>
      <x:c r="C42" s="7"/>
      <x:c r="D42" s="7"/>
      <x:c r="E42" s="9"/>
      <x:c r="F42" s="7"/>
      <x:c r="G42" s="10"/>
      <x:c r="H42" s="7"/>
      <x:c r="I42" s="7"/>
    </x:row>
    <x:row r="43" ht="20" customHeight="1">
      <x:c r="A43" s="7"/>
      <x:c r="B43" s="7"/>
      <x:c r="C43" s="7"/>
      <x:c r="D43" s="7"/>
      <x:c r="E43" s="9"/>
      <x:c r="F43" s="7"/>
      <x:c r="G43" s="10"/>
      <x:c r="H43" s="7"/>
      <x:c r="I43" s="7"/>
    </x:row>
    <x:row r="44" ht="20" customHeight="1">
      <x:c r="A44" s="7"/>
      <x:c r="B44" s="7"/>
      <x:c r="C44" s="7"/>
      <x:c r="D44" s="7"/>
      <x:c r="E44" s="9"/>
      <x:c r="F44" s="7"/>
      <x:c r="G44" s="10"/>
      <x:c r="H44" s="7"/>
      <x:c r="I44" s="7"/>
    </x:row>
    <x:row r="45" ht="20" customHeight="1">
      <x:c r="A45" s="7"/>
      <x:c r="B45" s="7"/>
      <x:c r="C45" s="7"/>
      <x:c r="D45" s="7"/>
      <x:c r="E45" s="9"/>
      <x:c r="F45" s="7"/>
      <x:c r="G45" s="10"/>
      <x:c r="H45" s="7"/>
      <x:c r="I45" s="7"/>
    </x:row>
    <x:row r="46" ht="20" customHeight="1">
      <x:c r="A46" s="7"/>
      <x:c r="B46" s="7"/>
      <x:c r="C46" s="7"/>
      <x:c r="D46" s="7"/>
      <x:c r="E46" s="9"/>
      <x:c r="F46" s="7"/>
      <x:c r="G46" s="10"/>
      <x:c r="H46" s="7"/>
      <x:c r="I46" s="7"/>
    </x:row>
    <x:row r="47">
      <x:c r="A47" s="111" t="s">
        <x:v>49</x:v>
      </x:c>
      <x:c r="B47" s="111"/>
      <x:c r="C47" s="111"/>
      <x:c r="D47" s="111"/>
      <x:c r="E47" s="111"/>
      <x:c r="F47" s="111"/>
      <x:c r="G47" s="7" t="n">
        <x:f>SUM(G5:G6)</x:f>
        <x:v>0</x:v>
      </x:c>
      <x:c r="H47" s="7"/>
      <x:c r="I47" s="7"/>
    </x:row>
    <x:row r="49">
      <x:c r="A49" s="112" t="s">
        <x:v>50</x:v>
      </x:c>
      <x:c r="B49" s="112" t="s">
        <x:v>2</x:v>
      </x:c>
      <x:c r="C49" s="124" t="s">
        <x:v>327</x:v>
      </x:c>
    </x:row>
    <x:row r="50">
      <x:c r="A50" s="112"/>
      <x:c r="B50" s="112"/>
      <x:c r="C50" s="124"/>
    </x:row>
    <x:row r="51">
      <x:c r="A51" s="13" t="s">
        <x:v>164</x:v>
      </x:c>
      <x:c r="B51" s="13" t="s">
        <x:v>75</x:v>
      </x:c>
      <x:c r="C51" s="19" t="e">
        <x:f>项目分类明细汇总表1月!$D$39*研发人员工时统计合计!J43</x:f>
        <x:v>#NAME?</x:v>
      </x:c>
    </x:row>
    <x:row r="52">
      <x:c r="A52" s="13" t="s">
        <x:v>165</x:v>
      </x:c>
      <x:c r="B52" s="13" t="s">
        <x:v>76</x:v>
      </x:c>
      <x:c r="C52" s="19" t="e">
        <x:f>项目分类明细汇总表1月!$D$39*研发人员工时统计合计!J44</x:f>
        <x:v>#NAME?</x:v>
      </x:c>
    </x:row>
    <x:row r="53">
      <x:c r="A53" s="13" t="s">
        <x:v>166</x:v>
      </x:c>
      <x:c r="B53" s="13" t="s">
        <x:v>77</x:v>
      </x:c>
      <x:c r="C53" s="19" t="e">
        <x:f>项目分类明细汇总表1月!$D$39*研发人员工时统计合计!J45</x:f>
        <x:v>#NAME?</x:v>
      </x:c>
    </x:row>
    <x:row r="54">
      <x:c r="A54" s="13" t="s">
        <x:v>167</x:v>
      </x:c>
      <x:c r="B54" s="13" t="s">
        <x:v>78</x:v>
      </x:c>
      <x:c r="C54" s="19" t="e">
        <x:f>项目分类明细汇总表1月!$D$39*研发人员工时统计合计!J46</x:f>
        <x:v>#NAME?</x:v>
      </x:c>
    </x:row>
    <x:row r="55">
      <x:c r="A55" s="13" t="s">
        <x:v>168</x:v>
      </x:c>
      <x:c r="B55" s="13" t="s">
        <x:v>79</x:v>
      </x:c>
      <x:c r="C55" s="19" t="e">
        <x:f>项目分类明细汇总表1月!$D$39*研发人员工时统计合计!J47</x:f>
        <x:v>#NAME?</x:v>
      </x:c>
    </x:row>
    <x:row r="56">
      <x:c r="A56" s="13" t="s">
        <x:v>169</x:v>
      </x:c>
      <x:c r="B56" s="13" t="s">
        <x:v>80</x:v>
      </x:c>
      <x:c r="C56" s="19" t="e">
        <x:f>项目分类明细汇总表1月!$D$39*研发人员工时统计合计!J48</x:f>
        <x:v>#NAME?</x:v>
      </x:c>
    </x:row>
    <x:row r="57">
      <x:c r="A57" s="13" t="s">
        <x:v>170</x:v>
      </x:c>
      <x:c r="B57" s="13" t="s">
        <x:v>81</x:v>
      </x:c>
      <x:c r="C57" s="19" t="e">
        <x:f>项目分类明细汇总表1月!$D$39*研发人员工时统计合计!J49</x:f>
        <x:v>#NAME?</x:v>
      </x:c>
    </x:row>
    <x:row r="58">
      <x:c r="A58" s="13" t="s">
        <x:v>171</x:v>
      </x:c>
      <x:c r="B58" s="13" t="s">
        <x:v>82</x:v>
      </x:c>
      <x:c r="C58" s="19" t="e">
        <x:f>项目分类明细汇总表1月!$D$39*研发人员工时统计合计!J50</x:f>
        <x:v>#NAME?</x:v>
      </x:c>
    </x:row>
    <x:row r="59">
      <x:c r="A59" s="13" t="s">
        <x:v>172</x:v>
      </x:c>
      <x:c r="B59" s="13" t="s">
        <x:v>83</x:v>
      </x:c>
      <x:c r="C59" s="19" t="e">
        <x:f>项目分类明细汇总表1月!$D$39*研发人员工时统计合计!J51</x:f>
        <x:v>#NAME?</x:v>
      </x:c>
    </x:row>
    <x:row r="60">
      <x:c r="A60" s="13" t="s">
        <x:v>173</x:v>
      </x:c>
      <x:c r="B60" s="13" t="s">
        <x:v>84</x:v>
      </x:c>
      <x:c r="C60" s="19" t="e">
        <x:f>项目分类明细汇总表1月!$D$39*研发人员工时统计合计!J52</x:f>
        <x:v>#NAME?</x:v>
      </x:c>
    </x:row>
    <x:row r="61">
      <x:c r="A61" s="13" t="s">
        <x:v>174</x:v>
      </x:c>
      <x:c r="B61" s="13" t="s">
        <x:v>85</x:v>
      </x:c>
      <x:c r="C61" s="19" t="e">
        <x:f>项目分类明细汇总表1月!$D$39*研发人员工时统计合计!J53</x:f>
        <x:v>#NAME?</x:v>
      </x:c>
    </x:row>
    <x:row r="62">
      <x:c r="A62" s="13" t="s">
        <x:v>273</x:v>
      </x:c>
      <x:c r="B62" s="13" t="s">
        <x:v>86</x:v>
      </x:c>
      <x:c r="C62" s="19" t="e">
        <x:f>项目分类明细汇总表1月!$D$39*研发人员工时统计合计!J54</x:f>
        <x:v>#NAME?</x:v>
      </x:c>
    </x:row>
    <x:row r="63">
      <x:c r="A63" s="13" t="s">
        <x:v>176</x:v>
      </x:c>
      <x:c r="B63" s="13" t="s">
        <x:v>87</x:v>
      </x:c>
      <x:c r="C63" s="19" t="e">
        <x:f>项目分类明细汇总表1月!$D$39*研发人员工时统计合计!J55</x:f>
        <x:v>#NAME?</x:v>
      </x:c>
    </x:row>
    <x:row r="64">
      <x:c r="A64" s="13" t="s">
        <x:v>177</x:v>
      </x:c>
      <x:c r="B64" s="13" t="s">
        <x:v>88</x:v>
      </x:c>
      <x:c r="C64" s="19" t="e">
        <x:f>项目分类明细汇总表1月!$D$39*研发人员工时统计合计!J56</x:f>
        <x:v>#NAME?</x:v>
      </x:c>
    </x:row>
    <x:row r="65">
      <x:c r="A65" s="13" t="s">
        <x:v>168</x:v>
      </x:c>
      <x:c r="B65" s="13" t="s">
        <x:v>89</x:v>
      </x:c>
      <x:c r="C65" s="19" t="e">
        <x:f>项目分类明细汇总表1月!$D$39*研发人员工时统计合计!J57</x:f>
        <x:v>#NAME?</x:v>
      </x:c>
    </x:row>
    <x:row r="66" ht="17">
      <x:c r="A66" s="13" t="s">
        <x:v>274</x:v>
      </x:c>
      <x:c r="B66" s="15" t="s">
        <x:v>90</x:v>
      </x:c>
      <x:c r="C66" s="19" t="e">
        <x:f>项目分类明细汇总表1月!$D$39*研发人员工时统计合计!J58</x:f>
        <x:v>#NAME?</x:v>
      </x:c>
    </x:row>
    <x:row r="67" ht="17">
      <x:c r="A67" s="13" t="s">
        <x:v>275</x:v>
      </x:c>
      <x:c r="B67" s="15" t="s">
        <x:v>19</x:v>
      </x:c>
      <x:c r="C67" s="19" t="e">
        <x:f>项目分类明细汇总表1月!$D$39*研发人员工时统计合计!J59</x:f>
        <x:v>#NAME?</x:v>
      </x:c>
    </x:row>
    <x:row r="68" ht="17">
      <x:c r="A68" s="13" t="s">
        <x:v>276</x:v>
      </x:c>
      <x:c r="B68" s="15" t="s">
        <x:v>34</x:v>
      </x:c>
      <x:c r="C68" s="19" t="e">
        <x:f>项目分类明细汇总表1月!$D$39*研发人员工时统计合计!J60</x:f>
        <x:v>#NAME?</x:v>
      </x:c>
    </x:row>
    <x:row r="69">
      <x:c r="A69" s="111" t="s">
        <x:v>49</x:v>
      </x:c>
      <x:c r="B69" s="111"/>
      <x:c r="C69" s="19" t="e">
        <x:f>项目分类明细汇总表1月!$D$39*研发人员工时统计合计!J61</x:f>
        <x:v>#NAME?</x:v>
      </x:c>
    </x:row>
  </x:sheetData>
  <x:mergeCells>
    <x:mergeCell ref="A1:I1"/>
    <x:mergeCell ref="A2:C2"/>
    <x:mergeCell ref="D2:I2"/>
    <x:mergeCell ref="A47:F47"/>
    <x:mergeCell ref="A69:B69"/>
    <x:mergeCell ref="A49:A50"/>
    <x:mergeCell ref="B49:B50"/>
    <x:mergeCell ref="C49:C50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baseColWidth="10" defaultColWidth="9" defaultRowHeight="14"/>
  <x:cols>
    <x:col min="1" max="1" width="19.1640625" customWidth="1"/>
    <x:col min="2" max="2" width="50.5" customWidth="1"/>
    <x:col min="3" max="3" width="69.1640625" customWidth="1"/>
    <x:col min="4" max="4" width="11.5" customWidth="1"/>
    <x:col min="5" max="5" width="11.6640625" customWidth="1"/>
    <x:col min="6" max="6" width="73.6640625" customWidth="1"/>
    <x:col min="7" max="7" width="19.1640625" customWidth="1"/>
  </x:cols>
  <x:sheetData>
    <x:row r="1" s="1" customFormat="1" ht="34.75" customHeight="1">
      <x:c r="A1" s="133" t="s">
        <x:v>500</x:v>
      </x:c>
      <x:c r="B1" s="133"/>
      <x:c r="C1" s="133"/>
      <x:c r="D1" s="133"/>
      <x:c r="E1" s="133"/>
      <x:c r="F1" s="133"/>
      <x:c r="G1" s="133"/>
      <x:c r="H1" s="133"/>
      <x:c r="I1" s="133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</x:row>
    <x:row r="2" s="1" customFormat="1">
      <x:c r="A2" s="114" t="e">
        <x:v>#NAME?</x:v>
      </x:c>
      <x:c r="B2" s="134"/>
      <x:c r="C2" s="134"/>
      <x:c r="D2" s="135"/>
      <x:c r="E2" s="135"/>
      <x:c r="F2" s="135"/>
      <x:c r="G2" s="135"/>
      <x:c r="H2" s="135"/>
      <x:c r="I2" s="135"/>
      <x:c r="J2" s="16"/>
      <x:c r="K2" s="17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  <x:c r="W2" s="16"/>
    </x:row>
    <x:row r="3" s="1" customFormat="1">
      <x:c r="A3" s="1" t="s">
        <x:v>295</x:v>
      </x:c>
      <x:c r="B3" s="2"/>
      <x:c r="C3" s="3"/>
      <x:c r="D3" s="4" t="s">
        <x:v>296</x:v>
      </x:c>
      <x:c r="E3" s="5"/>
      <x:c r="F3" s="6" t="n">
        <x:f>G36</x:f>
        <x:v>0</x:v>
      </x:c>
      <x:c r="G3" s="5"/>
      <x:c r="I3" s="18"/>
      <x:c r="J3" s="16"/>
      <x:c r="K3" s="16"/>
      <x:c r="L3" s="17"/>
      <x:c r="M3" s="16"/>
      <x:c r="N3" s="16"/>
      <x:c r="O3" s="16"/>
      <x:c r="P3" s="16"/>
      <x:c r="Q3" s="16"/>
      <x:c r="R3" s="16"/>
      <x:c r="S3" s="16"/>
      <x:c r="T3" s="16"/>
      <x:c r="U3" s="16"/>
      <x:c r="V3" s="16"/>
      <x:c r="W3" s="16"/>
    </x:row>
    <x:row r="4" ht="20" customHeight="1">
      <x:c r="A4" s="7" t="s">
        <x:v>297</x:v>
      </x:c>
      <x:c r="B4" s="7" t="s">
        <x:v>298</x:v>
      </x:c>
      <x:c r="C4" s="7" t="s">
        <x:v>299</x:v>
      </x:c>
      <x:c r="D4" s="7" t="s">
        <x:v>300</x:v>
      </x:c>
      <x:c r="E4" s="7" t="s">
        <x:v>301</x:v>
      </x:c>
      <x:c r="F4" s="7" t="s">
        <x:v>302</x:v>
      </x:c>
      <x:c r="G4" s="7" t="s">
        <x:v>303</x:v>
      </x:c>
      <x:c r="H4" s="8" t="s">
        <x:v>93</x:v>
      </x:c>
      <x:c r="I4" s="8" t="s">
        <x:v>304</x:v>
      </x:c>
    </x:row>
    <x:row r="5" ht="20" customHeight="1">
      <x:c r="A5" t="s">
        <x:v>372</x:v>
      </x:c>
      <x:c r="B5" t="s">
        <x:v>306</x:v>
      </x:c>
      <x:c r="C5" t="s">
        <x:v>311</x:v>
      </x:c>
      <x:c r="F5" t="s">
        <x:v>373</x:v>
      </x:c>
    </x:row>
    <x:row r="6" ht="20" customHeight="1">
      <x:c r="A6" t="s">
        <x:v>329</x:v>
      </x:c>
      <x:c r="B6" t="s">
        <x:v>306</x:v>
      </x:c>
      <x:c r="C6" t="s">
        <x:v>311</x:v>
      </x:c>
      <x:c r="D6" t="s">
        <x:v>308</x:v>
      </x:c>
      <x:c r="E6" s="21">
        <x:v>169</x:v>
      </x:c>
      <x:c r="F6" t="s">
        <x:v>501</x:v>
      </x:c>
      <x:c r="G6" s="20"/>
      <x:c r="J6" s="20"/>
    </x:row>
    <x:row r="7" ht="20" customHeight="1">
      <x:c r="A7" t="s">
        <x:v>329</x:v>
      </x:c>
      <x:c r="B7" t="s">
        <x:v>306</x:v>
      </x:c>
      <x:c r="C7" t="s">
        <x:v>311</x:v>
      </x:c>
      <x:c r="D7" t="s">
        <x:v>308</x:v>
      </x:c>
      <x:c r="E7" s="21">
        <x:v>211</x:v>
      </x:c>
      <x:c r="F7" t="s">
        <x:v>322</x:v>
      </x:c>
      <x:c r="H7" s="20"/>
    </x:row>
    <x:row r="8" ht="20" customHeight="1">
      <x:c r="B8" t="s">
        <x:v>306</x:v>
      </x:c>
      <x:c r="C8" t="s">
        <x:v>311</x:v>
      </x:c>
      <x:c r="F8" t="s">
        <x:v>376</x:v>
      </x:c>
      <x:c r="G8" s="20"/>
      <x:c r="H8" s="20"/>
    </x:row>
    <x:row r="9" ht="20" customHeight="1">
      <x:c r="B9" t="s">
        <x:v>306</x:v>
      </x:c>
      <x:c r="C9" t="s">
        <x:v>311</x:v>
      </x:c>
      <x:c r="F9" t="s">
        <x:v>377</x:v>
      </x:c>
      <x:c r="G9" s="20"/>
      <x:c r="H9" s="20"/>
    </x:row>
    <x:row r="10" ht="20" customHeight="1">
      <x:c r="A10" t="s">
        <x:v>331</x:v>
      </x:c>
      <x:c r="B10" t="s">
        <x:v>306</x:v>
      </x:c>
      <x:c r="C10" t="s">
        <x:v>307</x:v>
      </x:c>
      <x:c r="D10" t="s">
        <x:v>308</x:v>
      </x:c>
      <x:c r="E10" s="21">
        <x:v>149</x:v>
      </x:c>
      <x:c r="F10" t="s">
        <x:v>501</x:v>
      </x:c>
      <x:c r="G10" s="20"/>
      <x:c r="J10" s="20"/>
    </x:row>
    <x:row r="11" ht="20" customHeight="1">
      <x:c r="A11" t="s">
        <x:v>331</x:v>
      </x:c>
      <x:c r="B11" t="s">
        <x:v>306</x:v>
      </x:c>
      <x:c r="C11" t="s">
        <x:v>307</x:v>
      </x:c>
      <x:c r="D11" t="s">
        <x:v>308</x:v>
      </x:c>
      <x:c r="E11" s="21">
        <x:v>190</x:v>
      </x:c>
      <x:c r="F11" t="s">
        <x:v>322</x:v>
      </x:c>
      <x:c r="H11" s="20"/>
    </x:row>
    <x:row r="12" ht="20" customHeight="1">
      <x:c r="B12" t="s">
        <x:v>306</x:v>
      </x:c>
      <x:c r="C12" t="s">
        <x:v>307</x:v>
      </x:c>
      <x:c r="F12" t="s">
        <x:v>376</x:v>
      </x:c>
      <x:c r="G12" s="20"/>
      <x:c r="H12" s="20"/>
    </x:row>
    <x:row r="13" ht="20" customHeight="1">
      <x:c r="B13" t="s">
        <x:v>306</x:v>
      </x:c>
      <x:c r="C13" t="s">
        <x:v>307</x:v>
      </x:c>
      <x:c r="F13" t="s">
        <x:v>377</x:v>
      </x:c>
      <x:c r="G13" s="20"/>
      <x:c r="H13" s="20"/>
    </x:row>
    <x:row r="14" ht="20" customHeight="1">
      <x:c r="A14" t="s">
        <x:v>319</x:v>
      </x:c>
      <x:c r="B14" t="s">
        <x:v>306</x:v>
      </x:c>
      <x:c r="C14" t="s">
        <x:v>320</x:v>
      </x:c>
      <x:c r="D14" t="s">
        <x:v>308</x:v>
      </x:c>
      <x:c r="E14" s="21">
        <x:v>191</x:v>
      </x:c>
      <x:c r="F14" t="s">
        <x:v>501</x:v>
      </x:c>
      <x:c r="G14" s="20"/>
      <x:c r="J14" s="20"/>
    </x:row>
    <x:row r="15" ht="20" customHeight="1">
      <x:c r="A15" t="s">
        <x:v>319</x:v>
      </x:c>
      <x:c r="B15" t="s">
        <x:v>306</x:v>
      </x:c>
      <x:c r="C15" t="s">
        <x:v>320</x:v>
      </x:c>
      <x:c r="D15" t="s">
        <x:v>308</x:v>
      </x:c>
      <x:c r="E15" s="21">
        <x:v>191</x:v>
      </x:c>
      <x:c r="F15" t="s">
        <x:v>502</x:v>
      </x:c>
      <x:c r="G15" s="20"/>
      <x:c r="J15" s="20"/>
    </x:row>
    <x:row r="16" ht="20" customHeight="1">
      <x:c r="A16" t="s">
        <x:v>319</x:v>
      </x:c>
      <x:c r="B16" t="s">
        <x:v>306</x:v>
      </x:c>
      <x:c r="C16" t="s">
        <x:v>320</x:v>
      </x:c>
      <x:c r="D16" t="s">
        <x:v>308</x:v>
      </x:c>
      <x:c r="E16" s="21">
        <x:v>191</x:v>
      </x:c>
      <x:c r="F16" t="s">
        <x:v>501</x:v>
      </x:c>
      <x:c r="G16" s="20"/>
      <x:c r="J16" s="20"/>
    </x:row>
    <x:row r="17" ht="20" customHeight="1">
      <x:c r="A17" t="s">
        <x:v>319</x:v>
      </x:c>
      <x:c r="B17" t="s">
        <x:v>306</x:v>
      </x:c>
      <x:c r="C17" t="s">
        <x:v>320</x:v>
      </x:c>
      <x:c r="D17" t="s">
        <x:v>308</x:v>
      </x:c>
      <x:c r="E17" s="21">
        <x:v>225</x:v>
      </x:c>
      <x:c r="F17" t="s">
        <x:v>322</x:v>
      </x:c>
      <x:c r="H17" s="20"/>
    </x:row>
    <x:row r="18" ht="20" customHeight="1">
      <x:c r="B18" t="s">
        <x:v>306</x:v>
      </x:c>
      <x:c r="C18" t="s">
        <x:v>320</x:v>
      </x:c>
      <x:c r="F18" t="s">
        <x:v>376</x:v>
      </x:c>
      <x:c r="G18" s="20"/>
      <x:c r="H18" s="20"/>
    </x:row>
    <x:row r="19" ht="20" customHeight="1">
      <x:c r="B19" t="s">
        <x:v>306</x:v>
      </x:c>
      <x:c r="C19" t="s">
        <x:v>320</x:v>
      </x:c>
      <x:c r="F19" t="s">
        <x:v>377</x:v>
      </x:c>
      <x:c r="G19" s="20"/>
      <x:c r="H19" s="20"/>
    </x:row>
    <x:row r="20" ht="20" customHeight="1">
      <x:c r="E20" s="21"/>
      <x:c r="G20" s="20"/>
      <x:c r="H20" s="7"/>
      <x:c r="I20" s="7"/>
    </x:row>
    <x:row r="21" ht="20" customHeight="1">
      <x:c r="E21" s="21"/>
      <x:c r="G21" s="20"/>
      <x:c r="H21" s="7"/>
      <x:c r="I21" s="7"/>
    </x:row>
    <x:row r="22" ht="20" customHeight="1">
      <x:c r="E22" s="21"/>
      <x:c r="G22" s="20"/>
      <x:c r="H22" s="7"/>
      <x:c r="I22" s="7"/>
    </x:row>
    <x:row r="23" ht="20" customHeight="1">
      <x:c r="E23" s="21"/>
      <x:c r="G23" s="20"/>
      <x:c r="H23" s="7"/>
      <x:c r="I23" s="7"/>
    </x:row>
    <x:row r="24" ht="20" customHeight="1">
      <x:c r="E24" s="21"/>
      <x:c r="G24" s="20"/>
      <x:c r="H24" s="7"/>
      <x:c r="I24" s="7"/>
    </x:row>
    <x:row r="25" ht="20" customHeight="1">
      <x:c r="E25" s="21"/>
      <x:c r="G25" s="20"/>
      <x:c r="H25" s="7"/>
      <x:c r="I25" s="7"/>
    </x:row>
    <x:row r="26" ht="20" customHeight="1">
      <x:c r="E26" s="21"/>
      <x:c r="G26" s="20"/>
      <x:c r="H26" s="7"/>
      <x:c r="I26" s="7"/>
    </x:row>
    <x:row r="27" ht="20" customHeight="1">
      <x:c r="E27" s="21"/>
      <x:c r="G27" s="20"/>
      <x:c r="H27" s="7"/>
      <x:c r="I27" s="7"/>
    </x:row>
    <x:row r="28" ht="20" customHeight="1">
      <x:c r="E28" s="21"/>
      <x:c r="G28" s="20"/>
      <x:c r="H28" s="7"/>
      <x:c r="I28" s="7"/>
    </x:row>
    <x:row r="29" ht="20" customHeight="1">
      <x:c r="E29" s="21"/>
      <x:c r="G29" s="20"/>
      <x:c r="H29" s="7"/>
      <x:c r="I29" s="7"/>
    </x:row>
    <x:row r="30" ht="20" customHeight="1">
      <x:c r="E30" s="21"/>
      <x:c r="G30" s="20"/>
      <x:c r="H30" s="7"/>
      <x:c r="I30" s="7"/>
    </x:row>
    <x:row r="31" ht="20" customHeight="1">
      <x:c r="E31" s="21"/>
      <x:c r="G31" s="20"/>
      <x:c r="H31" s="7"/>
      <x:c r="I31" s="7"/>
    </x:row>
    <x:row r="32" ht="20" customHeight="1">
      <x:c r="E32" s="21"/>
      <x:c r="G32" s="20"/>
      <x:c r="H32" s="7"/>
      <x:c r="I32" s="7"/>
    </x:row>
    <x:row r="33" ht="20" customHeight="1">
      <x:c r="E33" s="21"/>
      <x:c r="G33" s="20"/>
      <x:c r="H33" s="7"/>
      <x:c r="I33" s="7"/>
    </x:row>
    <x:row r="34" ht="20" customHeight="1">
      <x:c r="E34" s="21"/>
      <x:c r="G34" s="20"/>
      <x:c r="H34" s="7"/>
      <x:c r="I34" s="7"/>
    </x:row>
    <x:row r="35" ht="20" customHeight="1">
      <x:c r="E35" s="21"/>
      <x:c r="G35" s="20"/>
      <x:c r="H35" s="7"/>
      <x:c r="I35" s="7"/>
    </x:row>
    <x:row r="36">
      <x:c r="A36" s="111" t="s">
        <x:v>49</x:v>
      </x:c>
      <x:c r="B36" s="111"/>
      <x:c r="C36" s="111"/>
      <x:c r="D36" s="111"/>
      <x:c r="E36" s="111"/>
      <x:c r="F36" s="111"/>
      <x:c r="G36" s="7" t="n">
        <x:f>SUM(G5:G5)</x:f>
        <x:v>0</x:v>
      </x:c>
      <x:c r="H36" s="7"/>
      <x:c r="I36" s="7"/>
    </x:row>
    <x:row r="39">
      <x:c r="A39" s="112" t="s">
        <x:v>50</x:v>
      </x:c>
      <x:c r="B39" s="112" t="s">
        <x:v>2</x:v>
      </x:c>
      <x:c r="C39" s="124" t="s">
        <x:v>327</x:v>
      </x:c>
    </x:row>
    <x:row r="40">
      <x:c r="A40" s="112"/>
      <x:c r="B40" s="112"/>
      <x:c r="C40" s="124"/>
    </x:row>
    <x:row r="41">
      <x:c r="A41" s="13" t="s">
        <x:v>164</x:v>
      </x:c>
      <x:c r="B41" s="13" t="s">
        <x:v>75</x:v>
      </x:c>
      <x:c r="C41" s="19" t="e">
        <x:f>项目分类明细汇总表1月!$D$40*研发人员工时统计合计!J43</x:f>
        <x:v>#NAME?</x:v>
      </x:c>
    </x:row>
    <x:row r="42">
      <x:c r="A42" s="13" t="s">
        <x:v>165</x:v>
      </x:c>
      <x:c r="B42" s="13" t="s">
        <x:v>76</x:v>
      </x:c>
      <x:c r="C42" s="19" t="e">
        <x:f>项目分类明细汇总表1月!$D$40*研发人员工时统计合计!J44</x:f>
        <x:v>#NAME?</x:v>
      </x:c>
    </x:row>
    <x:row r="43">
      <x:c r="A43" s="13" t="s">
        <x:v>166</x:v>
      </x:c>
      <x:c r="B43" s="13" t="s">
        <x:v>77</x:v>
      </x:c>
      <x:c r="C43" s="19" t="e">
        <x:f>项目分类明细汇总表1月!$D$40*研发人员工时统计合计!J45</x:f>
        <x:v>#NAME?</x:v>
      </x:c>
    </x:row>
    <x:row r="44">
      <x:c r="A44" s="13" t="s">
        <x:v>167</x:v>
      </x:c>
      <x:c r="B44" s="13" t="s">
        <x:v>78</x:v>
      </x:c>
      <x:c r="C44" s="19" t="e">
        <x:f>项目分类明细汇总表1月!$D$40*研发人员工时统计合计!J46</x:f>
        <x:v>#NAME?</x:v>
      </x:c>
    </x:row>
    <x:row r="45">
      <x:c r="A45" s="13" t="s">
        <x:v>168</x:v>
      </x:c>
      <x:c r="B45" s="13" t="s">
        <x:v>79</x:v>
      </x:c>
      <x:c r="C45" s="19" t="e">
        <x:f>项目分类明细汇总表1月!$D$40*研发人员工时统计合计!J47</x:f>
        <x:v>#NAME?</x:v>
      </x:c>
    </x:row>
    <x:row r="46">
      <x:c r="A46" s="13" t="s">
        <x:v>169</x:v>
      </x:c>
      <x:c r="B46" s="13" t="s">
        <x:v>80</x:v>
      </x:c>
      <x:c r="C46" s="19" t="e">
        <x:f>项目分类明细汇总表1月!$D$40*研发人员工时统计合计!J48</x:f>
        <x:v>#NAME?</x:v>
      </x:c>
    </x:row>
    <x:row r="47">
      <x:c r="A47" s="13" t="s">
        <x:v>170</x:v>
      </x:c>
      <x:c r="B47" s="13" t="s">
        <x:v>81</x:v>
      </x:c>
      <x:c r="C47" s="19" t="e">
        <x:f>项目分类明细汇总表1月!$D$40*研发人员工时统计合计!J49</x:f>
        <x:v>#NAME?</x:v>
      </x:c>
    </x:row>
    <x:row r="48">
      <x:c r="A48" s="13" t="s">
        <x:v>171</x:v>
      </x:c>
      <x:c r="B48" s="13" t="s">
        <x:v>82</x:v>
      </x:c>
      <x:c r="C48" s="19" t="e">
        <x:f>项目分类明细汇总表1月!$D$40*研发人员工时统计合计!J50</x:f>
        <x:v>#NAME?</x:v>
      </x:c>
    </x:row>
    <x:row r="49">
      <x:c r="A49" s="13" t="s">
        <x:v>172</x:v>
      </x:c>
      <x:c r="B49" s="13" t="s">
        <x:v>83</x:v>
      </x:c>
      <x:c r="C49" s="19" t="e">
        <x:f>项目分类明细汇总表1月!$D$40*研发人员工时统计合计!J51</x:f>
        <x:v>#NAME?</x:v>
      </x:c>
    </x:row>
    <x:row r="50">
      <x:c r="A50" s="13" t="s">
        <x:v>173</x:v>
      </x:c>
      <x:c r="B50" s="13" t="s">
        <x:v>84</x:v>
      </x:c>
      <x:c r="C50" s="19" t="e">
        <x:f>项目分类明细汇总表1月!$D$40*研发人员工时统计合计!J52</x:f>
        <x:v>#NAME?</x:v>
      </x:c>
    </x:row>
    <x:row r="51">
      <x:c r="A51" s="13" t="s">
        <x:v>174</x:v>
      </x:c>
      <x:c r="B51" s="13" t="s">
        <x:v>85</x:v>
      </x:c>
      <x:c r="C51" s="19" t="e">
        <x:f>项目分类明细汇总表1月!$D$40*研发人员工时统计合计!J53</x:f>
        <x:v>#NAME?</x:v>
      </x:c>
    </x:row>
    <x:row r="52">
      <x:c r="A52" s="13" t="s">
        <x:v>273</x:v>
      </x:c>
      <x:c r="B52" s="13" t="s">
        <x:v>86</x:v>
      </x:c>
      <x:c r="C52" s="19" t="e">
        <x:f>项目分类明细汇总表1月!$D$40*研发人员工时统计合计!J54</x:f>
        <x:v>#NAME?</x:v>
      </x:c>
    </x:row>
    <x:row r="53">
      <x:c r="A53" s="13" t="s">
        <x:v>176</x:v>
      </x:c>
      <x:c r="B53" s="13" t="s">
        <x:v>87</x:v>
      </x:c>
      <x:c r="C53" s="19" t="e">
        <x:f>项目分类明细汇总表1月!$D$40*研发人员工时统计合计!J55</x:f>
        <x:v>#NAME?</x:v>
      </x:c>
    </x:row>
    <x:row r="54">
      <x:c r="A54" s="13" t="s">
        <x:v>177</x:v>
      </x:c>
      <x:c r="B54" s="13" t="s">
        <x:v>88</x:v>
      </x:c>
      <x:c r="C54" s="19" t="e">
        <x:f>项目分类明细汇总表1月!$D$40*研发人员工时统计合计!J56</x:f>
        <x:v>#NAME?</x:v>
      </x:c>
    </x:row>
    <x:row r="55">
      <x:c r="A55" s="13" t="s">
        <x:v>168</x:v>
      </x:c>
      <x:c r="B55" s="13" t="s">
        <x:v>89</x:v>
      </x:c>
      <x:c r="C55" s="19" t="e">
        <x:f>项目分类明细汇总表1月!$D$40*研发人员工时统计合计!J57</x:f>
        <x:v>#NAME?</x:v>
      </x:c>
    </x:row>
    <x:row r="56" ht="17">
      <x:c r="A56" s="13" t="s">
        <x:v>274</x:v>
      </x:c>
      <x:c r="B56" s="15" t="s">
        <x:v>90</x:v>
      </x:c>
      <x:c r="C56" s="19" t="e">
        <x:f>项目分类明细汇总表1月!$D$40*研发人员工时统计合计!J58</x:f>
        <x:v>#NAME?</x:v>
      </x:c>
    </x:row>
    <x:row r="57" ht="17">
      <x:c r="A57" s="13" t="s">
        <x:v>275</x:v>
      </x:c>
      <x:c r="B57" s="15" t="s">
        <x:v>19</x:v>
      </x:c>
      <x:c r="C57" s="19" t="e">
        <x:f>项目分类明细汇总表1月!$D$40*研发人员工时统计合计!J59</x:f>
        <x:v>#NAME?</x:v>
      </x:c>
    </x:row>
    <x:row r="58" ht="17">
      <x:c r="A58" s="13" t="s">
        <x:v>276</x:v>
      </x:c>
      <x:c r="B58" s="15" t="s">
        <x:v>34</x:v>
      </x:c>
      <x:c r="C58" s="19" t="e">
        <x:f>项目分类明细汇总表1月!$D$40*研发人员工时统计合计!J60</x:f>
        <x:v>#NAME?</x:v>
      </x:c>
    </x:row>
    <x:row r="59">
      <x:c r="A59" s="111" t="s">
        <x:v>49</x:v>
      </x:c>
      <x:c r="B59" s="111"/>
      <x:c r="C59" s="19" t="e">
        <x:f>SUM(C41:C58)</x:f>
        <x:v>#NAME?</x:v>
      </x:c>
    </x:row>
  </x:sheetData>
  <x:mergeCells>
    <x:mergeCell ref="A1:I1"/>
    <x:mergeCell ref="A2:C2"/>
    <x:mergeCell ref="D2:I2"/>
    <x:mergeCell ref="A36:F36"/>
    <x:mergeCell ref="A59:B59"/>
    <x:mergeCell ref="A39:A40"/>
    <x:mergeCell ref="B39:B40"/>
    <x:mergeCell ref="C39:C40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baseColWidth="10" defaultColWidth="9" defaultRowHeight="14"/>
  <x:cols>
    <x:col min="1" max="2" width="19.1640625" customWidth="1"/>
    <x:col min="3" max="3" width="50.33203125" customWidth="1"/>
    <x:col min="4" max="4" width="5.1640625" customWidth="1"/>
    <x:col min="5" max="5" width="12" customWidth="1"/>
    <x:col min="6" max="6" width="78.1640625" customWidth="1"/>
    <x:col min="7" max="7" width="19.1640625" customWidth="1"/>
    <x:col min="10" max="10" width="10.33203125" customWidth="0"/>
  </x:cols>
  <x:sheetData>
    <x:row r="1" s="1" customFormat="1" ht="34.75" customHeight="1">
      <x:c r="A1" s="133" t="s">
        <x:v>503</x:v>
      </x:c>
      <x:c r="B1" s="133"/>
      <x:c r="C1" s="133"/>
      <x:c r="D1" s="133"/>
      <x:c r="E1" s="133"/>
      <x:c r="F1" s="133"/>
      <x:c r="G1" s="133"/>
      <x:c r="H1" s="133"/>
      <x:c r="I1" s="133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</x:row>
    <x:row r="2" s="1" customFormat="1">
      <x:c r="A2" s="114" t="e">
        <x:v>#NAME?</x:v>
      </x:c>
      <x:c r="B2" s="134"/>
      <x:c r="C2" s="134"/>
      <x:c r="D2" s="135"/>
      <x:c r="E2" s="135"/>
      <x:c r="F2" s="135"/>
      <x:c r="G2" s="135"/>
      <x:c r="H2" s="135"/>
      <x:c r="I2" s="135"/>
      <x:c r="J2" s="16"/>
      <x:c r="K2" s="17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  <x:c r="W2" s="16"/>
    </x:row>
    <x:row r="3" s="1" customFormat="1">
      <x:c r="A3" s="1" t="s">
        <x:v>295</x:v>
      </x:c>
      <x:c r="B3" s="2"/>
      <x:c r="C3" s="3"/>
      <x:c r="D3" s="4" t="s">
        <x:v>296</x:v>
      </x:c>
      <x:c r="E3" s="5"/>
      <x:c r="F3" s="6" t="e">
        <x:f>G26</x:f>
        <x:v>#REF!</x:v>
      </x:c>
      <x:c r="G3" s="5"/>
      <x:c r="I3" s="18"/>
      <x:c r="J3" s="16"/>
      <x:c r="K3" s="16"/>
      <x:c r="L3" s="17"/>
      <x:c r="M3" s="16"/>
      <x:c r="N3" s="16"/>
      <x:c r="O3" s="16"/>
      <x:c r="P3" s="16"/>
      <x:c r="Q3" s="16"/>
      <x:c r="R3" s="16"/>
      <x:c r="S3" s="16"/>
      <x:c r="T3" s="16"/>
      <x:c r="U3" s="16"/>
      <x:c r="V3" s="16"/>
      <x:c r="W3" s="16"/>
    </x:row>
    <x:row r="4" ht="20" customHeight="1">
      <x:c r="A4" s="7" t="s">
        <x:v>297</x:v>
      </x:c>
      <x:c r="B4" s="7" t="s">
        <x:v>298</x:v>
      </x:c>
      <x:c r="C4" s="7" t="s">
        <x:v>299</x:v>
      </x:c>
      <x:c r="D4" s="7" t="s">
        <x:v>300</x:v>
      </x:c>
      <x:c r="E4" s="7" t="s">
        <x:v>301</x:v>
      </x:c>
      <x:c r="F4" s="7" t="s">
        <x:v>302</x:v>
      </x:c>
      <x:c r="G4" s="7" t="s">
        <x:v>303</x:v>
      </x:c>
      <x:c r="H4" s="8" t="s">
        <x:v>93</x:v>
      </x:c>
      <x:c r="I4" s="8" t="s">
        <x:v>304</x:v>
      </x:c>
    </x:row>
    <x:row r="5" ht="20" customHeight="1">
      <x:c r="A5" t="s">
        <x:v>504</x:v>
      </x:c>
      <x:c r="B5" t="s">
        <x:v>306</x:v>
      </x:c>
      <x:c r="C5" t="s">
        <x:v>307</x:v>
      </x:c>
      <x:c r="D5" t="s">
        <x:v>308</x:v>
      </x:c>
      <x:c r="E5" s="21">
        <x:v>70</x:v>
      </x:c>
      <x:c r="F5" t="s">
        <x:v>505</x:v>
      </x:c>
      <x:c r="G5" s="20"/>
      <x:c r="J5" s="20"/>
    </x:row>
    <x:row r="6" ht="20" customHeight="1">
      <x:c r="A6" t="s">
        <x:v>339</x:v>
      </x:c>
      <x:c r="B6" t="s">
        <x:v>306</x:v>
      </x:c>
      <x:c r="C6" t="s">
        <x:v>320</x:v>
      </x:c>
      <x:c r="D6" t="s">
        <x:v>308</x:v>
      </x:c>
      <x:c r="E6" s="21">
        <x:v>166</x:v>
      </x:c>
      <x:c r="F6" t="s">
        <x:v>506</x:v>
      </x:c>
      <x:c r="G6" s="20"/>
      <x:c r="J6" s="20"/>
    </x:row>
    <x:row r="7" ht="20" customHeight="1">
      <x:c r="A7" s="7"/>
      <x:c r="B7" s="7"/>
      <x:c r="C7" s="7"/>
      <x:c r="D7" s="7"/>
      <x:c r="E7" s="9"/>
      <x:c r="F7" s="7"/>
      <x:c r="G7" s="10"/>
      <x:c r="H7" s="7"/>
      <x:c r="I7" s="7"/>
    </x:row>
    <x:row r="8" ht="20" customHeight="1">
      <x:c r="A8" s="7"/>
      <x:c r="B8" s="7"/>
      <x:c r="C8" s="7"/>
      <x:c r="D8" s="7"/>
      <x:c r="E8" s="9"/>
      <x:c r="F8" s="7"/>
      <x:c r="G8" s="10"/>
      <x:c r="H8" s="7"/>
      <x:c r="I8" s="7"/>
    </x:row>
    <x:row r="9" ht="20" customHeight="1">
      <x:c r="A9" s="7"/>
      <x:c r="B9" s="7"/>
      <x:c r="C9" s="7"/>
      <x:c r="D9" s="7"/>
      <x:c r="E9" s="9"/>
      <x:c r="F9" s="7"/>
      <x:c r="G9" s="10"/>
      <x:c r="H9" s="7"/>
      <x:c r="I9" s="7"/>
    </x:row>
    <x:row r="10" ht="20" customHeight="1">
      <x:c r="A10" s="7"/>
      <x:c r="B10" s="7"/>
      <x:c r="C10" s="7"/>
      <x:c r="D10" s="7"/>
      <x:c r="E10" s="9"/>
      <x:c r="F10" s="7"/>
      <x:c r="G10" s="10"/>
      <x:c r="H10" s="7"/>
      <x:c r="I10" s="7"/>
    </x:row>
    <x:row r="11" ht="20" customHeight="1">
      <x:c r="A11" s="7"/>
      <x:c r="B11" s="7"/>
      <x:c r="C11" s="7"/>
      <x:c r="D11" s="7"/>
      <x:c r="E11" s="9"/>
      <x:c r="F11" s="7"/>
      <x:c r="G11" s="10"/>
      <x:c r="H11" s="7"/>
      <x:c r="I11" s="7"/>
    </x:row>
    <x:row r="12" ht="20" customHeight="1">
      <x:c r="A12" s="7"/>
      <x:c r="B12" s="7"/>
      <x:c r="C12" s="7"/>
      <x:c r="D12" s="7"/>
      <x:c r="E12" s="9"/>
      <x:c r="F12" s="7"/>
      <x:c r="G12" s="10"/>
      <x:c r="H12" s="7"/>
      <x:c r="I12" s="7"/>
    </x:row>
    <x:row r="13" ht="20" customHeight="1">
      <x:c r="A13" s="7"/>
      <x:c r="B13" s="7"/>
      <x:c r="C13" s="7"/>
      <x:c r="D13" s="7"/>
      <x:c r="E13" s="9"/>
      <x:c r="F13" s="7"/>
      <x:c r="G13" s="10"/>
      <x:c r="H13" s="7"/>
      <x:c r="I13" s="7"/>
    </x:row>
    <x:row r="14" ht="20" customHeight="1">
      <x:c r="A14" s="7"/>
      <x:c r="B14" s="7"/>
      <x:c r="C14" s="7"/>
      <x:c r="D14" s="7"/>
      <x:c r="E14" s="9"/>
      <x:c r="F14" s="7"/>
      <x:c r="G14" s="10"/>
      <x:c r="H14" s="7"/>
      <x:c r="I14" s="7"/>
    </x:row>
    <x:row r="15" ht="20" customHeight="1">
      <x:c r="A15" s="7"/>
      <x:c r="B15" s="7"/>
      <x:c r="C15" s="7"/>
      <x:c r="D15" s="7"/>
      <x:c r="E15" s="9"/>
      <x:c r="F15" s="7"/>
      <x:c r="G15" s="10"/>
      <x:c r="H15" s="7"/>
      <x:c r="I15" s="7"/>
    </x:row>
    <x:row r="16" ht="20" customHeight="1">
      <x:c r="A16" s="7"/>
      <x:c r="B16" s="7"/>
      <x:c r="C16" s="7"/>
      <x:c r="D16" s="7"/>
      <x:c r="E16" s="9"/>
      <x:c r="F16" s="7"/>
      <x:c r="G16" s="10"/>
      <x:c r="H16" s="7"/>
      <x:c r="I16" s="7"/>
    </x:row>
    <x:row r="17" ht="20" customHeight="1">
      <x:c r="A17" s="7"/>
      <x:c r="B17" s="7"/>
      <x:c r="C17" s="7"/>
      <x:c r="D17" s="7"/>
      <x:c r="E17" s="9"/>
      <x:c r="F17" s="7"/>
      <x:c r="G17" s="10"/>
      <x:c r="H17" s="7"/>
      <x:c r="I17" s="7"/>
    </x:row>
    <x:row r="18" ht="20" customHeight="1">
      <x:c r="A18" s="7"/>
      <x:c r="B18" s="7"/>
      <x:c r="C18" s="7"/>
      <x:c r="D18" s="7"/>
      <x:c r="E18" s="9"/>
      <x:c r="F18" s="7"/>
      <x:c r="G18" s="10"/>
      <x:c r="H18" s="7"/>
      <x:c r="I18" s="7"/>
    </x:row>
    <x:row r="19" ht="20" customHeight="1">
      <x:c r="A19" s="7"/>
      <x:c r="B19" s="7"/>
      <x:c r="C19" s="7"/>
      <x:c r="D19" s="7"/>
      <x:c r="E19" s="9"/>
      <x:c r="F19" s="7"/>
      <x:c r="G19" s="10"/>
      <x:c r="H19" s="7"/>
      <x:c r="I19" s="7"/>
    </x:row>
    <x:row r="20" ht="20" customHeight="1">
      <x:c r="A20" s="7"/>
      <x:c r="B20" s="7"/>
      <x:c r="C20" s="7"/>
      <x:c r="D20" s="7"/>
      <x:c r="E20" s="9"/>
      <x:c r="F20" s="7"/>
      <x:c r="G20" s="10"/>
      <x:c r="H20" s="7"/>
      <x:c r="I20" s="7"/>
    </x:row>
    <x:row r="21" ht="20" customHeight="1">
      <x:c r="A21" s="7"/>
      <x:c r="B21" s="7"/>
      <x:c r="C21" s="7"/>
      <x:c r="D21" s="7"/>
      <x:c r="E21" s="9"/>
      <x:c r="F21" s="7"/>
      <x:c r="G21" s="10"/>
      <x:c r="H21" s="7"/>
      <x:c r="I21" s="7"/>
    </x:row>
    <x:row r="22" ht="20" customHeight="1">
      <x:c r="A22" s="7"/>
      <x:c r="B22" s="7"/>
      <x:c r="C22" s="7"/>
      <x:c r="D22" s="7"/>
      <x:c r="E22" s="9"/>
      <x:c r="F22" s="7"/>
      <x:c r="G22" s="10"/>
      <x:c r="H22" s="7"/>
      <x:c r="I22" s="7"/>
    </x:row>
    <x:row r="23" ht="20" customHeight="1">
      <x:c r="A23" s="7"/>
      <x:c r="B23" s="7"/>
      <x:c r="C23" s="7"/>
      <x:c r="D23" s="7"/>
      <x:c r="E23" s="9"/>
      <x:c r="F23" s="7"/>
      <x:c r="G23" s="10"/>
      <x:c r="H23" s="7"/>
      <x:c r="I23" s="7"/>
    </x:row>
    <x:row r="24" ht="20" customHeight="1">
      <x:c r="A24" s="7"/>
      <x:c r="B24" s="7"/>
      <x:c r="C24" s="7"/>
      <x:c r="D24" s="7"/>
      <x:c r="E24" s="9"/>
      <x:c r="F24" s="7"/>
      <x:c r="G24" s="10"/>
      <x:c r="H24" s="7"/>
      <x:c r="I24" s="7"/>
    </x:row>
    <x:row r="25" ht="20" customHeight="1">
      <x:c r="A25" s="7"/>
      <x:c r="B25" s="7"/>
      <x:c r="C25" s="7"/>
      <x:c r="D25" s="7"/>
      <x:c r="E25" s="9"/>
      <x:c r="F25" s="7"/>
      <x:c r="G25" s="10"/>
      <x:c r="H25" s="7"/>
      <x:c r="I25" s="7"/>
    </x:row>
    <x:row r="26">
      <x:c r="A26" s="111" t="s">
        <x:v>49</x:v>
      </x:c>
      <x:c r="B26" s="111"/>
      <x:c r="C26" s="111"/>
      <x:c r="D26" s="111"/>
      <x:c r="E26" s="111"/>
      <x:c r="F26" s="111"/>
      <x:c r="G26" s="7" t="e">
        <x:f>SUM(#REF!)</x:f>
        <x:v>#REF!</x:v>
      </x:c>
      <x:c r="H26" s="7"/>
      <x:c r="I26" s="7"/>
    </x:row>
    <x:row r="28">
      <x:c r="A28" s="112" t="s">
        <x:v>50</x:v>
      </x:c>
      <x:c r="B28" s="112" t="s">
        <x:v>2</x:v>
      </x:c>
      <x:c r="C28" s="124" t="s">
        <x:v>327</x:v>
      </x:c>
    </x:row>
    <x:row r="29">
      <x:c r="A29" s="112"/>
      <x:c r="B29" s="112"/>
      <x:c r="C29" s="124"/>
    </x:row>
    <x:row r="30">
      <x:c r="A30" s="13" t="s">
        <x:v>164</x:v>
      </x:c>
      <x:c r="B30" s="13" t="s">
        <x:v>75</x:v>
      </x:c>
      <x:c r="C30" s="14"/>
    </x:row>
    <x:row r="31">
      <x:c r="A31" s="13" t="s">
        <x:v>165</x:v>
      </x:c>
      <x:c r="B31" s="13" t="s">
        <x:v>76</x:v>
      </x:c>
      <x:c r="C31" s="14"/>
    </x:row>
    <x:row r="32">
      <x:c r="A32" s="13" t="s">
        <x:v>166</x:v>
      </x:c>
      <x:c r="B32" s="13" t="s">
        <x:v>77</x:v>
      </x:c>
      <x:c r="C32" s="14"/>
    </x:row>
    <x:row r="33">
      <x:c r="A33" s="13" t="s">
        <x:v>167</x:v>
      </x:c>
      <x:c r="B33" s="13" t="s">
        <x:v>78</x:v>
      </x:c>
      <x:c r="C33" s="14"/>
    </x:row>
    <x:row r="34">
      <x:c r="A34" s="13" t="s">
        <x:v>168</x:v>
      </x:c>
      <x:c r="B34" s="13" t="s">
        <x:v>79</x:v>
      </x:c>
      <x:c r="C34" s="14"/>
    </x:row>
    <x:row r="35">
      <x:c r="A35" s="13" t="s">
        <x:v>169</x:v>
      </x:c>
      <x:c r="B35" s="13" t="s">
        <x:v>80</x:v>
      </x:c>
      <x:c r="C35" s="14"/>
    </x:row>
    <x:row r="36">
      <x:c r="A36" s="13" t="s">
        <x:v>170</x:v>
      </x:c>
      <x:c r="B36" s="13" t="s">
        <x:v>81</x:v>
      </x:c>
      <x:c r="C36" s="14"/>
    </x:row>
    <x:row r="37">
      <x:c r="A37" s="13" t="s">
        <x:v>171</x:v>
      </x:c>
      <x:c r="B37" s="13" t="s">
        <x:v>82</x:v>
      </x:c>
      <x:c r="C37" s="14"/>
    </x:row>
    <x:row r="38">
      <x:c r="A38" s="13" t="s">
        <x:v>172</x:v>
      </x:c>
      <x:c r="B38" s="13" t="s">
        <x:v>83</x:v>
      </x:c>
      <x:c r="C38" s="14"/>
    </x:row>
    <x:row r="39">
      <x:c r="A39" s="13" t="s">
        <x:v>173</x:v>
      </x:c>
      <x:c r="B39" s="13" t="s">
        <x:v>84</x:v>
      </x:c>
      <x:c r="C39" s="14"/>
    </x:row>
    <x:row r="40">
      <x:c r="A40" s="13" t="s">
        <x:v>174</x:v>
      </x:c>
      <x:c r="B40" s="13" t="s">
        <x:v>85</x:v>
      </x:c>
      <x:c r="C40" s="14"/>
    </x:row>
    <x:row r="41">
      <x:c r="A41" s="13" t="s">
        <x:v>273</x:v>
      </x:c>
      <x:c r="B41" s="13" t="s">
        <x:v>86</x:v>
      </x:c>
      <x:c r="C41" s="14"/>
    </x:row>
    <x:row r="42">
      <x:c r="A42" s="13" t="s">
        <x:v>176</x:v>
      </x:c>
      <x:c r="B42" s="13" t="s">
        <x:v>87</x:v>
      </x:c>
      <x:c r="C42" s="14"/>
    </x:row>
    <x:row r="43">
      <x:c r="A43" s="13" t="s">
        <x:v>177</x:v>
      </x:c>
      <x:c r="B43" s="13" t="s">
        <x:v>88</x:v>
      </x:c>
      <x:c r="C43" s="14"/>
    </x:row>
    <x:row r="44">
      <x:c r="A44" s="13" t="s">
        <x:v>168</x:v>
      </x:c>
      <x:c r="B44" s="13" t="s">
        <x:v>89</x:v>
      </x:c>
      <x:c r="C44" s="14"/>
    </x:row>
    <x:row r="45" ht="17">
      <x:c r="A45" s="13" t="s">
        <x:v>274</x:v>
      </x:c>
      <x:c r="B45" s="15" t="s">
        <x:v>90</x:v>
      </x:c>
      <x:c r="C45" s="14"/>
    </x:row>
    <x:row r="46" ht="17">
      <x:c r="A46" s="13" t="s">
        <x:v>275</x:v>
      </x:c>
      <x:c r="B46" s="15" t="s">
        <x:v>19</x:v>
      </x:c>
      <x:c r="C46" s="14"/>
    </x:row>
    <x:row r="47" ht="17">
      <x:c r="A47" s="13" t="s">
        <x:v>276</x:v>
      </x:c>
      <x:c r="B47" s="15" t="s">
        <x:v>34</x:v>
      </x:c>
      <x:c r="C47" s="14"/>
    </x:row>
    <x:row r="48">
      <x:c r="A48" s="111" t="s">
        <x:v>49</x:v>
      </x:c>
      <x:c r="B48" s="111"/>
      <x:c r="C48" s="14" t="n">
        <x:f>SUM(C30:C47)</x:f>
        <x:v>0</x:v>
      </x:c>
    </x:row>
  </x:sheetData>
  <x:mergeCells>
    <x:mergeCell ref="A1:I1"/>
    <x:mergeCell ref="A2:C2"/>
    <x:mergeCell ref="D2:I2"/>
    <x:mergeCell ref="A26:F26"/>
    <x:mergeCell ref="A48:B48"/>
    <x:mergeCell ref="A28:A29"/>
    <x:mergeCell ref="B28:B29"/>
    <x:mergeCell ref="C28:C29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baseColWidth="10" defaultColWidth="9" defaultRowHeight="14"/>
  <x:cols>
    <x:col min="1" max="2" width="19.1640625" customWidth="1"/>
    <x:col min="3" max="3" width="42.33203125" customWidth="1"/>
    <x:col min="4" max="4" width="10.33203125" customWidth="1"/>
    <x:col min="5" max="5" width="14.1640625" customWidth="1"/>
    <x:col min="6" max="6" width="55.83203125" customWidth="1"/>
    <x:col min="7" max="7" width="19.1640625" customWidth="1"/>
  </x:cols>
  <x:sheetData>
    <x:row r="1" s="1" customFormat="1" ht="34.75" customHeight="1">
      <x:c r="A1" s="133" t="s">
        <x:v>507</x:v>
      </x:c>
      <x:c r="B1" s="133"/>
      <x:c r="C1" s="133"/>
      <x:c r="D1" s="133"/>
      <x:c r="E1" s="133"/>
      <x:c r="F1" s="133"/>
      <x:c r="G1" s="133"/>
      <x:c r="H1" s="133"/>
      <x:c r="I1" s="133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</x:row>
    <x:row r="2" s="1" customFormat="1">
      <x:c r="A2" s="114" t="e">
        <x:v>#NAME?</x:v>
      </x:c>
      <x:c r="B2" s="134"/>
      <x:c r="C2" s="134"/>
      <x:c r="D2" s="135"/>
      <x:c r="E2" s="135"/>
      <x:c r="F2" s="135"/>
      <x:c r="G2" s="135"/>
      <x:c r="H2" s="135"/>
      <x:c r="I2" s="135"/>
      <x:c r="J2" s="16"/>
      <x:c r="K2" s="17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  <x:c r="W2" s="16"/>
    </x:row>
    <x:row r="3" s="1" customFormat="1">
      <x:c r="A3" s="1" t="s">
        <x:v>295</x:v>
      </x:c>
      <x:c r="B3" s="2"/>
      <x:c r="C3" s="3"/>
      <x:c r="D3" s="4" t="s">
        <x:v>296</x:v>
      </x:c>
      <x:c r="E3" s="5"/>
      <x:c r="F3" s="6" t="n">
        <x:f>G19</x:f>
        <x:v>0</x:v>
      </x:c>
      <x:c r="G3" s="5"/>
      <x:c r="I3" s="18"/>
      <x:c r="J3" s="16"/>
      <x:c r="K3" s="16"/>
      <x:c r="L3" s="17"/>
      <x:c r="M3" s="16"/>
      <x:c r="N3" s="16"/>
      <x:c r="O3" s="16"/>
      <x:c r="P3" s="16"/>
      <x:c r="Q3" s="16"/>
      <x:c r="R3" s="16"/>
      <x:c r="S3" s="16"/>
      <x:c r="T3" s="16"/>
      <x:c r="U3" s="16"/>
      <x:c r="V3" s="16"/>
      <x:c r="W3" s="16"/>
    </x:row>
    <x:row r="4" ht="20" customHeight="1">
      <x:c r="A4" s="7" t="s">
        <x:v>297</x:v>
      </x:c>
      <x:c r="B4" s="7" t="s">
        <x:v>298</x:v>
      </x:c>
      <x:c r="C4" s="7" t="s">
        <x:v>299</x:v>
      </x:c>
      <x:c r="D4" s="7" t="s">
        <x:v>300</x:v>
      </x:c>
      <x:c r="E4" s="7" t="s">
        <x:v>301</x:v>
      </x:c>
      <x:c r="F4" s="7" t="s">
        <x:v>302</x:v>
      </x:c>
      <x:c r="G4" s="7" t="s">
        <x:v>303</x:v>
      </x:c>
      <x:c r="H4" s="8" t="s">
        <x:v>93</x:v>
      </x:c>
      <x:c r="I4" s="8" t="s">
        <x:v>304</x:v>
      </x:c>
    </x:row>
    <x:row r="5" ht="20" customHeight="1">
      <x:c r="A5" t="s">
        <x:v>372</x:v>
      </x:c>
      <x:c r="B5" t="s">
        <x:v>306</x:v>
      </x:c>
      <x:c r="C5" t="s">
        <x:v>311</x:v>
      </x:c>
      <x:c r="F5" t="s">
        <x:v>373</x:v>
      </x:c>
    </x:row>
    <x:row r="6" ht="20" customHeight="1">
      <x:c r="A6" t="s">
        <x:v>508</x:v>
      </x:c>
      <x:c r="B6" t="s">
        <x:v>306</x:v>
      </x:c>
      <x:c r="C6" t="s">
        <x:v>311</x:v>
      </x:c>
      <x:c r="D6" t="s">
        <x:v>308</x:v>
      </x:c>
      <x:c r="E6" s="21">
        <x:v>113</x:v>
      </x:c>
      <x:c r="F6" t="s">
        <x:v>509</x:v>
      </x:c>
      <x:c r="G6" s="20"/>
      <x:c r="J6" s="20"/>
    </x:row>
    <x:row r="7" ht="20" customHeight="1">
      <x:c r="A7" t="s">
        <x:v>329</x:v>
      </x:c>
      <x:c r="B7" t="s">
        <x:v>306</x:v>
      </x:c>
      <x:c r="C7" t="s">
        <x:v>311</x:v>
      </x:c>
      <x:c r="D7" t="s">
        <x:v>308</x:v>
      </x:c>
      <x:c r="E7" s="21">
        <x:v>211</x:v>
      </x:c>
      <x:c r="F7" t="s">
        <x:v>322</x:v>
      </x:c>
      <x:c r="H7" s="20"/>
    </x:row>
    <x:row r="8" ht="20" customHeight="1">
      <x:c r="B8" t="s">
        <x:v>306</x:v>
      </x:c>
      <x:c r="C8" t="s">
        <x:v>311</x:v>
      </x:c>
      <x:c r="F8" t="s">
        <x:v>376</x:v>
      </x:c>
      <x:c r="G8" s="20"/>
      <x:c r="H8" s="20"/>
    </x:row>
    <x:row r="9" ht="20" customHeight="1">
      <x:c r="B9" t="s">
        <x:v>306</x:v>
      </x:c>
      <x:c r="C9" t="s">
        <x:v>311</x:v>
      </x:c>
      <x:c r="F9" t="s">
        <x:v>377</x:v>
      </x:c>
      <x:c r="G9" s="20"/>
      <x:c r="H9" s="20"/>
    </x:row>
    <x:row r="10" ht="20" customHeight="1">
      <x:c r="B10" t="s">
        <x:v>306</x:v>
      </x:c>
      <x:c r="C10" t="s">
        <x:v>307</x:v>
      </x:c>
      <x:c r="F10" t="s">
        <x:v>376</x:v>
      </x:c>
    </x:row>
    <x:row r="11" ht="20" customHeight="1">
      <x:c r="B11" t="s">
        <x:v>306</x:v>
      </x:c>
      <x:c r="C11" t="s">
        <x:v>307</x:v>
      </x:c>
      <x:c r="F11" t="s">
        <x:v>377</x:v>
      </x:c>
      <x:c r="G11" s="20"/>
      <x:c r="H11" s="20"/>
    </x:row>
    <x:row r="12" ht="20" customHeight="1">
      <x:c r="A12" t="s">
        <x:v>365</x:v>
      </x:c>
      <x:c r="B12" t="s">
        <x:v>306</x:v>
      </x:c>
      <x:c r="C12" t="s">
        <x:v>320</x:v>
      </x:c>
      <x:c r="D12" t="s">
        <x:v>308</x:v>
      </x:c>
      <x:c r="E12" s="21">
        <x:v>99</x:v>
      </x:c>
      <x:c r="F12" t="s">
        <x:v>510</x:v>
      </x:c>
      <x:c r="G12" s="20"/>
      <x:c r="J12" s="20"/>
    </x:row>
    <x:row r="13" ht="20" customHeight="1">
      <x:c r="A13" t="s">
        <x:v>319</x:v>
      </x:c>
      <x:c r="B13" t="s">
        <x:v>306</x:v>
      </x:c>
      <x:c r="C13" t="s">
        <x:v>320</x:v>
      </x:c>
      <x:c r="D13" t="s">
        <x:v>308</x:v>
      </x:c>
      <x:c r="E13" s="21">
        <x:v>225</x:v>
      </x:c>
      <x:c r="F13" t="s">
        <x:v>322</x:v>
      </x:c>
      <x:c r="H13" s="20"/>
    </x:row>
    <x:row r="14" ht="20" customHeight="1">
      <x:c r="B14" t="s">
        <x:v>306</x:v>
      </x:c>
      <x:c r="C14" t="s">
        <x:v>320</x:v>
      </x:c>
      <x:c r="F14" t="s">
        <x:v>376</x:v>
      </x:c>
      <x:c r="G14" s="20"/>
      <x:c r="H14" s="20"/>
    </x:row>
    <x:row r="15" ht="20" customHeight="1">
      <x:c r="B15" t="s">
        <x:v>306</x:v>
      </x:c>
      <x:c r="C15" t="s">
        <x:v>320</x:v>
      </x:c>
      <x:c r="F15" t="s">
        <x:v>377</x:v>
      </x:c>
      <x:c r="G15" s="20"/>
      <x:c r="H15" s="20"/>
    </x:row>
    <x:row r="16" ht="20" customHeight="1"/>
    <x:row r="17" ht="20" customHeight="1">
      <x:c r="A17" s="7"/>
      <x:c r="B17" s="7"/>
      <x:c r="C17" s="7"/>
      <x:c r="D17" s="7"/>
      <x:c r="E17" s="9"/>
      <x:c r="F17" s="7"/>
      <x:c r="G17" s="10"/>
      <x:c r="H17" s="7"/>
      <x:c r="I17" s="7"/>
    </x:row>
    <x:row r="18" ht="20" customHeight="1">
      <x:c r="A18" s="7"/>
      <x:c r="B18" s="7"/>
      <x:c r="C18" s="7"/>
      <x:c r="D18" s="7"/>
      <x:c r="E18" s="9"/>
      <x:c r="F18" s="7"/>
      <x:c r="G18" s="10"/>
      <x:c r="H18" s="7"/>
      <x:c r="I18" s="7"/>
    </x:row>
    <x:row r="19">
      <x:c r="A19" s="111" t="s">
        <x:v>49</x:v>
      </x:c>
      <x:c r="B19" s="111"/>
      <x:c r="C19" s="111"/>
      <x:c r="D19" s="111"/>
      <x:c r="E19" s="111"/>
      <x:c r="F19" s="111"/>
      <x:c r="G19" s="7"/>
      <x:c r="H19" s="7"/>
      <x:c r="I19" s="7"/>
    </x:row>
    <x:row r="21">
      <x:c r="A21" s="112" t="s">
        <x:v>50</x:v>
      </x:c>
      <x:c r="B21" s="112" t="s">
        <x:v>2</x:v>
      </x:c>
      <x:c r="C21" s="124" t="s">
        <x:v>327</x:v>
      </x:c>
    </x:row>
    <x:row r="22">
      <x:c r="A22" s="112"/>
      <x:c r="B22" s="112"/>
      <x:c r="C22" s="124"/>
    </x:row>
    <x:row r="23">
      <x:c r="A23" s="13" t="s">
        <x:v>164</x:v>
      </x:c>
      <x:c r="B23" s="13" t="s">
        <x:v>75</x:v>
      </x:c>
      <x:c r="C23" s="19" t="e">
        <x:f>项目分类明细汇总表1月!$D$42*研发人员工时统计合计!J43</x:f>
        <x:v>#NAME?</x:v>
      </x:c>
    </x:row>
    <x:row r="24">
      <x:c r="A24" s="13" t="s">
        <x:v>165</x:v>
      </x:c>
      <x:c r="B24" s="13" t="s">
        <x:v>76</x:v>
      </x:c>
      <x:c r="C24" s="19" t="e">
        <x:f>项目分类明细汇总表1月!$D$42*研发人员工时统计合计!J44</x:f>
        <x:v>#NAME?</x:v>
      </x:c>
    </x:row>
    <x:row r="25">
      <x:c r="A25" s="13" t="s">
        <x:v>166</x:v>
      </x:c>
      <x:c r="B25" s="13" t="s">
        <x:v>77</x:v>
      </x:c>
      <x:c r="C25" s="19" t="e">
        <x:f>项目分类明细汇总表1月!$D$42*研发人员工时统计合计!J45</x:f>
        <x:v>#NAME?</x:v>
      </x:c>
    </x:row>
    <x:row r="26">
      <x:c r="A26" s="13" t="s">
        <x:v>167</x:v>
      </x:c>
      <x:c r="B26" s="13" t="s">
        <x:v>78</x:v>
      </x:c>
      <x:c r="C26" s="19" t="e">
        <x:f>项目分类明细汇总表1月!$D$42*研发人员工时统计合计!J46</x:f>
        <x:v>#NAME?</x:v>
      </x:c>
    </x:row>
    <x:row r="27">
      <x:c r="A27" s="13" t="s">
        <x:v>168</x:v>
      </x:c>
      <x:c r="B27" s="13" t="s">
        <x:v>79</x:v>
      </x:c>
      <x:c r="C27" s="19" t="e">
        <x:f>项目分类明细汇总表1月!$D$42*研发人员工时统计合计!J47</x:f>
        <x:v>#NAME?</x:v>
      </x:c>
    </x:row>
    <x:row r="28">
      <x:c r="A28" s="13" t="s">
        <x:v>169</x:v>
      </x:c>
      <x:c r="B28" s="13" t="s">
        <x:v>80</x:v>
      </x:c>
      <x:c r="C28" s="19" t="e">
        <x:f>项目分类明细汇总表1月!$D$42*研发人员工时统计合计!J48</x:f>
        <x:v>#NAME?</x:v>
      </x:c>
    </x:row>
    <x:row r="29">
      <x:c r="A29" s="13" t="s">
        <x:v>170</x:v>
      </x:c>
      <x:c r="B29" s="13" t="s">
        <x:v>81</x:v>
      </x:c>
      <x:c r="C29" s="19" t="e">
        <x:f>项目分类明细汇总表1月!$D$42*研发人员工时统计合计!J49</x:f>
        <x:v>#NAME?</x:v>
      </x:c>
    </x:row>
    <x:row r="30">
      <x:c r="A30" s="13" t="s">
        <x:v>171</x:v>
      </x:c>
      <x:c r="B30" s="13" t="s">
        <x:v>82</x:v>
      </x:c>
      <x:c r="C30" s="19" t="e">
        <x:f>项目分类明细汇总表1月!$D$42*研发人员工时统计合计!J50</x:f>
        <x:v>#NAME?</x:v>
      </x:c>
    </x:row>
    <x:row r="31">
      <x:c r="A31" s="13" t="s">
        <x:v>172</x:v>
      </x:c>
      <x:c r="B31" s="13" t="s">
        <x:v>83</x:v>
      </x:c>
      <x:c r="C31" s="19" t="e">
        <x:f>项目分类明细汇总表1月!$D$42*研发人员工时统计合计!J51</x:f>
        <x:v>#NAME?</x:v>
      </x:c>
    </x:row>
    <x:row r="32">
      <x:c r="A32" s="13" t="s">
        <x:v>173</x:v>
      </x:c>
      <x:c r="B32" s="13" t="s">
        <x:v>84</x:v>
      </x:c>
      <x:c r="C32" s="19" t="e">
        <x:f>项目分类明细汇总表1月!$D$42*研发人员工时统计合计!J52</x:f>
        <x:v>#NAME?</x:v>
      </x:c>
    </x:row>
    <x:row r="33">
      <x:c r="A33" s="13" t="s">
        <x:v>174</x:v>
      </x:c>
      <x:c r="B33" s="13" t="s">
        <x:v>85</x:v>
      </x:c>
      <x:c r="C33" s="19" t="e">
        <x:f>项目分类明细汇总表1月!$D$42*研发人员工时统计合计!J53</x:f>
        <x:v>#NAME?</x:v>
      </x:c>
    </x:row>
    <x:row r="34">
      <x:c r="A34" s="13" t="s">
        <x:v>273</x:v>
      </x:c>
      <x:c r="B34" s="13" t="s">
        <x:v>86</x:v>
      </x:c>
      <x:c r="C34" s="19" t="e">
        <x:f>项目分类明细汇总表1月!$D$42*研发人员工时统计合计!J54</x:f>
        <x:v>#NAME?</x:v>
      </x:c>
    </x:row>
    <x:row r="35">
      <x:c r="A35" s="13" t="s">
        <x:v>176</x:v>
      </x:c>
      <x:c r="B35" s="13" t="s">
        <x:v>87</x:v>
      </x:c>
      <x:c r="C35" s="19" t="e">
        <x:f>项目分类明细汇总表1月!$D$42*研发人员工时统计合计!J55</x:f>
        <x:v>#NAME?</x:v>
      </x:c>
    </x:row>
    <x:row r="36">
      <x:c r="A36" s="13" t="s">
        <x:v>177</x:v>
      </x:c>
      <x:c r="B36" s="13" t="s">
        <x:v>88</x:v>
      </x:c>
      <x:c r="C36" s="19" t="e">
        <x:f>项目分类明细汇总表1月!$D$42*研发人员工时统计合计!J56</x:f>
        <x:v>#NAME?</x:v>
      </x:c>
    </x:row>
    <x:row r="37">
      <x:c r="A37" s="13" t="s">
        <x:v>168</x:v>
      </x:c>
      <x:c r="B37" s="13" t="s">
        <x:v>89</x:v>
      </x:c>
      <x:c r="C37" s="19" t="e">
        <x:f>项目分类明细汇总表1月!$D$42*研发人员工时统计合计!J57</x:f>
        <x:v>#NAME?</x:v>
      </x:c>
    </x:row>
    <x:row r="38" ht="17">
      <x:c r="A38" s="13" t="s">
        <x:v>274</x:v>
      </x:c>
      <x:c r="B38" s="15" t="s">
        <x:v>90</x:v>
      </x:c>
      <x:c r="C38" s="19" t="e">
        <x:f>项目分类明细汇总表1月!$D$42*研发人员工时统计合计!J58</x:f>
        <x:v>#NAME?</x:v>
      </x:c>
    </x:row>
    <x:row r="39" ht="17">
      <x:c r="A39" s="13" t="s">
        <x:v>275</x:v>
      </x:c>
      <x:c r="B39" s="15" t="s">
        <x:v>19</x:v>
      </x:c>
      <x:c r="C39" s="19" t="e">
        <x:f>项目分类明细汇总表1月!$D$42*研发人员工时统计合计!J59</x:f>
        <x:v>#NAME?</x:v>
      </x:c>
    </x:row>
    <x:row r="40" ht="17">
      <x:c r="A40" s="13" t="s">
        <x:v>276</x:v>
      </x:c>
      <x:c r="B40" s="15" t="s">
        <x:v>34</x:v>
      </x:c>
      <x:c r="C40" s="19" t="e">
        <x:f>项目分类明细汇总表1月!$D$42*研发人员工时统计合计!J60</x:f>
        <x:v>#NAME?</x:v>
      </x:c>
    </x:row>
    <x:row r="41">
      <x:c r="A41" s="111" t="s">
        <x:v>49</x:v>
      </x:c>
      <x:c r="B41" s="111"/>
      <x:c r="C41" s="19" t="e">
        <x:f>项目分类明细汇总表1月!$D$42*研发人员工时统计合计!J61</x:f>
        <x:v>#NAME?</x:v>
      </x:c>
    </x:row>
  </x:sheetData>
  <x:mergeCells>
    <x:mergeCell ref="A1:I1"/>
    <x:mergeCell ref="A2:C2"/>
    <x:mergeCell ref="D2:I2"/>
    <x:mergeCell ref="A19:F19"/>
    <x:mergeCell ref="A41:B41"/>
    <x:mergeCell ref="A21:A22"/>
    <x:mergeCell ref="B21:B22"/>
    <x:mergeCell ref="C21:C22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baseColWidth="10" defaultColWidth="9" defaultRowHeight="14"/>
  <x:cols>
    <x:col min="1" max="2" width="19.1640625" customWidth="1"/>
    <x:col min="3" max="3" width="32.33203125" customWidth="1"/>
    <x:col min="4" max="4" width="9.83203125" customWidth="1"/>
    <x:col min="5" max="5" width="10.33203125" customWidth="1"/>
    <x:col min="6" max="6" width="79.33203125" customWidth="1"/>
    <x:col min="7" max="7" width="19.1640625" customWidth="1"/>
  </x:cols>
  <x:sheetData>
    <x:row r="1" s="1" customFormat="1" ht="34.75" customHeight="1">
      <x:c r="A1" s="133" t="s">
        <x:v>511</x:v>
      </x:c>
      <x:c r="B1" s="133"/>
      <x:c r="C1" s="133"/>
      <x:c r="D1" s="133"/>
      <x:c r="E1" s="133"/>
      <x:c r="F1" s="133"/>
      <x:c r="G1" s="133"/>
      <x:c r="H1" s="133"/>
      <x:c r="I1" s="133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</x:row>
    <x:row r="2" s="1" customFormat="1">
      <x:c r="A2" s="114" t="e">
        <x:v>#NAME?</x:v>
      </x:c>
      <x:c r="B2" s="134"/>
      <x:c r="C2" s="134"/>
      <x:c r="D2" s="135"/>
      <x:c r="E2" s="135"/>
      <x:c r="F2" s="135"/>
      <x:c r="G2" s="135"/>
      <x:c r="H2" s="135"/>
      <x:c r="I2" s="135"/>
      <x:c r="J2" s="16"/>
      <x:c r="K2" s="17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  <x:c r="W2" s="16"/>
    </x:row>
    <x:row r="3" s="1" customFormat="1">
      <x:c r="A3" s="1" t="s">
        <x:v>295</x:v>
      </x:c>
      <x:c r="B3" s="2"/>
      <x:c r="C3" s="3"/>
      <x:c r="D3" s="4" t="s">
        <x:v>296</x:v>
      </x:c>
      <x:c r="E3" s="5"/>
      <x:c r="F3" s="6" t="n">
        <x:f>G41</x:f>
        <x:v>0</x:v>
      </x:c>
      <x:c r="G3" s="5"/>
      <x:c r="I3" s="18"/>
      <x:c r="J3" s="16"/>
      <x:c r="K3" s="16"/>
      <x:c r="L3" s="17"/>
      <x:c r="M3" s="16"/>
      <x:c r="N3" s="16"/>
      <x:c r="O3" s="16"/>
      <x:c r="P3" s="16"/>
      <x:c r="Q3" s="16"/>
      <x:c r="R3" s="16"/>
      <x:c r="S3" s="16"/>
      <x:c r="T3" s="16"/>
      <x:c r="U3" s="16"/>
      <x:c r="V3" s="16"/>
      <x:c r="W3" s="16"/>
    </x:row>
    <x:row r="4" ht="20" customHeight="1">
      <x:c r="A4" s="7" t="s">
        <x:v>297</x:v>
      </x:c>
      <x:c r="B4" s="7" t="s">
        <x:v>298</x:v>
      </x:c>
      <x:c r="C4" s="7" t="s">
        <x:v>299</x:v>
      </x:c>
      <x:c r="D4" s="7" t="s">
        <x:v>300</x:v>
      </x:c>
      <x:c r="E4" s="7" t="s">
        <x:v>301</x:v>
      </x:c>
      <x:c r="F4" s="7" t="s">
        <x:v>302</x:v>
      </x:c>
      <x:c r="G4" s="7" t="s">
        <x:v>303</x:v>
      </x:c>
      <x:c r="H4" s="8" t="s">
        <x:v>93</x:v>
      </x:c>
      <x:c r="I4" s="8" t="s">
        <x:v>304</x:v>
      </x:c>
    </x:row>
    <x:row r="5" ht="20" customHeight="1">
      <x:c r="A5" t="s">
        <x:v>372</x:v>
      </x:c>
      <x:c r="B5" t="s">
        <x:v>306</x:v>
      </x:c>
      <x:c r="C5" t="s">
        <x:v>311</x:v>
      </x:c>
      <x:c r="F5" t="s">
        <x:v>373</x:v>
      </x:c>
    </x:row>
    <x:row r="6" ht="20" customHeight="1">
      <x:c r="B6" t="s">
        <x:v>306</x:v>
      </x:c>
      <x:c r="C6" t="s">
        <x:v>311</x:v>
      </x:c>
      <x:c r="F6" t="s">
        <x:v>376</x:v>
      </x:c>
    </x:row>
    <x:row r="7" ht="20" customHeight="1">
      <x:c r="B7" t="s">
        <x:v>306</x:v>
      </x:c>
      <x:c r="C7" t="s">
        <x:v>311</x:v>
      </x:c>
      <x:c r="F7" t="s">
        <x:v>377</x:v>
      </x:c>
    </x:row>
    <x:row r="8" ht="20" customHeight="1">
      <x:c r="B8" t="s">
        <x:v>306</x:v>
      </x:c>
      <x:c r="C8" t="s">
        <x:v>307</x:v>
      </x:c>
      <x:c r="F8" t="s">
        <x:v>376</x:v>
      </x:c>
    </x:row>
    <x:row r="9" ht="20" customHeight="1">
      <x:c r="B9" t="s">
        <x:v>306</x:v>
      </x:c>
      <x:c r="C9" t="s">
        <x:v>307</x:v>
      </x:c>
      <x:c r="F9" t="s">
        <x:v>377</x:v>
      </x:c>
    </x:row>
    <x:row r="10" ht="20" customHeight="1">
      <x:c r="A10" t="s">
        <x:v>512</x:v>
      </x:c>
      <x:c r="B10" t="s">
        <x:v>306</x:v>
      </x:c>
      <x:c r="C10" t="s">
        <x:v>320</x:v>
      </x:c>
      <x:c r="D10" t="s">
        <x:v>308</x:v>
      </x:c>
      <x:c r="E10" s="21">
        <x:v>176</x:v>
      </x:c>
      <x:c r="F10" t="s">
        <x:v>513</x:v>
      </x:c>
      <x:c r="G10" s="20"/>
      <x:c r="J10" s="20"/>
    </x:row>
    <x:row r="11" ht="20" customHeight="1">
      <x:c r="A11" t="s">
        <x:v>512</x:v>
      </x:c>
      <x:c r="B11" t="s">
        <x:v>306</x:v>
      </x:c>
      <x:c r="C11" t="s">
        <x:v>320</x:v>
      </x:c>
      <x:c r="D11" t="s">
        <x:v>308</x:v>
      </x:c>
      <x:c r="E11" s="21">
        <x:v>176</x:v>
      </x:c>
      <x:c r="F11" t="s">
        <x:v>514</x:v>
      </x:c>
      <x:c r="G11" s="20"/>
      <x:c r="J11" s="20"/>
    </x:row>
    <x:row r="12" ht="20" customHeight="1">
      <x:c r="A12" t="s">
        <x:v>319</x:v>
      </x:c>
      <x:c r="B12" t="s">
        <x:v>306</x:v>
      </x:c>
      <x:c r="C12" t="s">
        <x:v>320</x:v>
      </x:c>
      <x:c r="D12" t="s">
        <x:v>308</x:v>
      </x:c>
      <x:c r="E12" s="21">
        <x:v>225</x:v>
      </x:c>
      <x:c r="F12" t="s">
        <x:v>322</x:v>
      </x:c>
      <x:c r="H12" s="20"/>
    </x:row>
    <x:row r="13" ht="20" customHeight="1">
      <x:c r="B13" t="s">
        <x:v>306</x:v>
      </x:c>
      <x:c r="C13" t="s">
        <x:v>320</x:v>
      </x:c>
      <x:c r="F13" t="s">
        <x:v>376</x:v>
      </x:c>
      <x:c r="G13" s="20"/>
      <x:c r="H13" s="20"/>
    </x:row>
    <x:row r="14" ht="20" customHeight="1">
      <x:c r="B14" t="s">
        <x:v>306</x:v>
      </x:c>
      <x:c r="C14" t="s">
        <x:v>320</x:v>
      </x:c>
      <x:c r="F14" t="s">
        <x:v>377</x:v>
      </x:c>
      <x:c r="G14" s="20"/>
      <x:c r="H14" s="20"/>
    </x:row>
    <x:row r="15" ht="20" customHeight="1">
      <x:c r="A15" s="7"/>
      <x:c r="B15" s="7"/>
      <x:c r="C15" s="7"/>
      <x:c r="D15" s="7"/>
      <x:c r="E15" s="9"/>
      <x:c r="F15" s="7"/>
      <x:c r="G15" s="10"/>
      <x:c r="H15" s="7"/>
      <x:c r="I15" s="7"/>
    </x:row>
    <x:row r="16" ht="20" customHeight="1">
      <x:c r="A16" s="7"/>
      <x:c r="B16" s="7"/>
      <x:c r="C16" s="7"/>
      <x:c r="D16" s="7"/>
      <x:c r="E16" s="9"/>
      <x:c r="F16" s="7"/>
      <x:c r="G16" s="10"/>
      <x:c r="H16" s="7"/>
      <x:c r="I16" s="7"/>
    </x:row>
    <x:row r="17" ht="20" customHeight="1">
      <x:c r="A17" s="7"/>
      <x:c r="B17" s="7"/>
      <x:c r="C17" s="7"/>
      <x:c r="D17" s="7"/>
      <x:c r="E17" s="9"/>
      <x:c r="F17" s="7"/>
      <x:c r="G17" s="10"/>
      <x:c r="H17" s="7"/>
      <x:c r="I17" s="7"/>
    </x:row>
    <x:row r="18" ht="20" customHeight="1">
      <x:c r="A18" s="7"/>
      <x:c r="B18" s="7"/>
      <x:c r="C18" s="7"/>
      <x:c r="D18" s="7"/>
      <x:c r="E18" s="9"/>
      <x:c r="F18" s="7"/>
      <x:c r="G18" s="10"/>
      <x:c r="H18" s="7"/>
      <x:c r="I18" s="7"/>
    </x:row>
    <x:row r="19" ht="20" customHeight="1">
      <x:c r="A19" s="7"/>
      <x:c r="B19" s="7"/>
      <x:c r="C19" s="7"/>
      <x:c r="D19" s="7"/>
      <x:c r="E19" s="9"/>
      <x:c r="F19" s="7"/>
      <x:c r="G19" s="10"/>
      <x:c r="H19" s="7"/>
      <x:c r="I19" s="7"/>
    </x:row>
    <x:row r="20" ht="20" customHeight="1">
      <x:c r="A20" s="7"/>
      <x:c r="B20" s="7"/>
      <x:c r="C20" s="7"/>
      <x:c r="D20" s="7"/>
      <x:c r="E20" s="9"/>
      <x:c r="F20" s="7"/>
      <x:c r="G20" s="10"/>
      <x:c r="H20" s="7"/>
      <x:c r="I20" s="7"/>
    </x:row>
    <x:row r="21" ht="20" customHeight="1">
      <x:c r="A21" s="7"/>
      <x:c r="B21" s="7"/>
      <x:c r="C21" s="7"/>
      <x:c r="D21" s="7"/>
      <x:c r="E21" s="9"/>
      <x:c r="F21" s="7"/>
      <x:c r="G21" s="10"/>
      <x:c r="H21" s="7"/>
      <x:c r="I21" s="7"/>
    </x:row>
    <x:row r="22" ht="20" customHeight="1">
      <x:c r="A22" s="7"/>
      <x:c r="B22" s="7"/>
      <x:c r="C22" s="7"/>
      <x:c r="D22" s="7"/>
      <x:c r="E22" s="9"/>
      <x:c r="F22" s="7"/>
      <x:c r="G22" s="10"/>
      <x:c r="H22" s="7"/>
      <x:c r="I22" s="7"/>
    </x:row>
    <x:row r="23" ht="20" customHeight="1">
      <x:c r="A23" s="7"/>
      <x:c r="B23" s="7"/>
      <x:c r="C23" s="7"/>
      <x:c r="D23" s="7"/>
      <x:c r="E23" s="9"/>
      <x:c r="F23" s="7"/>
      <x:c r="G23" s="10"/>
      <x:c r="H23" s="7"/>
      <x:c r="I23" s="7"/>
    </x:row>
    <x:row r="24" ht="20" customHeight="1">
      <x:c r="A24" s="7"/>
      <x:c r="B24" s="7"/>
      <x:c r="C24" s="7"/>
      <x:c r="D24" s="7"/>
      <x:c r="E24" s="9"/>
      <x:c r="F24" s="7"/>
      <x:c r="G24" s="10"/>
      <x:c r="H24" s="7"/>
      <x:c r="I24" s="7"/>
    </x:row>
    <x:row r="25" ht="20" customHeight="1">
      <x:c r="A25" s="7"/>
      <x:c r="B25" s="7"/>
      <x:c r="C25" s="7"/>
      <x:c r="D25" s="7"/>
      <x:c r="E25" s="9"/>
      <x:c r="F25" s="7"/>
      <x:c r="G25" s="10"/>
      <x:c r="H25" s="7"/>
      <x:c r="I25" s="7"/>
    </x:row>
    <x:row r="26" ht="20" customHeight="1">
      <x:c r="A26" s="7"/>
      <x:c r="B26" s="7"/>
      <x:c r="C26" s="7"/>
      <x:c r="D26" s="7"/>
      <x:c r="E26" s="9"/>
      <x:c r="F26" s="7"/>
      <x:c r="G26" s="10"/>
      <x:c r="H26" s="7"/>
      <x:c r="I26" s="7"/>
    </x:row>
    <x:row r="27" ht="20" customHeight="1">
      <x:c r="A27" s="7"/>
      <x:c r="B27" s="7"/>
      <x:c r="C27" s="7"/>
      <x:c r="D27" s="7"/>
      <x:c r="E27" s="9"/>
      <x:c r="F27" s="7"/>
      <x:c r="G27" s="10"/>
      <x:c r="H27" s="7"/>
      <x:c r="I27" s="7"/>
    </x:row>
    <x:row r="28" ht="20" customHeight="1">
      <x:c r="A28" s="7"/>
      <x:c r="B28" s="7"/>
      <x:c r="C28" s="7"/>
      <x:c r="D28" s="7"/>
      <x:c r="E28" s="9"/>
      <x:c r="F28" s="7"/>
      <x:c r="G28" s="10"/>
      <x:c r="H28" s="7"/>
      <x:c r="I28" s="7"/>
    </x:row>
    <x:row r="29" ht="20" customHeight="1">
      <x:c r="A29" s="7"/>
      <x:c r="B29" s="7"/>
      <x:c r="C29" s="7"/>
      <x:c r="D29" s="7"/>
      <x:c r="E29" s="9"/>
      <x:c r="F29" s="7"/>
      <x:c r="G29" s="10"/>
      <x:c r="H29" s="7"/>
      <x:c r="I29" s="7"/>
    </x:row>
    <x:row r="30" ht="20" customHeight="1">
      <x:c r="A30" s="7"/>
      <x:c r="B30" s="7"/>
      <x:c r="C30" s="7"/>
      <x:c r="D30" s="7"/>
      <x:c r="E30" s="9"/>
      <x:c r="F30" s="7"/>
      <x:c r="G30" s="10"/>
      <x:c r="H30" s="7"/>
      <x:c r="I30" s="7"/>
    </x:row>
    <x:row r="31" ht="20" customHeight="1">
      <x:c r="A31" s="7"/>
      <x:c r="B31" s="7"/>
      <x:c r="C31" s="7"/>
      <x:c r="D31" s="7"/>
      <x:c r="E31" s="9"/>
      <x:c r="F31" s="7"/>
      <x:c r="G31" s="10"/>
      <x:c r="H31" s="7"/>
      <x:c r="I31" s="7"/>
    </x:row>
    <x:row r="32" ht="20" customHeight="1">
      <x:c r="A32" s="7"/>
      <x:c r="B32" s="7"/>
      <x:c r="C32" s="7"/>
      <x:c r="D32" s="7"/>
      <x:c r="E32" s="9"/>
      <x:c r="F32" s="7"/>
      <x:c r="G32" s="10"/>
      <x:c r="H32" s="7"/>
      <x:c r="I32" s="7"/>
    </x:row>
    <x:row r="33" ht="20" customHeight="1">
      <x:c r="A33" s="7"/>
      <x:c r="B33" s="7"/>
      <x:c r="C33" s="7"/>
      <x:c r="D33" s="7"/>
      <x:c r="E33" s="9"/>
      <x:c r="F33" s="7"/>
      <x:c r="G33" s="10"/>
      <x:c r="H33" s="7"/>
      <x:c r="I33" s="7"/>
    </x:row>
    <x:row r="34" ht="20" customHeight="1">
      <x:c r="A34" s="7"/>
      <x:c r="B34" s="7"/>
      <x:c r="C34" s="7"/>
      <x:c r="D34" s="7"/>
      <x:c r="E34" s="9"/>
      <x:c r="F34" s="7"/>
      <x:c r="G34" s="10"/>
      <x:c r="H34" s="7"/>
      <x:c r="I34" s="7"/>
    </x:row>
    <x:row r="35" ht="20" customHeight="1">
      <x:c r="A35" s="7"/>
      <x:c r="B35" s="7"/>
      <x:c r="C35" s="7"/>
      <x:c r="D35" s="7"/>
      <x:c r="E35" s="9"/>
      <x:c r="F35" s="7"/>
      <x:c r="G35" s="10"/>
      <x:c r="H35" s="7"/>
      <x:c r="I35" s="7"/>
    </x:row>
    <x:row r="36" ht="20" customHeight="1">
      <x:c r="A36" s="7"/>
      <x:c r="B36" s="7"/>
      <x:c r="C36" s="7"/>
      <x:c r="D36" s="7"/>
      <x:c r="E36" s="9"/>
      <x:c r="F36" s="7"/>
      <x:c r="G36" s="10"/>
      <x:c r="H36" s="7"/>
      <x:c r="I36" s="7"/>
    </x:row>
    <x:row r="37" ht="20" customHeight="1">
      <x:c r="A37" s="7"/>
      <x:c r="B37" s="7"/>
      <x:c r="C37" s="7"/>
      <x:c r="D37" s="7"/>
      <x:c r="E37" s="9"/>
      <x:c r="F37" s="7"/>
      <x:c r="G37" s="10"/>
      <x:c r="H37" s="7"/>
      <x:c r="I37" s="7"/>
    </x:row>
    <x:row r="38" ht="20" customHeight="1">
      <x:c r="A38" s="7"/>
      <x:c r="B38" s="7"/>
      <x:c r="C38" s="7"/>
      <x:c r="D38" s="7"/>
      <x:c r="E38" s="9"/>
      <x:c r="F38" s="7"/>
      <x:c r="G38" s="10"/>
      <x:c r="H38" s="7"/>
      <x:c r="I38" s="7"/>
    </x:row>
    <x:row r="39" ht="20" customHeight="1">
      <x:c r="A39" s="7"/>
      <x:c r="B39" s="7"/>
      <x:c r="C39" s="7"/>
      <x:c r="D39" s="7"/>
      <x:c r="E39" s="9"/>
      <x:c r="F39" s="7"/>
      <x:c r="G39" s="10"/>
      <x:c r="H39" s="7"/>
      <x:c r="I39" s="7"/>
    </x:row>
    <x:row r="40" ht="20" customHeight="1">
      <x:c r="A40" s="7"/>
      <x:c r="B40" s="7"/>
      <x:c r="C40" s="7"/>
      <x:c r="D40" s="7"/>
      <x:c r="E40" s="9"/>
      <x:c r="F40" s="7"/>
      <x:c r="G40" s="10"/>
      <x:c r="H40" s="7"/>
      <x:c r="I40" s="7"/>
    </x:row>
    <x:row r="41">
      <x:c r="A41" s="111" t="s">
        <x:v>49</x:v>
      </x:c>
      <x:c r="B41" s="111"/>
      <x:c r="C41" s="111"/>
      <x:c r="D41" s="111"/>
      <x:c r="E41" s="111"/>
      <x:c r="F41" s="111"/>
      <x:c r="G41" s="7" t="n">
        <x:f>SUM(G5:G10)</x:f>
        <x:v>0</x:v>
      </x:c>
      <x:c r="H41" s="7"/>
      <x:c r="I41" s="7"/>
    </x:row>
    <x:row r="44">
      <x:c r="A44" s="112" t="s">
        <x:v>50</x:v>
      </x:c>
      <x:c r="B44" s="112" t="s">
        <x:v>2</x:v>
      </x:c>
      <x:c r="C44" s="124" t="s">
        <x:v>327</x:v>
      </x:c>
    </x:row>
    <x:row r="45">
      <x:c r="A45" s="112"/>
      <x:c r="B45" s="112"/>
      <x:c r="C45" s="124"/>
    </x:row>
    <x:row r="46">
      <x:c r="A46" s="13" t="s">
        <x:v>164</x:v>
      </x:c>
      <x:c r="B46" s="13" t="s">
        <x:v>75</x:v>
      </x:c>
      <x:c r="C46" s="14"/>
    </x:row>
    <x:row r="47">
      <x:c r="A47" s="13" t="s">
        <x:v>165</x:v>
      </x:c>
      <x:c r="B47" s="13" t="s">
        <x:v>76</x:v>
      </x:c>
      <x:c r="C47" s="14"/>
    </x:row>
    <x:row r="48">
      <x:c r="A48" s="13" t="s">
        <x:v>166</x:v>
      </x:c>
      <x:c r="B48" s="13" t="s">
        <x:v>77</x:v>
      </x:c>
      <x:c r="C48" s="14"/>
    </x:row>
    <x:row r="49">
      <x:c r="A49" s="13" t="s">
        <x:v>167</x:v>
      </x:c>
      <x:c r="B49" s="13" t="s">
        <x:v>78</x:v>
      </x:c>
      <x:c r="C49" s="14"/>
    </x:row>
    <x:row r="50">
      <x:c r="A50" s="13" t="s">
        <x:v>168</x:v>
      </x:c>
      <x:c r="B50" s="13" t="s">
        <x:v>79</x:v>
      </x:c>
      <x:c r="C50" s="14"/>
    </x:row>
    <x:row r="51">
      <x:c r="A51" s="13" t="s">
        <x:v>169</x:v>
      </x:c>
      <x:c r="B51" s="13" t="s">
        <x:v>80</x:v>
      </x:c>
      <x:c r="C51" s="14"/>
    </x:row>
    <x:row r="52">
      <x:c r="A52" s="13" t="s">
        <x:v>170</x:v>
      </x:c>
      <x:c r="B52" s="13" t="s">
        <x:v>81</x:v>
      </x:c>
      <x:c r="C52" s="14"/>
    </x:row>
    <x:row r="53">
      <x:c r="A53" s="13" t="s">
        <x:v>171</x:v>
      </x:c>
      <x:c r="B53" s="13" t="s">
        <x:v>82</x:v>
      </x:c>
      <x:c r="C53" s="14"/>
    </x:row>
    <x:row r="54">
      <x:c r="A54" s="13" t="s">
        <x:v>172</x:v>
      </x:c>
      <x:c r="B54" s="13" t="s">
        <x:v>83</x:v>
      </x:c>
      <x:c r="C54" s="14"/>
    </x:row>
    <x:row r="55">
      <x:c r="A55" s="13" t="s">
        <x:v>173</x:v>
      </x:c>
      <x:c r="B55" s="13" t="s">
        <x:v>84</x:v>
      </x:c>
      <x:c r="C55" s="14"/>
    </x:row>
    <x:row r="56">
      <x:c r="A56" s="13" t="s">
        <x:v>174</x:v>
      </x:c>
      <x:c r="B56" s="13" t="s">
        <x:v>85</x:v>
      </x:c>
      <x:c r="C56" s="14"/>
    </x:row>
    <x:row r="57">
      <x:c r="A57" s="13" t="s">
        <x:v>273</x:v>
      </x:c>
      <x:c r="B57" s="13" t="s">
        <x:v>86</x:v>
      </x:c>
      <x:c r="C57" s="14"/>
    </x:row>
    <x:row r="58">
      <x:c r="A58" s="13" t="s">
        <x:v>176</x:v>
      </x:c>
      <x:c r="B58" s="13" t="s">
        <x:v>87</x:v>
      </x:c>
      <x:c r="C58" s="14"/>
    </x:row>
    <x:row r="59">
      <x:c r="A59" s="13" t="s">
        <x:v>177</x:v>
      </x:c>
      <x:c r="B59" s="13" t="s">
        <x:v>88</x:v>
      </x:c>
      <x:c r="C59" s="14"/>
    </x:row>
    <x:row r="60">
      <x:c r="A60" s="13" t="s">
        <x:v>168</x:v>
      </x:c>
      <x:c r="B60" s="13" t="s">
        <x:v>89</x:v>
      </x:c>
      <x:c r="C60" s="14"/>
    </x:row>
    <x:row r="61" ht="17">
      <x:c r="A61" s="13" t="s">
        <x:v>274</x:v>
      </x:c>
      <x:c r="B61" s="15" t="s">
        <x:v>90</x:v>
      </x:c>
      <x:c r="C61" s="14"/>
    </x:row>
    <x:row r="62" ht="17">
      <x:c r="A62" s="13" t="s">
        <x:v>275</x:v>
      </x:c>
      <x:c r="B62" s="15" t="s">
        <x:v>19</x:v>
      </x:c>
      <x:c r="C62" s="14"/>
    </x:row>
    <x:row r="63" ht="17">
      <x:c r="A63" s="13" t="s">
        <x:v>276</x:v>
      </x:c>
      <x:c r="B63" s="15" t="s">
        <x:v>34</x:v>
      </x:c>
      <x:c r="C63" s="14"/>
    </x:row>
    <x:row r="64">
      <x:c r="A64" s="111" t="s">
        <x:v>49</x:v>
      </x:c>
      <x:c r="B64" s="111"/>
      <x:c r="C64" s="14" t="n">
        <x:f>SUM(C46:C63)</x:f>
        <x:v>0</x:v>
      </x:c>
    </x:row>
  </x:sheetData>
  <x:mergeCells>
    <x:mergeCell ref="A1:I1"/>
    <x:mergeCell ref="A2:C2"/>
    <x:mergeCell ref="D2:I2"/>
    <x:mergeCell ref="A41:F41"/>
    <x:mergeCell ref="A64:B64"/>
    <x:mergeCell ref="A44:A45"/>
    <x:mergeCell ref="B44:B45"/>
    <x:mergeCell ref="C44:C45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baseColWidth="10" defaultColWidth="9" defaultRowHeight="14"/>
  <x:cols>
    <x:col min="1" max="2" width="19.1640625" customWidth="1"/>
    <x:col min="3" max="3" width="24.5" customWidth="1"/>
    <x:col min="4" max="4" width="11.33203125" customWidth="1"/>
    <x:col min="5" max="5" width="12.33203125" customWidth="1"/>
    <x:col min="6" max="6" width="74" customWidth="1"/>
    <x:col min="7" max="7" width="19.1640625" customWidth="1"/>
    <x:col min="8" max="8" width="12.1640625" customWidth="1"/>
  </x:cols>
  <x:sheetData>
    <x:row r="1" s="1" customFormat="1" ht="34.75" customHeight="1">
      <x:c r="A1" s="133" t="s">
        <x:v>515</x:v>
      </x:c>
      <x:c r="B1" s="133"/>
      <x:c r="C1" s="133"/>
      <x:c r="D1" s="133"/>
      <x:c r="E1" s="133"/>
      <x:c r="F1" s="133"/>
      <x:c r="G1" s="133"/>
      <x:c r="H1" s="133"/>
      <x:c r="I1" s="133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</x:row>
    <x:row r="2" s="1" customFormat="1">
      <x:c r="A2" s="114" t="e">
        <x:v>#NAME?</x:v>
      </x:c>
      <x:c r="B2" s="134"/>
      <x:c r="C2" s="134"/>
      <x:c r="D2" s="135"/>
      <x:c r="E2" s="135"/>
      <x:c r="F2" s="135"/>
      <x:c r="G2" s="135"/>
      <x:c r="H2" s="135"/>
      <x:c r="I2" s="135"/>
      <x:c r="J2" s="16"/>
      <x:c r="K2" s="17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  <x:c r="W2" s="16"/>
    </x:row>
    <x:row r="3" s="1" customFormat="1">
      <x:c r="A3" s="1" t="s">
        <x:v>295</x:v>
      </x:c>
      <x:c r="B3" s="2"/>
      <x:c r="C3" s="3"/>
      <x:c r="D3" s="4" t="s">
        <x:v>296</x:v>
      </x:c>
      <x:c r="E3" s="5"/>
      <x:c r="F3" s="6" t="n">
        <x:f>G17</x:f>
        <x:v>0</x:v>
      </x:c>
      <x:c r="G3" s="5"/>
      <x:c r="I3" s="18"/>
      <x:c r="J3" s="16"/>
      <x:c r="K3" s="16"/>
      <x:c r="L3" s="17"/>
      <x:c r="M3" s="16"/>
      <x:c r="N3" s="16"/>
      <x:c r="O3" s="16"/>
      <x:c r="P3" s="16"/>
      <x:c r="Q3" s="16"/>
      <x:c r="R3" s="16"/>
      <x:c r="S3" s="16"/>
      <x:c r="T3" s="16"/>
      <x:c r="U3" s="16"/>
      <x:c r="V3" s="16"/>
      <x:c r="W3" s="16"/>
    </x:row>
    <x:row r="4" ht="20" customHeight="1">
      <x:c r="A4" s="7" t="s">
        <x:v>297</x:v>
      </x:c>
      <x:c r="B4" s="7" t="s">
        <x:v>298</x:v>
      </x:c>
      <x:c r="C4" s="7" t="s">
        <x:v>299</x:v>
      </x:c>
      <x:c r="D4" s="7" t="s">
        <x:v>300</x:v>
      </x:c>
      <x:c r="E4" s="7" t="s">
        <x:v>301</x:v>
      </x:c>
      <x:c r="F4" s="7" t="s">
        <x:v>302</x:v>
      </x:c>
      <x:c r="G4" s="7" t="s">
        <x:v>303</x:v>
      </x:c>
      <x:c r="H4" s="8" t="s">
        <x:v>93</x:v>
      </x:c>
      <x:c r="I4" s="8" t="s">
        <x:v>304</x:v>
      </x:c>
    </x:row>
    <x:row r="5" ht="20" customHeight="1">
      <x:c r="A5" t="s">
        <x:v>372</x:v>
      </x:c>
      <x:c r="B5" t="s">
        <x:v>306</x:v>
      </x:c>
      <x:c r="C5" t="s">
        <x:v>311</x:v>
      </x:c>
      <x:c r="F5" t="s">
        <x:v>373</x:v>
      </x:c>
    </x:row>
    <x:row r="6" ht="20" customHeight="1">
      <x:c r="B6" t="s">
        <x:v>306</x:v>
      </x:c>
      <x:c r="C6" t="s">
        <x:v>311</x:v>
      </x:c>
      <x:c r="F6" t="s">
        <x:v>376</x:v>
      </x:c>
    </x:row>
    <x:row r="7" ht="20" customHeight="1">
      <x:c r="B7" t="s">
        <x:v>306</x:v>
      </x:c>
      <x:c r="C7" t="s">
        <x:v>311</x:v>
      </x:c>
      <x:c r="F7" t="s">
        <x:v>377</x:v>
      </x:c>
    </x:row>
    <x:row r="8" ht="20" customHeight="1">
      <x:c r="A8" t="s">
        <x:v>317</x:v>
      </x:c>
      <x:c r="B8" t="s">
        <x:v>306</x:v>
      </x:c>
      <x:c r="C8" t="s">
        <x:v>307</x:v>
      </x:c>
      <x:c r="D8" t="s">
        <x:v>308</x:v>
      </x:c>
      <x:c r="E8" s="21">
        <x:v>68</x:v>
      </x:c>
      <x:c r="F8" t="s">
        <x:v>516</x:v>
      </x:c>
      <x:c r="G8" s="20"/>
      <x:c r="J8" s="20"/>
    </x:row>
    <x:row r="9" ht="20" customHeight="1">
      <x:c r="A9" t="s">
        <x:v>331</x:v>
      </x:c>
      <x:c r="B9" t="s">
        <x:v>306</x:v>
      </x:c>
      <x:c r="C9" t="s">
        <x:v>307</x:v>
      </x:c>
      <x:c r="D9" t="s">
        <x:v>308</x:v>
      </x:c>
      <x:c r="E9" s="21">
        <x:v>190</x:v>
      </x:c>
      <x:c r="F9" t="s">
        <x:v>322</x:v>
      </x:c>
      <x:c r="H9" s="20"/>
    </x:row>
    <x:row r="10" ht="20" customHeight="1">
      <x:c r="B10" t="s">
        <x:v>306</x:v>
      </x:c>
      <x:c r="C10" t="s">
        <x:v>307</x:v>
      </x:c>
      <x:c r="F10" t="s">
        <x:v>376</x:v>
      </x:c>
      <x:c r="G10" s="20"/>
      <x:c r="H10" s="20"/>
    </x:row>
    <x:row r="11" ht="20" customHeight="1">
      <x:c r="B11" t="s">
        <x:v>306</x:v>
      </x:c>
      <x:c r="C11" t="s">
        <x:v>307</x:v>
      </x:c>
      <x:c r="F11" t="s">
        <x:v>377</x:v>
      </x:c>
      <x:c r="G11" s="20"/>
      <x:c r="H11" s="20"/>
    </x:row>
    <x:row r="12" ht="20" customHeight="1">
      <x:c r="B12" t="s">
        <x:v>306</x:v>
      </x:c>
      <x:c r="C12" t="s">
        <x:v>320</x:v>
      </x:c>
      <x:c r="F12" t="s">
        <x:v>376</x:v>
      </x:c>
    </x:row>
    <x:row r="13" ht="20" customHeight="1">
      <x:c r="B13" t="s">
        <x:v>306</x:v>
      </x:c>
      <x:c r="C13" t="s">
        <x:v>320</x:v>
      </x:c>
      <x:c r="F13" t="s">
        <x:v>377</x:v>
      </x:c>
      <x:c r="G13" s="20"/>
      <x:c r="H13" s="20"/>
    </x:row>
    <x:row r="14" ht="20" customHeight="1"/>
    <x:row r="15" ht="20" customHeight="1">
      <x:c r="A15" s="7"/>
      <x:c r="B15" s="7"/>
      <x:c r="C15" s="7"/>
      <x:c r="D15" s="7"/>
      <x:c r="E15" s="9"/>
      <x:c r="F15" s="7"/>
      <x:c r="G15" s="10"/>
      <x:c r="H15" s="7"/>
      <x:c r="I15" s="7"/>
    </x:row>
    <x:row r="16" ht="20" customHeight="1">
      <x:c r="A16" s="7"/>
      <x:c r="B16" s="7"/>
      <x:c r="C16" s="7"/>
      <x:c r="D16" s="7"/>
      <x:c r="E16" s="9"/>
      <x:c r="F16" s="7"/>
      <x:c r="G16" s="10"/>
      <x:c r="H16" s="7"/>
      <x:c r="I16" s="7"/>
    </x:row>
    <x:row r="17">
      <x:c r="A17" s="111" t="s">
        <x:v>49</x:v>
      </x:c>
      <x:c r="B17" s="111"/>
      <x:c r="C17" s="111"/>
      <x:c r="D17" s="111"/>
      <x:c r="E17" s="111"/>
      <x:c r="F17" s="111"/>
      <x:c r="G17" s="7" t="n">
        <x:f>SUM(G5:G6)</x:f>
        <x:v>0</x:v>
      </x:c>
      <x:c r="H17" s="7"/>
      <x:c r="I17" s="7"/>
    </x:row>
    <x:row r="20">
      <x:c r="A20" s="112" t="s">
        <x:v>50</x:v>
      </x:c>
      <x:c r="B20" s="112" t="s">
        <x:v>2</x:v>
      </x:c>
      <x:c r="C20" s="124" t="s">
        <x:v>327</x:v>
      </x:c>
    </x:row>
    <x:row r="21">
      <x:c r="A21" s="112"/>
      <x:c r="B21" s="112"/>
      <x:c r="C21" s="124"/>
    </x:row>
    <x:row r="22">
      <x:c r="A22" s="13" t="s">
        <x:v>164</x:v>
      </x:c>
      <x:c r="B22" s="13" t="s">
        <x:v>75</x:v>
      </x:c>
      <x:c r="C22" s="14"/>
    </x:row>
    <x:row r="23">
      <x:c r="A23" s="13" t="s">
        <x:v>165</x:v>
      </x:c>
      <x:c r="B23" s="13" t="s">
        <x:v>76</x:v>
      </x:c>
      <x:c r="C23" s="14"/>
    </x:row>
    <x:row r="24">
      <x:c r="A24" s="13" t="s">
        <x:v>166</x:v>
      </x:c>
      <x:c r="B24" s="13" t="s">
        <x:v>77</x:v>
      </x:c>
      <x:c r="C24" s="14"/>
    </x:row>
    <x:row r="25">
      <x:c r="A25" s="13" t="s">
        <x:v>167</x:v>
      </x:c>
      <x:c r="B25" s="13" t="s">
        <x:v>78</x:v>
      </x:c>
      <x:c r="C25" s="14"/>
    </x:row>
    <x:row r="26">
      <x:c r="A26" s="13" t="s">
        <x:v>168</x:v>
      </x:c>
      <x:c r="B26" s="13" t="s">
        <x:v>79</x:v>
      </x:c>
      <x:c r="C26" s="14"/>
    </x:row>
    <x:row r="27">
      <x:c r="A27" s="13" t="s">
        <x:v>169</x:v>
      </x:c>
      <x:c r="B27" s="13" t="s">
        <x:v>80</x:v>
      </x:c>
      <x:c r="C27" s="14"/>
    </x:row>
    <x:row r="28">
      <x:c r="A28" s="13" t="s">
        <x:v>170</x:v>
      </x:c>
      <x:c r="B28" s="13" t="s">
        <x:v>81</x:v>
      </x:c>
      <x:c r="C28" s="14"/>
    </x:row>
    <x:row r="29">
      <x:c r="A29" s="13" t="s">
        <x:v>171</x:v>
      </x:c>
      <x:c r="B29" s="13" t="s">
        <x:v>82</x:v>
      </x:c>
      <x:c r="C29" s="14"/>
    </x:row>
    <x:row r="30">
      <x:c r="A30" s="13" t="s">
        <x:v>172</x:v>
      </x:c>
      <x:c r="B30" s="13" t="s">
        <x:v>83</x:v>
      </x:c>
      <x:c r="C30" s="14"/>
    </x:row>
    <x:row r="31">
      <x:c r="A31" s="13" t="s">
        <x:v>173</x:v>
      </x:c>
      <x:c r="B31" s="13" t="s">
        <x:v>84</x:v>
      </x:c>
      <x:c r="C31" s="14"/>
    </x:row>
    <x:row r="32">
      <x:c r="A32" s="13" t="s">
        <x:v>174</x:v>
      </x:c>
      <x:c r="B32" s="13" t="s">
        <x:v>85</x:v>
      </x:c>
      <x:c r="C32" s="14"/>
    </x:row>
    <x:row r="33">
      <x:c r="A33" s="13" t="s">
        <x:v>273</x:v>
      </x:c>
      <x:c r="B33" s="13" t="s">
        <x:v>86</x:v>
      </x:c>
      <x:c r="C33" s="14"/>
    </x:row>
    <x:row r="34">
      <x:c r="A34" s="13" t="s">
        <x:v>176</x:v>
      </x:c>
      <x:c r="B34" s="13" t="s">
        <x:v>87</x:v>
      </x:c>
      <x:c r="C34" s="14"/>
    </x:row>
    <x:row r="35">
      <x:c r="A35" s="13" t="s">
        <x:v>177</x:v>
      </x:c>
      <x:c r="B35" s="13" t="s">
        <x:v>88</x:v>
      </x:c>
      <x:c r="C35" s="14"/>
    </x:row>
    <x:row r="36">
      <x:c r="A36" s="13" t="s">
        <x:v>168</x:v>
      </x:c>
      <x:c r="B36" s="13" t="s">
        <x:v>89</x:v>
      </x:c>
      <x:c r="C36" s="14"/>
    </x:row>
    <x:row r="37" ht="17">
      <x:c r="A37" s="13" t="s">
        <x:v>274</x:v>
      </x:c>
      <x:c r="B37" s="15" t="s">
        <x:v>90</x:v>
      </x:c>
      <x:c r="C37" s="14"/>
    </x:row>
    <x:row r="38" ht="17">
      <x:c r="A38" s="13" t="s">
        <x:v>275</x:v>
      </x:c>
      <x:c r="B38" s="15" t="s">
        <x:v>19</x:v>
      </x:c>
      <x:c r="C38" s="14"/>
    </x:row>
    <x:row r="39" ht="17">
      <x:c r="A39" s="13" t="s">
        <x:v>276</x:v>
      </x:c>
      <x:c r="B39" s="15" t="s">
        <x:v>34</x:v>
      </x:c>
      <x:c r="C39" s="14"/>
    </x:row>
    <x:row r="40">
      <x:c r="A40" s="111" t="s">
        <x:v>49</x:v>
      </x:c>
      <x:c r="B40" s="111"/>
      <x:c r="C40" s="14" t="n">
        <x:f>SUM(C22:C39)</x:f>
        <x:v>0</x:v>
      </x:c>
    </x:row>
  </x:sheetData>
  <x:mergeCells>
    <x:mergeCell ref="A1:I1"/>
    <x:mergeCell ref="A2:C2"/>
    <x:mergeCell ref="D2:I2"/>
    <x:mergeCell ref="A17:F17"/>
    <x:mergeCell ref="A40:B40"/>
    <x:mergeCell ref="A20:A21"/>
    <x:mergeCell ref="B20:B21"/>
    <x:mergeCell ref="C20:C21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baseColWidth="10" defaultColWidth="9" defaultRowHeight="14"/>
  <x:cols>
    <x:col min="1" max="2" width="19.1640625" customWidth="1"/>
    <x:col min="3" max="3" width="33.6640625" customWidth="1"/>
    <x:col min="4" max="4" width="9.1640625" customWidth="1"/>
    <x:col min="5" max="5" width="12.33203125" customWidth="1"/>
    <x:col min="6" max="6" width="60.83203125" customWidth="1"/>
    <x:col min="7" max="7" width="19.1640625" customWidth="1"/>
  </x:cols>
  <x:sheetData>
    <x:row r="1" s="1" customFormat="1" ht="34.75" customHeight="1">
      <x:c r="A1" s="133" t="s">
        <x:v>517</x:v>
      </x:c>
      <x:c r="B1" s="133"/>
      <x:c r="C1" s="133"/>
      <x:c r="D1" s="133"/>
      <x:c r="E1" s="133"/>
      <x:c r="F1" s="133"/>
      <x:c r="G1" s="133"/>
      <x:c r="H1" s="133"/>
      <x:c r="I1" s="133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</x:row>
    <x:row r="2" s="1" customFormat="1">
      <x:c r="A2" s="114" t="e">
        <x:v>#NAME?</x:v>
      </x:c>
      <x:c r="B2" s="134"/>
      <x:c r="C2" s="134"/>
      <x:c r="D2" s="135"/>
      <x:c r="E2" s="135"/>
      <x:c r="F2" s="135"/>
      <x:c r="G2" s="135"/>
      <x:c r="H2" s="135"/>
      <x:c r="I2" s="135"/>
      <x:c r="J2" s="16"/>
      <x:c r="K2" s="17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  <x:c r="W2" s="16"/>
    </x:row>
    <x:row r="3" s="1" customFormat="1">
      <x:c r="A3" s="1" t="s">
        <x:v>295</x:v>
      </x:c>
      <x:c r="B3" s="2"/>
      <x:c r="C3" s="3"/>
      <x:c r="D3" s="4" t="s">
        <x:v>296</x:v>
      </x:c>
      <x:c r="E3" s="5"/>
      <x:c r="F3" s="5" t="n">
        <x:f>G10</x:f>
        <x:v>0</x:v>
      </x:c>
      <x:c r="G3" s="5"/>
      <x:c r="I3" s="18"/>
      <x:c r="J3" s="16"/>
      <x:c r="K3" s="16"/>
      <x:c r="L3" s="17"/>
      <x:c r="M3" s="16"/>
      <x:c r="N3" s="16"/>
      <x:c r="O3" s="16"/>
      <x:c r="P3" s="16"/>
      <x:c r="Q3" s="16"/>
      <x:c r="R3" s="16"/>
      <x:c r="S3" s="16"/>
      <x:c r="T3" s="16"/>
      <x:c r="U3" s="16"/>
      <x:c r="V3" s="16"/>
      <x:c r="W3" s="16"/>
    </x:row>
    <x:row r="4" ht="20" customHeight="1">
      <x:c r="A4" s="7" t="s">
        <x:v>297</x:v>
      </x:c>
      <x:c r="B4" s="7" t="s">
        <x:v>298</x:v>
      </x:c>
      <x:c r="C4" s="7" t="s">
        <x:v>299</x:v>
      </x:c>
      <x:c r="D4" s="7" t="s">
        <x:v>300</x:v>
      </x:c>
      <x:c r="E4" s="7" t="s">
        <x:v>301</x:v>
      </x:c>
      <x:c r="F4" s="7" t="s">
        <x:v>302</x:v>
      </x:c>
      <x:c r="G4" s="7" t="s">
        <x:v>303</x:v>
      </x:c>
      <x:c r="H4" s="8" t="s">
        <x:v>93</x:v>
      </x:c>
      <x:c r="I4" s="8" t="s">
        <x:v>304</x:v>
      </x:c>
    </x:row>
    <x:row r="5" ht="20" customHeight="1">
      <x:c r="A5" s="7"/>
      <x:c r="B5" s="7"/>
      <x:c r="C5" s="7"/>
      <x:c r="D5" s="7"/>
      <x:c r="E5" s="9"/>
      <x:c r="F5" s="7"/>
      <x:c r="G5" s="10"/>
      <x:c r="H5" s="7"/>
      <x:c r="I5" s="7"/>
      <x:c r="J5" s="20"/>
    </x:row>
    <x:row r="6" ht="20" customHeight="1">
      <x:c r="A6" s="7"/>
      <x:c r="B6" s="7"/>
      <x:c r="C6" s="7"/>
      <x:c r="D6" s="7"/>
      <x:c r="E6" s="9"/>
      <x:c r="F6" s="7"/>
      <x:c r="G6" s="10"/>
      <x:c r="H6" s="7"/>
      <x:c r="I6" s="7"/>
      <x:c r="J6" s="20"/>
    </x:row>
    <x:row r="7" ht="20" customHeight="1">
      <x:c r="A7" s="7"/>
      <x:c r="B7" s="7"/>
      <x:c r="C7" s="7"/>
      <x:c r="D7" s="7"/>
      <x:c r="E7" s="9"/>
      <x:c r="F7" s="7"/>
      <x:c r="G7" s="10"/>
      <x:c r="H7" s="7"/>
      <x:c r="I7" s="7"/>
      <x:c r="J7" s="20"/>
    </x:row>
    <x:row r="8" ht="20" customHeight="1">
      <x:c r="A8" s="7"/>
      <x:c r="B8" s="7"/>
      <x:c r="C8" s="7"/>
      <x:c r="D8" s="7"/>
      <x:c r="E8" s="9"/>
      <x:c r="F8" s="7"/>
      <x:c r="G8" s="10"/>
      <x:c r="H8" s="7"/>
      <x:c r="I8" s="7"/>
      <x:c r="J8" s="20"/>
    </x:row>
    <x:row r="9" ht="20" customHeight="1">
      <x:c r="A9" s="7"/>
      <x:c r="B9" s="7"/>
      <x:c r="C9" s="7"/>
      <x:c r="D9" s="7"/>
      <x:c r="E9" s="9"/>
      <x:c r="F9" s="7"/>
      <x:c r="G9" s="10"/>
      <x:c r="H9" s="7"/>
      <x:c r="I9" s="7"/>
      <x:c r="J9" s="20"/>
    </x:row>
    <x:row r="10">
      <x:c r="A10" s="111" t="s">
        <x:v>49</x:v>
      </x:c>
      <x:c r="B10" s="111"/>
      <x:c r="C10" s="111"/>
      <x:c r="D10" s="111"/>
      <x:c r="E10" s="111"/>
      <x:c r="F10" s="111"/>
      <x:c r="G10" s="7" t="n">
        <x:f>SUM(G5:G9)</x:f>
        <x:v>0</x:v>
      </x:c>
      <x:c r="H10" s="7"/>
      <x:c r="I10" s="7"/>
    </x:row>
    <x:row r="12">
      <x:c r="A12" s="112" t="s">
        <x:v>50</x:v>
      </x:c>
      <x:c r="B12" s="112" t="s">
        <x:v>2</x:v>
      </x:c>
      <x:c r="C12" s="124" t="s">
        <x:v>327</x:v>
      </x:c>
    </x:row>
    <x:row r="13">
      <x:c r="A13" s="112"/>
      <x:c r="B13" s="112"/>
      <x:c r="C13" s="124"/>
    </x:row>
    <x:row r="14">
      <x:c r="A14" s="13" t="s">
        <x:v>164</x:v>
      </x:c>
      <x:c r="B14" s="13" t="s">
        <x:v>75</x:v>
      </x:c>
      <x:c r="C14" s="14"/>
    </x:row>
    <x:row r="15">
      <x:c r="A15" s="13" t="s">
        <x:v>165</x:v>
      </x:c>
      <x:c r="B15" s="13" t="s">
        <x:v>76</x:v>
      </x:c>
      <x:c r="C15" s="14"/>
    </x:row>
    <x:row r="16">
      <x:c r="A16" s="13" t="s">
        <x:v>166</x:v>
      </x:c>
      <x:c r="B16" s="13" t="s">
        <x:v>77</x:v>
      </x:c>
      <x:c r="C16" s="14"/>
    </x:row>
    <x:row r="17">
      <x:c r="A17" s="13" t="s">
        <x:v>167</x:v>
      </x:c>
      <x:c r="B17" s="13" t="s">
        <x:v>78</x:v>
      </x:c>
      <x:c r="C17" s="14"/>
    </x:row>
    <x:row r="18">
      <x:c r="A18" s="13" t="s">
        <x:v>168</x:v>
      </x:c>
      <x:c r="B18" s="13" t="s">
        <x:v>79</x:v>
      </x:c>
      <x:c r="C18" s="14"/>
    </x:row>
    <x:row r="19">
      <x:c r="A19" s="13" t="s">
        <x:v>169</x:v>
      </x:c>
      <x:c r="B19" s="13" t="s">
        <x:v>80</x:v>
      </x:c>
      <x:c r="C19" s="14"/>
    </x:row>
    <x:row r="20">
      <x:c r="A20" s="13" t="s">
        <x:v>170</x:v>
      </x:c>
      <x:c r="B20" s="13" t="s">
        <x:v>81</x:v>
      </x:c>
      <x:c r="C20" s="14"/>
    </x:row>
    <x:row r="21">
      <x:c r="A21" s="13" t="s">
        <x:v>171</x:v>
      </x:c>
      <x:c r="B21" s="13" t="s">
        <x:v>82</x:v>
      </x:c>
      <x:c r="C21" s="14"/>
    </x:row>
    <x:row r="22">
      <x:c r="A22" s="13" t="s">
        <x:v>172</x:v>
      </x:c>
      <x:c r="B22" s="13" t="s">
        <x:v>83</x:v>
      </x:c>
      <x:c r="C22" s="14"/>
    </x:row>
    <x:row r="23">
      <x:c r="A23" s="13" t="s">
        <x:v>173</x:v>
      </x:c>
      <x:c r="B23" s="13" t="s">
        <x:v>84</x:v>
      </x:c>
      <x:c r="C23" s="14"/>
    </x:row>
    <x:row r="24">
      <x:c r="A24" s="13" t="s">
        <x:v>174</x:v>
      </x:c>
      <x:c r="B24" s="13" t="s">
        <x:v>85</x:v>
      </x:c>
      <x:c r="C24" s="14"/>
    </x:row>
    <x:row r="25">
      <x:c r="A25" s="13" t="s">
        <x:v>273</x:v>
      </x:c>
      <x:c r="B25" s="13" t="s">
        <x:v>86</x:v>
      </x:c>
      <x:c r="C25" s="14"/>
    </x:row>
    <x:row r="26">
      <x:c r="A26" s="13" t="s">
        <x:v>176</x:v>
      </x:c>
      <x:c r="B26" s="13" t="s">
        <x:v>87</x:v>
      </x:c>
      <x:c r="C26" s="14"/>
    </x:row>
    <x:row r="27">
      <x:c r="A27" s="13" t="s">
        <x:v>177</x:v>
      </x:c>
      <x:c r="B27" s="13" t="s">
        <x:v>88</x:v>
      </x:c>
      <x:c r="C27" s="14"/>
    </x:row>
    <x:row r="28">
      <x:c r="A28" s="13" t="s">
        <x:v>168</x:v>
      </x:c>
      <x:c r="B28" s="13" t="s">
        <x:v>89</x:v>
      </x:c>
      <x:c r="C28" s="14"/>
    </x:row>
    <x:row r="29" ht="17">
      <x:c r="A29" s="13" t="s">
        <x:v>274</x:v>
      </x:c>
      <x:c r="B29" s="15" t="s">
        <x:v>90</x:v>
      </x:c>
      <x:c r="C29" s="14"/>
    </x:row>
    <x:row r="30" ht="17">
      <x:c r="A30" s="13" t="s">
        <x:v>275</x:v>
      </x:c>
      <x:c r="B30" s="15" t="s">
        <x:v>19</x:v>
      </x:c>
      <x:c r="C30" s="14"/>
    </x:row>
    <x:row r="31" ht="17">
      <x:c r="A31" s="13" t="s">
        <x:v>276</x:v>
      </x:c>
      <x:c r="B31" s="15" t="s">
        <x:v>34</x:v>
      </x:c>
      <x:c r="C31" s="14"/>
    </x:row>
    <x:row r="32">
      <x:c r="A32" s="111" t="s">
        <x:v>49</x:v>
      </x:c>
      <x:c r="B32" s="111"/>
      <x:c r="C32" s="14" t="n">
        <x:f>SUM(C14:C31)</x:f>
        <x:v>0</x:v>
      </x:c>
    </x:row>
  </x:sheetData>
  <x:mergeCells>
    <x:mergeCell ref="A1:I1"/>
    <x:mergeCell ref="A2:C2"/>
    <x:mergeCell ref="D2:I2"/>
    <x:mergeCell ref="A10:F10"/>
    <x:mergeCell ref="A32:B32"/>
    <x:mergeCell ref="A12:A13"/>
    <x:mergeCell ref="B12:B13"/>
    <x:mergeCell ref="C12:C13"/>
  </x:mergeCell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baseColWidth="10" defaultColWidth="9" defaultRowHeight="14"/>
  <x:cols>
    <x:col min="1" max="4" width="19.1640625" customWidth="1"/>
    <x:col min="5" max="5" width="10.33203125" customWidth="1"/>
    <x:col min="6" max="7" width="19.1640625" customWidth="1"/>
  </x:cols>
  <x:sheetData>
    <x:row r="1" s="1" customFormat="1" ht="34.75" customHeight="1">
      <x:c r="A1" s="133" t="s">
        <x:v>518</x:v>
      </x:c>
      <x:c r="B1" s="133"/>
      <x:c r="C1" s="133"/>
      <x:c r="D1" s="133"/>
      <x:c r="E1" s="133"/>
      <x:c r="F1" s="133"/>
      <x:c r="G1" s="133"/>
      <x:c r="H1" s="133"/>
      <x:c r="I1" s="133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</x:row>
    <x:row r="2" s="1" customFormat="1">
      <x:c r="A2" s="114" t="e">
        <x:v>#NAME?</x:v>
      </x:c>
      <x:c r="B2" s="134"/>
      <x:c r="C2" s="134"/>
      <x:c r="D2" s="135"/>
      <x:c r="E2" s="135"/>
      <x:c r="F2" s="135"/>
      <x:c r="G2" s="135"/>
      <x:c r="H2" s="135"/>
      <x:c r="I2" s="135"/>
      <x:c r="J2" s="16"/>
      <x:c r="K2" s="17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  <x:c r="W2" s="16"/>
    </x:row>
    <x:row r="3" s="1" customFormat="1">
      <x:c r="A3" s="1" t="s">
        <x:v>295</x:v>
      </x:c>
      <x:c r="B3" s="2"/>
      <x:c r="C3" s="3"/>
      <x:c r="D3" s="4" t="s">
        <x:v>296</x:v>
      </x:c>
      <x:c r="E3" s="5"/>
      <x:c r="F3" s="6" t="n">
        <x:f>G6</x:f>
        <x:v>0</x:v>
      </x:c>
      <x:c r="G3" s="5"/>
      <x:c r="I3" s="18"/>
      <x:c r="J3" s="16"/>
      <x:c r="K3" s="16"/>
      <x:c r="L3" s="17"/>
      <x:c r="M3" s="16"/>
      <x:c r="N3" s="16"/>
      <x:c r="O3" s="16"/>
      <x:c r="P3" s="16"/>
      <x:c r="Q3" s="16"/>
      <x:c r="R3" s="16"/>
      <x:c r="S3" s="16"/>
      <x:c r="T3" s="16"/>
      <x:c r="U3" s="16"/>
      <x:c r="V3" s="16"/>
      <x:c r="W3" s="16"/>
    </x:row>
    <x:row r="4" ht="20" customHeight="1">
      <x:c r="A4" s="7" t="s">
        <x:v>297</x:v>
      </x:c>
      <x:c r="B4" s="7" t="s">
        <x:v>298</x:v>
      </x:c>
      <x:c r="C4" s="7" t="s">
        <x:v>299</x:v>
      </x:c>
      <x:c r="D4" s="7" t="s">
        <x:v>300</x:v>
      </x:c>
      <x:c r="E4" s="7" t="s">
        <x:v>301</x:v>
      </x:c>
      <x:c r="F4" s="7" t="s">
        <x:v>302</x:v>
      </x:c>
      <x:c r="G4" s="7" t="s">
        <x:v>303</x:v>
      </x:c>
      <x:c r="H4" s="8" t="s">
        <x:v>93</x:v>
      </x:c>
      <x:c r="I4" s="8" t="s">
        <x:v>304</x:v>
      </x:c>
    </x:row>
    <x:row r="5" ht="20" customHeight="1">
      <x:c r="A5" s="7" t="s">
        <x:v>337</x:v>
      </x:c>
      <x:c r="B5" s="7" t="s">
        <x:v>306</x:v>
      </x:c>
      <x:c r="C5" s="7" t="s">
        <x:v>311</x:v>
      </x:c>
      <x:c r="D5" s="7" t="s">
        <x:v>308</x:v>
      </x:c>
      <x:c r="E5" s="9">
        <x:v>89</x:v>
      </x:c>
      <x:c r="F5" s="7" t="s">
        <x:v>519</x:v>
      </x:c>
      <x:c r="G5" s="10"/>
      <x:c r="H5" s="7"/>
      <x:c r="I5" s="7"/>
    </x:row>
    <x:row r="6">
      <x:c r="A6" s="138" t="s">
        <x:v>49</x:v>
      </x:c>
      <x:c r="B6" s="136"/>
      <x:c r="C6" s="136"/>
      <x:c r="D6" s="136"/>
      <x:c r="E6" s="136"/>
      <x:c r="F6" s="137"/>
      <x:c r="G6" s="7"/>
      <x:c r="H6" s="7"/>
      <x:c r="I6" s="7"/>
    </x:row>
    <x:row r="8">
      <x:c r="A8" s="112" t="s">
        <x:v>50</x:v>
      </x:c>
      <x:c r="B8" s="112" t="s">
        <x:v>2</x:v>
      </x:c>
      <x:c r="C8" s="124" t="s">
        <x:v>327</x:v>
      </x:c>
    </x:row>
    <x:row r="9">
      <x:c r="A9" s="112"/>
      <x:c r="B9" s="112"/>
      <x:c r="C9" s="124"/>
    </x:row>
    <x:row r="10">
      <x:c r="A10" s="13" t="s">
        <x:v>164</x:v>
      </x:c>
      <x:c r="B10" s="13" t="s">
        <x:v>75</x:v>
      </x:c>
      <x:c r="C10" s="19" t="e">
        <x:f>项目分类明细汇总表1月!$D$46*研发人员工时统计合计!J43</x:f>
        <x:v>#NAME?</x:v>
      </x:c>
    </x:row>
    <x:row r="11">
      <x:c r="A11" s="13" t="s">
        <x:v>165</x:v>
      </x:c>
      <x:c r="B11" s="13" t="s">
        <x:v>76</x:v>
      </x:c>
      <x:c r="C11" s="19" t="e">
        <x:f>项目分类明细汇总表1月!$D$46*研发人员工时统计合计!J44</x:f>
        <x:v>#NAME?</x:v>
      </x:c>
    </x:row>
    <x:row r="12">
      <x:c r="A12" s="13" t="s">
        <x:v>166</x:v>
      </x:c>
      <x:c r="B12" s="13" t="s">
        <x:v>77</x:v>
      </x:c>
      <x:c r="C12" s="19" t="e">
        <x:f>项目分类明细汇总表1月!$D$46*研发人员工时统计合计!J45</x:f>
        <x:v>#NAME?</x:v>
      </x:c>
    </x:row>
    <x:row r="13">
      <x:c r="A13" s="13" t="s">
        <x:v>167</x:v>
      </x:c>
      <x:c r="B13" s="13" t="s">
        <x:v>78</x:v>
      </x:c>
      <x:c r="C13" s="19" t="e">
        <x:f>项目分类明细汇总表1月!$D$46*研发人员工时统计合计!J46</x:f>
        <x:v>#NAME?</x:v>
      </x:c>
    </x:row>
    <x:row r="14">
      <x:c r="A14" s="13" t="s">
        <x:v>168</x:v>
      </x:c>
      <x:c r="B14" s="13" t="s">
        <x:v>79</x:v>
      </x:c>
      <x:c r="C14" s="19" t="e">
        <x:f>项目分类明细汇总表1月!$D$46*研发人员工时统计合计!J47</x:f>
        <x:v>#NAME?</x:v>
      </x:c>
    </x:row>
    <x:row r="15">
      <x:c r="A15" s="13" t="s">
        <x:v>169</x:v>
      </x:c>
      <x:c r="B15" s="13" t="s">
        <x:v>80</x:v>
      </x:c>
      <x:c r="C15" s="19" t="e">
        <x:f>项目分类明细汇总表1月!$D$46*研发人员工时统计合计!J48</x:f>
        <x:v>#NAME?</x:v>
      </x:c>
    </x:row>
    <x:row r="16">
      <x:c r="A16" s="13" t="s">
        <x:v>170</x:v>
      </x:c>
      <x:c r="B16" s="13" t="s">
        <x:v>81</x:v>
      </x:c>
      <x:c r="C16" s="19" t="e">
        <x:f>项目分类明细汇总表1月!$D$46*研发人员工时统计合计!J49</x:f>
        <x:v>#NAME?</x:v>
      </x:c>
    </x:row>
    <x:row r="17">
      <x:c r="A17" s="13" t="s">
        <x:v>171</x:v>
      </x:c>
      <x:c r="B17" s="13" t="s">
        <x:v>82</x:v>
      </x:c>
      <x:c r="C17" s="19" t="e">
        <x:f>项目分类明细汇总表1月!$D$46*研发人员工时统计合计!J50</x:f>
        <x:v>#NAME?</x:v>
      </x:c>
    </x:row>
    <x:row r="18">
      <x:c r="A18" s="13" t="s">
        <x:v>172</x:v>
      </x:c>
      <x:c r="B18" s="13" t="s">
        <x:v>83</x:v>
      </x:c>
      <x:c r="C18" s="19" t="e">
        <x:f>项目分类明细汇总表1月!$D$46*研发人员工时统计合计!J51</x:f>
        <x:v>#NAME?</x:v>
      </x:c>
    </x:row>
    <x:row r="19">
      <x:c r="A19" s="13" t="s">
        <x:v>173</x:v>
      </x:c>
      <x:c r="B19" s="13" t="s">
        <x:v>84</x:v>
      </x:c>
      <x:c r="C19" s="19" t="e">
        <x:f>项目分类明细汇总表1月!$D$46*研发人员工时统计合计!J52</x:f>
        <x:v>#NAME?</x:v>
      </x:c>
    </x:row>
    <x:row r="20">
      <x:c r="A20" s="13" t="s">
        <x:v>174</x:v>
      </x:c>
      <x:c r="B20" s="13" t="s">
        <x:v>85</x:v>
      </x:c>
      <x:c r="C20" s="19" t="e">
        <x:f>项目分类明细汇总表1月!$D$46*研发人员工时统计合计!J53</x:f>
        <x:v>#NAME?</x:v>
      </x:c>
    </x:row>
    <x:row r="21">
      <x:c r="A21" s="13" t="s">
        <x:v>273</x:v>
      </x:c>
      <x:c r="B21" s="13" t="s">
        <x:v>86</x:v>
      </x:c>
      <x:c r="C21" s="19" t="e">
        <x:f>项目分类明细汇总表1月!$D$46*研发人员工时统计合计!J54</x:f>
        <x:v>#NAME?</x:v>
      </x:c>
    </x:row>
    <x:row r="22">
      <x:c r="A22" s="13" t="s">
        <x:v>176</x:v>
      </x:c>
      <x:c r="B22" s="13" t="s">
        <x:v>87</x:v>
      </x:c>
      <x:c r="C22" s="19" t="e">
        <x:f>项目分类明细汇总表1月!$D$46*研发人员工时统计合计!J55</x:f>
        <x:v>#NAME?</x:v>
      </x:c>
    </x:row>
    <x:row r="23">
      <x:c r="A23" s="13" t="s">
        <x:v>177</x:v>
      </x:c>
      <x:c r="B23" s="13" t="s">
        <x:v>88</x:v>
      </x:c>
      <x:c r="C23" s="19" t="e">
        <x:f>项目分类明细汇总表1月!$D$46*研发人员工时统计合计!J56</x:f>
        <x:v>#NAME?</x:v>
      </x:c>
    </x:row>
    <x:row r="24">
      <x:c r="A24" s="13" t="s">
        <x:v>168</x:v>
      </x:c>
      <x:c r="B24" s="13" t="s">
        <x:v>89</x:v>
      </x:c>
      <x:c r="C24" s="19" t="e">
        <x:f>项目分类明细汇总表1月!$D$46*研发人员工时统计合计!J57</x:f>
        <x:v>#NAME?</x:v>
      </x:c>
    </x:row>
    <x:row r="25" ht="17">
      <x:c r="A25" s="13" t="s">
        <x:v>274</x:v>
      </x:c>
      <x:c r="B25" s="15" t="s">
        <x:v>90</x:v>
      </x:c>
      <x:c r="C25" s="19" t="e">
        <x:f>项目分类明细汇总表1月!$D$46*研发人员工时统计合计!J58</x:f>
        <x:v>#NAME?</x:v>
      </x:c>
    </x:row>
    <x:row r="26" ht="17">
      <x:c r="A26" s="13" t="s">
        <x:v>275</x:v>
      </x:c>
      <x:c r="B26" s="15" t="s">
        <x:v>19</x:v>
      </x:c>
      <x:c r="C26" s="19" t="e">
        <x:f>项目分类明细汇总表1月!$D$46*研发人员工时统计合计!J59</x:f>
        <x:v>#NAME?</x:v>
      </x:c>
    </x:row>
    <x:row r="27" ht="17">
      <x:c r="A27" s="13" t="s">
        <x:v>276</x:v>
      </x:c>
      <x:c r="B27" s="15" t="s">
        <x:v>34</x:v>
      </x:c>
      <x:c r="C27" s="19" t="e">
        <x:f>项目分类明细汇总表1月!$D$46*研发人员工时统计合计!J60</x:f>
        <x:v>#NAME?</x:v>
      </x:c>
    </x:row>
    <x:row r="28">
      <x:c r="A28" s="111" t="s">
        <x:v>49</x:v>
      </x:c>
      <x:c r="B28" s="111"/>
      <x:c r="C28" s="19" t="e">
        <x:f>项目分类明细汇总表1月!$D$46*研发人员工时统计合计!J61</x:f>
        <x:v>#NAME?</x:v>
      </x:c>
    </x:row>
  </x:sheetData>
  <x:mergeCells>
    <x:mergeCell ref="A1:I1"/>
    <x:mergeCell ref="A2:C2"/>
    <x:mergeCell ref="D2:I2"/>
    <x:mergeCell ref="A6:F6"/>
    <x:mergeCell ref="A28:B28"/>
    <x:mergeCell ref="A8:A9"/>
    <x:mergeCell ref="B8:B9"/>
    <x:mergeCell ref="C8:C9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baseColWidth="10" defaultColWidth="9" defaultRowHeight="14"/>
  <x:cols>
    <x:col min="1" max="3" width="19.1640625" customWidth="1"/>
    <x:col min="4" max="4" width="11.83203125" customWidth="1"/>
    <x:col min="5" max="5" width="8.83203125" customWidth="1"/>
    <x:col min="6" max="6" width="60" customWidth="1"/>
    <x:col min="7" max="7" width="19.1640625" customWidth="1"/>
  </x:cols>
  <x:sheetData>
    <x:row r="1" s="1" customFormat="1" ht="34.75" customHeight="1">
      <x:c r="A1" s="133" t="s">
        <x:v>520</x:v>
      </x:c>
      <x:c r="B1" s="133"/>
      <x:c r="C1" s="133"/>
      <x:c r="D1" s="133"/>
      <x:c r="E1" s="133"/>
      <x:c r="F1" s="133"/>
      <x:c r="G1" s="133"/>
      <x:c r="H1" s="133"/>
      <x:c r="I1" s="133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</x:row>
    <x:row r="2" s="1" customFormat="1">
      <x:c r="A2" s="114" t="e">
        <x:v>#NAME?</x:v>
      </x:c>
      <x:c r="B2" s="134"/>
      <x:c r="C2" s="134"/>
      <x:c r="D2" s="135"/>
      <x:c r="E2" s="135"/>
      <x:c r="F2" s="135"/>
      <x:c r="G2" s="135"/>
      <x:c r="H2" s="135"/>
      <x:c r="I2" s="135"/>
      <x:c r="J2" s="16"/>
      <x:c r="K2" s="17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  <x:c r="W2" s="16"/>
    </x:row>
    <x:row r="3" s="1" customFormat="1">
      <x:c r="A3" s="1" t="s">
        <x:v>295</x:v>
      </x:c>
      <x:c r="B3" s="2"/>
      <x:c r="C3" s="3"/>
      <x:c r="D3" s="4" t="s">
        <x:v>296</x:v>
      </x:c>
      <x:c r="E3" s="5"/>
      <x:c r="F3" s="6" t="n">
        <x:f>G7</x:f>
        <x:v>0</x:v>
      </x:c>
      <x:c r="G3" s="5"/>
      <x:c r="I3" s="18"/>
      <x:c r="J3" s="16"/>
      <x:c r="K3" s="16"/>
      <x:c r="L3" s="17"/>
      <x:c r="M3" s="16"/>
      <x:c r="N3" s="16"/>
      <x:c r="O3" s="16"/>
      <x:c r="P3" s="16"/>
      <x:c r="Q3" s="16"/>
      <x:c r="R3" s="16"/>
      <x:c r="S3" s="16"/>
      <x:c r="T3" s="16"/>
      <x:c r="U3" s="16"/>
      <x:c r="V3" s="16"/>
      <x:c r="W3" s="16"/>
    </x:row>
    <x:row r="4" ht="20" customHeight="1">
      <x:c r="A4" s="7" t="s">
        <x:v>297</x:v>
      </x:c>
      <x:c r="B4" s="7" t="s">
        <x:v>298</x:v>
      </x:c>
      <x:c r="C4" s="7" t="s">
        <x:v>299</x:v>
      </x:c>
      <x:c r="D4" s="7" t="s">
        <x:v>300</x:v>
      </x:c>
      <x:c r="E4" s="7" t="s">
        <x:v>301</x:v>
      </x:c>
      <x:c r="F4" s="7" t="s">
        <x:v>302</x:v>
      </x:c>
      <x:c r="G4" s="7" t="s">
        <x:v>303</x:v>
      </x:c>
      <x:c r="H4" s="8" t="s">
        <x:v>93</x:v>
      </x:c>
      <x:c r="I4" s="8" t="s">
        <x:v>304</x:v>
      </x:c>
    </x:row>
    <x:row r="5" ht="20" customHeight="1">
      <x:c r="A5" s="7"/>
      <x:c r="B5" s="7"/>
      <x:c r="C5" s="7"/>
      <x:c r="D5" s="7"/>
      <x:c r="E5" s="9"/>
      <x:c r="F5" s="7"/>
      <x:c r="G5" s="10"/>
      <x:c r="H5" s="7"/>
      <x:c r="I5" s="7"/>
    </x:row>
    <x:row r="6" ht="20" customHeight="1">
      <x:c r="A6" s="7"/>
      <x:c r="B6" s="7"/>
      <x:c r="C6" s="7"/>
      <x:c r="D6" s="7"/>
      <x:c r="E6" s="9"/>
      <x:c r="F6" s="7"/>
      <x:c r="G6" s="10"/>
      <x:c r="H6" s="7"/>
      <x:c r="I6" s="7"/>
    </x:row>
    <x:row r="7">
      <x:c r="A7" s="111" t="s">
        <x:v>49</x:v>
      </x:c>
      <x:c r="B7" s="111"/>
      <x:c r="C7" s="111"/>
      <x:c r="D7" s="111"/>
      <x:c r="E7" s="111"/>
      <x:c r="F7" s="111"/>
      <x:c r="G7" s="7" t="n">
        <x:f>SUM(G5:G6)</x:f>
        <x:v>0</x:v>
      </x:c>
      <x:c r="H7" s="7"/>
      <x:c r="I7" s="7"/>
    </x:row>
    <x:row r="9">
      <x:c r="A9" s="112" t="s">
        <x:v>50</x:v>
      </x:c>
      <x:c r="B9" s="112" t="s">
        <x:v>2</x:v>
      </x:c>
      <x:c r="C9" s="124" t="s">
        <x:v>327</x:v>
      </x:c>
    </x:row>
    <x:row r="10">
      <x:c r="A10" s="112"/>
      <x:c r="B10" s="112"/>
      <x:c r="C10" s="124"/>
    </x:row>
    <x:row r="11">
      <x:c r="A11" s="13" t="s">
        <x:v>164</x:v>
      </x:c>
      <x:c r="B11" s="13" t="s">
        <x:v>75</x:v>
      </x:c>
      <x:c r="C11" s="14"/>
    </x:row>
    <x:row r="12">
      <x:c r="A12" s="13" t="s">
        <x:v>165</x:v>
      </x:c>
      <x:c r="B12" s="13" t="s">
        <x:v>76</x:v>
      </x:c>
      <x:c r="C12" s="14"/>
    </x:row>
    <x:row r="13">
      <x:c r="A13" s="13" t="s">
        <x:v>166</x:v>
      </x:c>
      <x:c r="B13" s="13" t="s">
        <x:v>77</x:v>
      </x:c>
      <x:c r="C13" s="14"/>
    </x:row>
    <x:row r="14">
      <x:c r="A14" s="13" t="s">
        <x:v>167</x:v>
      </x:c>
      <x:c r="B14" s="13" t="s">
        <x:v>78</x:v>
      </x:c>
      <x:c r="C14" s="14"/>
    </x:row>
    <x:row r="15">
      <x:c r="A15" s="13" t="s">
        <x:v>168</x:v>
      </x:c>
      <x:c r="B15" s="13" t="s">
        <x:v>79</x:v>
      </x:c>
      <x:c r="C15" s="14"/>
    </x:row>
    <x:row r="16">
      <x:c r="A16" s="13" t="s">
        <x:v>169</x:v>
      </x:c>
      <x:c r="B16" s="13" t="s">
        <x:v>80</x:v>
      </x:c>
      <x:c r="C16" s="14"/>
    </x:row>
    <x:row r="17">
      <x:c r="A17" s="13" t="s">
        <x:v>170</x:v>
      </x:c>
      <x:c r="B17" s="13" t="s">
        <x:v>81</x:v>
      </x:c>
      <x:c r="C17" s="14"/>
    </x:row>
    <x:row r="18">
      <x:c r="A18" s="13" t="s">
        <x:v>171</x:v>
      </x:c>
      <x:c r="B18" s="13" t="s">
        <x:v>82</x:v>
      </x:c>
      <x:c r="C18" s="14"/>
    </x:row>
    <x:row r="19">
      <x:c r="A19" s="13" t="s">
        <x:v>172</x:v>
      </x:c>
      <x:c r="B19" s="13" t="s">
        <x:v>83</x:v>
      </x:c>
      <x:c r="C19" s="14"/>
    </x:row>
    <x:row r="20">
      <x:c r="A20" s="13" t="s">
        <x:v>173</x:v>
      </x:c>
      <x:c r="B20" s="13" t="s">
        <x:v>84</x:v>
      </x:c>
      <x:c r="C20" s="14"/>
    </x:row>
    <x:row r="21">
      <x:c r="A21" s="13" t="s">
        <x:v>174</x:v>
      </x:c>
      <x:c r="B21" s="13" t="s">
        <x:v>85</x:v>
      </x:c>
      <x:c r="C21" s="14"/>
    </x:row>
    <x:row r="22">
      <x:c r="A22" s="13" t="s">
        <x:v>273</x:v>
      </x:c>
      <x:c r="B22" s="13" t="s">
        <x:v>86</x:v>
      </x:c>
      <x:c r="C22" s="14"/>
    </x:row>
    <x:row r="23">
      <x:c r="A23" s="13" t="s">
        <x:v>176</x:v>
      </x:c>
      <x:c r="B23" s="13" t="s">
        <x:v>87</x:v>
      </x:c>
      <x:c r="C23" s="14"/>
    </x:row>
    <x:row r="24">
      <x:c r="A24" s="13" t="s">
        <x:v>177</x:v>
      </x:c>
      <x:c r="B24" s="13" t="s">
        <x:v>88</x:v>
      </x:c>
      <x:c r="C24" s="14"/>
    </x:row>
    <x:row r="25">
      <x:c r="A25" s="13" t="s">
        <x:v>168</x:v>
      </x:c>
      <x:c r="B25" s="13" t="s">
        <x:v>89</x:v>
      </x:c>
      <x:c r="C25" s="14"/>
    </x:row>
    <x:row r="26" ht="17">
      <x:c r="A26" s="13" t="s">
        <x:v>274</x:v>
      </x:c>
      <x:c r="B26" s="15" t="s">
        <x:v>90</x:v>
      </x:c>
      <x:c r="C26" s="14"/>
    </x:row>
    <x:row r="27" ht="17">
      <x:c r="A27" s="13" t="s">
        <x:v>275</x:v>
      </x:c>
      <x:c r="B27" s="15" t="s">
        <x:v>19</x:v>
      </x:c>
      <x:c r="C27" s="14"/>
    </x:row>
    <x:row r="28" ht="17">
      <x:c r="A28" s="13" t="s">
        <x:v>276</x:v>
      </x:c>
      <x:c r="B28" s="15" t="s">
        <x:v>34</x:v>
      </x:c>
      <x:c r="C28" s="14"/>
    </x:row>
    <x:row r="29">
      <x:c r="A29" s="111" t="s">
        <x:v>49</x:v>
      </x:c>
      <x:c r="B29" s="111"/>
      <x:c r="C29" s="14" t="n">
        <x:f>SUM(C11:C28)</x:f>
        <x:v>0</x:v>
      </x:c>
    </x:row>
  </x:sheetData>
  <x:mergeCells>
    <x:mergeCell ref="A1:I1"/>
    <x:mergeCell ref="A2:C2"/>
    <x:mergeCell ref="D2:I2"/>
    <x:mergeCell ref="A7:F7"/>
    <x:mergeCell ref="A29:B29"/>
    <x:mergeCell ref="A9:A10"/>
    <x:mergeCell ref="B9:B10"/>
    <x:mergeCell ref="C9:C10"/>
  </x:mergeCells>
  <x:pageMargins left="0.7" right="0.7" top="0.75" bottom="0.75" header="0.3" footer="0.3"/>
</x:worksheet>
</file>